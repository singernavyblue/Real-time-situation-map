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7aa097dadc47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647e4293ddbb47e1"/>
    <x:sheet xmlns:r="http://schemas.openxmlformats.org/officeDocument/2006/relationships" name="微博明细（原表样式）" sheetId="2" r:id="Rc12ea6586c3540c8"/>
    <x:sheet xmlns:r="http://schemas.openxmlformats.org/officeDocument/2006/relationships" name="快手明细（原表样式）" sheetId="3" r:id="R2209b95a2eaa4176"/>
    <x:sheet xmlns:r="http://schemas.openxmlformats.org/officeDocument/2006/relationships" name="汇总表-平台统计" sheetId="4" r:id="R866a84cada4346b4"/>
    <x:sheet xmlns:r="http://schemas.openxmlformats.org/officeDocument/2006/relationships" name="舆情事实表（原子化）" sheetId="5" r:id="Rd35ea2ee384849bc"/>
    <x:sheet xmlns:r="http://schemas.openxmlformats.org/officeDocument/2006/relationships" name="输出对照" sheetId="6" r:id="R1a44d59c32c445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#,##0"/>
    <x:numFmt numFmtId="202" formatCode="0.0%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color rgb="FFFFFFFF"/>
      <x:name val="Carlito"/>
    </x:font>
    <x:font>
      <x:sz val="10"/>
      <x:color rgb="FF7A5B00"/>
      <x:name val="Carlito"/>
    </x:font>
    <x:font>
      <x:sz val="10"/>
      <x:color rgb="FF59595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F3CD"/>
      </x:patternFill>
    </x:fill>
    <x:fill>
      <x:patternFill patternType="solid">
        <x:fgColor rgb="FFDDEBF7"/>
      </x:patternFill>
    </x:fill>
    <x:fill>
      <x:patternFill patternType="solid">
        <x:fgColor rgb="FF2E75B6"/>
      </x:patternFill>
    </x:fill>
    <x:fill>
      <x:patternFill patternType="solid">
        <x:fgColor rgb="FF548235"/>
      </x:patternFill>
    </x:fill>
  </x:fills>
  <x:borders count="4">
    <x:border/>
    <x:border>
      <x:left style="thin">
        <x:color rgb="FF8FA9BC"/>
      </x:left>
      <x:right style="thin">
        <x:color rgb="FF8FA9BC"/>
      </x:right>
      <x:top style="thin">
        <x:color rgb="FF8FA9BC"/>
      </x:top>
      <x:bottom style="thin">
        <x:color rgb="FF8FA9BC"/>
      </x:bottom>
    </x:border>
    <x:border>
      <x:left style="thin">
        <x:color rgb="FFD5DEE6"/>
      </x:left>
      <x:right style="thin">
        <x:color rgb="FFD5DEE6"/>
      </x:right>
      <x:top style="thin">
        <x:color rgb="FFD5DEE6"/>
      </x:top>
      <x:bottom style="thin">
        <x:color rgb="FFD5DEE6"/>
      </x:bottom>
    </x:border>
    <x:border>
      <x:left style="thin">
        <x:color rgb="FFB7C9D6"/>
      </x:left>
      <x:right style="thin">
        <x:color rgb="FFB7C9D6"/>
      </x:right>
      <x:top style="medium">
        <x:color rgb="FF8FA9BC"/>
      </x:top>
      <x:bottom style="thin">
        <x:color rgb="FFB7C9D6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1" fontId="3" fillId="4" borderId="3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202" fontId="3" fillId="4" borderId="3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horizontal="right" vertical="center"/>
    </x:xf>
    <x:xf numFmtId="202" fontId="0" fillId="0" borderId="2" xfId="0" applyNumberFormat="1" applyFont="1" applyFill="1" applyBorder="1" applyAlignment="1">
      <x:alignment horizontal="right" vertical="center"/>
    </x:xf>
    <x:xf numFmtId="201" fontId="3" fillId="4" borderId="3" xfId="0" applyNumberFormat="1" applyFont="1" applyFill="1" applyBorder="1" applyAlignment="1">
      <x:alignment horizontal="right" vertical="center"/>
    </x:xf>
    <x:xf numFmtId="202" fontId="3" fillId="4" borderId="3" xfId="0" applyNumberFormat="1" applyFont="1" applyFill="1" applyBorder="1" applyAlignment="1">
      <x:alignment horizontal="right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ill>
        <x:patternFill patternType="solid">
          <x:bgColor rgb="FFEEF4FA"/>
        </x:patternFill>
      </x:fill>
    </x:dxf>
    <x:dxf>
      <x:fill>
        <x:patternFill patternType="solid">
          <x:bgColor rgb="FFEEF4FA"/>
        </x:patternFill>
      </x:fill>
    </x:dxf>
    <x:dxf>
      <x:fill>
        <x:patternFill patternType="solid">
          <x:bgColor rgb="FFEEF4FA"/>
        </x:patternFill>
      </x:fill>
    </x:dxf>
    <x:dxf>
      <x:fill>
        <x:patternFill patternType="solid">
          <x:bgColor rgb="FFEEF4FA"/>
        </x:patternFill>
      </x:fill>
    </x:dxf>
    <x:dxf>
      <x:font>
        <x:color rgb="FF9C2B23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67c28c99ed40d6" /><Relationship Type="http://schemas.openxmlformats.org/officeDocument/2006/relationships/theme" Target="/xl/theme/theme1.xml" Id="Re00773397b3f471a" /><Relationship Type="http://schemas.openxmlformats.org/officeDocument/2006/relationships/sharedStrings" Target="/xl/sharedStrings.xml" Id="R8cf95f8438cf4c58" /><Relationship Type="http://schemas.openxmlformats.org/officeDocument/2006/relationships/worksheet" Target="/xl/worksheets/sheet1.xml" Id="R647e4293ddbb47e1" /><Relationship Type="http://schemas.openxmlformats.org/officeDocument/2006/relationships/worksheet" Target="/xl/worksheets/sheet2.xml" Id="Rc12ea6586c3540c8" /><Relationship Type="http://schemas.openxmlformats.org/officeDocument/2006/relationships/worksheet" Target="/xl/worksheets/sheet3.xml" Id="R2209b95a2eaa4176" /><Relationship Type="http://schemas.openxmlformats.org/officeDocument/2006/relationships/worksheet" Target="/xl/worksheets/sheet4.xml" Id="R866a84cada4346b4" /><Relationship Type="http://schemas.openxmlformats.org/officeDocument/2006/relationships/worksheet" Target="/xl/worksheets/sheet5.xml" Id="Rd35ea2ee384849bc" /><Relationship Type="http://schemas.openxmlformats.org/officeDocument/2006/relationships/worksheet" Target="/xl/worksheets/sheet6.xml" Id="R1a44d59c32c445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</x:cols>
  <x:sheetData>
    <x:row r="1" ht="42" customHeight="1">
      <x:c r="A1" s="4" t="str">
        <x:v>案例：build_data.py 如何把 Excel 变成 data.js（数据全部编造）</x:v>
      </x:c>
      <x:c r="B1" s="4"/>
      <x:c r="C1" s="4"/>
      <x:c r="D1" s="4"/>
      <x:c r="E1" s="4"/>
      <x:c r="F1" s="4"/>
    </x:row>
    <x:row r="3" ht="34" customHeight="1">
      <x:c r="A3" s="7" t="str">
        <x:v>1. 本工作簿全部为编造示例数据，仅用于演示 build_data.py 的输入、处理与输出。</x:v>
      </x:c>
      <x:c r="B3" s="7"/>
      <x:c r="C3" s="7"/>
      <x:c r="D3" s="7"/>
      <x:c r="E3" s="7"/>
      <x:c r="F3" s="7"/>
    </x:row>
    <x:row r="4" ht="34" customHeight="1">
      <x:c r="A4" s="7" t="str">
        <x:v>2. 「微博明细（原表样式）」和「快手明细（原表样式）」模拟现有 16 个 Excel 的报表写法：列名不统一，计入字段也不一致（微博用“是否重复”，快手用“是否计入公众统计”）。</x:v>
      </x:c>
      <x:c r="B4" s="7"/>
      <x:c r="C4" s="7"/>
      <x:c r="D4" s="7"/>
      <x:c r="E4" s="7"/>
      <x:c r="F4" s="7"/>
    </x:row>
    <x:row r="5" ht="34" customHeight="1">
      <x:c r="A5" s="7" t="str">
        <x:v>3. 处理规则与 build_data.py 一致：微博行“是否重复=是”会被计入趋势；正文相同的行按正文去重；地区用关键词打分组标签。</x:v>
      </x:c>
      <x:c r="B5" s="7"/>
      <x:c r="C5" s="7"/>
      <x:c r="D5" s="7"/>
      <x:c r="E5" s="7"/>
      <x:c r="F5" s="7"/>
    </x:row>
    <x:row r="6" ht="34" customHeight="1">
      <x:c r="A6" s="7" t="str">
        <x:v>4. 「汇总表-平台统计（原表样式）」模拟权威汇总表：平台总量、态度数从这里读取；明细表只负责原话、趋势、高热内容。</x:v>
      </x:c>
      <x:c r="B6" s="7"/>
      <x:c r="C6" s="7"/>
      <x:c r="D6" s="7"/>
      <x:c r="E6" s="7"/>
      <x:c r="F6" s="7"/>
    </x:row>
    <x:row r="7" ht="34" customHeight="1">
      <x:c r="A7" s="7" t="str">
        <x:v>5. 「舆情事实表（原子化改造后）」把同一批数据整理成一行一事实、统一字段，是否计入统计统一为“是/否”。</x:v>
      </x:c>
      <x:c r="B7" s="7"/>
      <x:c r="C7" s="7"/>
      <x:c r="D7" s="7"/>
      <x:c r="E7" s="7"/>
      <x:c r="F7" s="7"/>
    </x:row>
    <x:row r="8" ht="34" customHeight="1">
      <x:c r="A8" s="7" t="str">
        <x:v>6. 「输出对照」给出脚本写入 data.js 的原话、趋势、平台统计，以及从原子表公式重算的结果。</x:v>
      </x:c>
      <x:c r="B8" s="7"/>
      <x:c r="C8" s="7"/>
      <x:c r="D8" s="7"/>
      <x:c r="E8" s="7"/>
      <x:c r="F8" s="7"/>
    </x:row>
    <x:row r="9" ht="34" customHeight="1">
      <x:c r="A9" s="8" t="str">
        <x:v>7. 注意微博第 2 行是重复行：旧结构里它“是否重复=是”反而进了趋势、正文又被去重；原子表里同一行标记“是否计入统计=否”，口径问题消失。</x:v>
      </x:c>
      <x:c r="B9" s="8"/>
      <x:c r="C9" s="8"/>
      <x:c r="D9" s="8"/>
      <x:c r="E9" s="8"/>
      <x:c r="F9" s="8"/>
    </x:row>
  </x:sheetData>
  <x:mergeCells>
    <x:mergeCell ref="A1:F1"/>
    <x:mergeCell ref="A3:F3"/>
    <x:mergeCell ref="A4:F4"/>
    <x:mergeCell ref="A5:F5"/>
    <x:mergeCell ref="A6:F6"/>
    <x:mergeCell ref="A7:F7"/>
    <x:mergeCell ref="A8:F8"/>
    <x:mergeCell ref="A9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12" hidden="0" customWidth="1"/>
    <x:col min="4" max="4" width="16" hidden="0" customWidth="1"/>
    <x:col min="5" max="5" width="10" hidden="0" customWidth="1"/>
    <x:col min="6" max="6" width="10" hidden="0" customWidth="1"/>
    <x:col min="7" max="7" width="10" hidden="0" customWidth="1"/>
    <x:col min="8" max="8" width="42" hidden="0" customWidth="1"/>
    <x:col min="9" max="9" width="10" hidden="0" customWidth="1"/>
    <x:col min="10" max="10" width="10" hidden="0" customWidth="1"/>
    <x:col min="11" max="11" width="22" hidden="0" customWidth="1"/>
  </x:cols>
  <x:sheetData>
    <x:row r="1" ht="34" customHeight="1">
      <x:c r="A1" s="13" t="str">
        <x:v>序号</x:v>
      </x:c>
      <x:c r="B1" s="13" t="str">
        <x:v>发布日期</x:v>
      </x:c>
      <x:c r="C1" s="13" t="str">
        <x:v>平台或网站</x:v>
      </x:c>
      <x:c r="D1" s="13" t="str">
        <x:v>账号名称/发布单位</x:v>
      </x:c>
      <x:c r="E1" s="13" t="str">
        <x:v>涉及地区</x:v>
      </x:c>
      <x:c r="F1" s="13" t="str">
        <x:v>原始语言</x:v>
      </x:c>
      <x:c r="G1" s="13" t="str">
        <x:v>意见类型</x:v>
      </x:c>
      <x:c r="H1" s="13" t="str">
        <x:v>微博原文证据摘录</x:v>
      </x:c>
      <x:c r="I1" s="13" t="str">
        <x:v>是否重复</x:v>
      </x:c>
      <x:c r="J1" s="13" t="str">
        <x:v>是否待核实</x:v>
      </x:c>
      <x:c r="K1" s="13" t="str">
        <x:v>备注</x:v>
      </x:c>
    </x:row>
    <x:row r="2" ht="40" customHeight="1">
      <x:c r="A2" s="15" t="n">
        <x:v>1</x:v>
      </x:c>
      <x:c r="B2" s="16" t="n">
        <x:v>46244.05</x:v>
      </x:c>
      <x:c r="C2" s="15" t="str">
        <x:v>微博</x:v>
      </x:c>
      <x:c r="D2" s="15" t="str">
        <x:v>@示例小张</x:v>
      </x:c>
      <x:c r="E2" s="15" t="str">
        <x:v>四川</x:v>
      </x:c>
      <x:c r="F2" s="15" t="str">
        <x:v>中文</x:v>
      </x:c>
      <x:c r="G2" s="15" t="str">
        <x:v>支持认可</x:v>
      </x:c>
      <x:c r="H2" s="17" t="str">
        <x:v>支持民族团结进步促进法，为促进法点赞！</x:v>
      </x:c>
      <x:c r="I2" s="15" t="str">
        <x:v>否</x:v>
      </x:c>
      <x:c r="J2" s="15" t="str">
        <x:v>否</x:v>
      </x:c>
      <x:c r="K2" s="17" t="str">
        <x:v>编造数据</x:v>
      </x:c>
    </x:row>
    <x:row r="3" ht="40" customHeight="1">
      <x:c r="A3" s="15" t="n">
        <x:v>2</x:v>
      </x:c>
      <x:c r="B3" s="16" t="n">
        <x:v>46244.052083333336</x:v>
      </x:c>
      <x:c r="C3" s="15" t="str">
        <x:v>微博</x:v>
      </x:c>
      <x:c r="D3" s="15" t="str">
        <x:v>@示例小张</x:v>
      </x:c>
      <x:c r="E3" s="15" t="str">
        <x:v>四川</x:v>
      </x:c>
      <x:c r="F3" s="15" t="str">
        <x:v>中文</x:v>
      </x:c>
      <x:c r="G3" s="15" t="str">
        <x:v>支持认可</x:v>
      </x:c>
      <x:c r="H3" s="17" t="str">
        <x:v>支持民族团结进步促进法，为促进法点赞！</x:v>
      </x:c>
      <x:c r="I3" s="15" t="str">
        <x:v>是</x:v>
      </x:c>
      <x:c r="J3" s="15" t="str">
        <x:v>否</x:v>
      </x:c>
      <x:c r="K3" s="17" t="str">
        <x:v>编造数据·与第1行正文重复</x:v>
      </x:c>
    </x:row>
  </x:sheetData>
  <x:conditionalFormatting sqref="A2:K3">
    <x:cfRule type="expression" dxfId="0" priority="1">
      <x:formula>MOD(ROW(),2)=0</x:formula>
    </x:cfRule>
  </x:conditionalFormatting>
  <x:dataValidations count="1">
    <x:dataValidation type="list" sqref="I2:I3">
      <x:formula1>"是,否"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12" hidden="0" customWidth="1"/>
    <x:col min="4" max="4" width="16" hidden="0" customWidth="1"/>
    <x:col min="5" max="5" width="10" hidden="0" customWidth="1"/>
    <x:col min="6" max="6" width="10" hidden="0" customWidth="1"/>
    <x:col min="7" max="7" width="10" hidden="0" customWidth="1"/>
    <x:col min="8" max="8" width="40" hidden="0" customWidth="1"/>
    <x:col min="9" max="9" width="14" hidden="0" customWidth="1"/>
    <x:col min="10" max="10" width="22" hidden="0" customWidth="1"/>
  </x:cols>
  <x:sheetData>
    <x:row r="1" ht="34" customHeight="1">
      <x:c r="A1" s="13" t="str">
        <x:v>序号</x:v>
      </x:c>
      <x:c r="B1" s="13" t="str">
        <x:v>发布日期</x:v>
      </x:c>
      <x:c r="C1" s="13" t="str">
        <x:v>平台或网站</x:v>
      </x:c>
      <x:c r="D1" s="13" t="str">
        <x:v>账号或栏目名称</x:v>
      </x:c>
      <x:c r="E1" s="13" t="str">
        <x:v>涉及地区</x:v>
      </x:c>
      <x:c r="F1" s="13" t="str">
        <x:v>原始语言</x:v>
      </x:c>
      <x:c r="G1" s="13" t="str">
        <x:v>意见类型</x:v>
      </x:c>
      <x:c r="H1" s="13" t="str">
        <x:v>原文证据摘录</x:v>
      </x:c>
      <x:c r="I1" s="13" t="str">
        <x:v>是否计入公众统计</x:v>
      </x:c>
      <x:c r="J1" s="13" t="str">
        <x:v>备注</x:v>
      </x:c>
    </x:row>
    <x:row r="2" ht="40" customHeight="1">
      <x:c r="A2" s="15" t="n">
        <x:v>1</x:v>
      </x:c>
      <x:c r="B2" s="16" t="n">
        <x:v>46244.083333333336</x:v>
      </x:c>
      <x:c r="C2" s="15" t="str">
        <x:v>快手</x:v>
      </x:c>
      <x:c r="D2" s="15" t="str">
        <x:v>@示例阿依古丽</x:v>
      </x:c>
      <x:c r="E2" s="15" t="str">
        <x:v>新疆</x:v>
      </x:c>
      <x:c r="F2" s="15" t="str">
        <x:v>中文</x:v>
      </x:c>
      <x:c r="G2" s="15" t="str">
        <x:v>担忧影响</x:v>
      </x:c>
      <x:c r="H2" s="17" t="str">
        <x:v>担心促进法落实不到位，希望加强监督。</x:v>
      </x:c>
      <x:c r="I2" s="15" t="str">
        <x:v>是</x:v>
      </x:c>
      <x:c r="J2" s="17" t="str">
        <x:v>编造数据</x:v>
      </x:c>
    </x:row>
    <x:row r="3" ht="40" customHeight="1">
      <x:c r="A3" s="15" t="n">
        <x:v>2</x:v>
      </x:c>
      <x:c r="B3" s="16" t="n">
        <x:v>46244.09722222222</x:v>
      </x:c>
      <x:c r="C3" s="15" t="str">
        <x:v>快手</x:v>
      </x:c>
      <x:c r="D3" s="15" t="str">
        <x:v>@示例彝族主播</x:v>
      </x:c>
      <x:c r="E3" s="15" t="str">
        <x:v>云南</x:v>
      </x:c>
      <x:c r="F3" s="15" t="str">
        <x:v>彝语</x:v>
      </x:c>
      <x:c r="G3" s="15" t="str">
        <x:v>支持认可</x:v>
      </x:c>
      <x:c r="H3" s="17" t="str">
        <x:v>（彝语）支持促进法，希望家乡越来越好。</x:v>
      </x:c>
      <x:c r="I3" s="15" t="str">
        <x:v>是</x:v>
      </x:c>
      <x:c r="J3" s="17" t="str">
        <x:v>编造数据</x:v>
      </x:c>
    </x:row>
    <x:row r="4" ht="40" customHeight="1">
      <x:c r="A4" s="15" t="n">
        <x:v>3</x:v>
      </x:c>
      <x:c r="B4" s="16" t="n">
        <x:v>46244.125</x:v>
      </x:c>
      <x:c r="C4" s="15" t="str">
        <x:v>快手</x:v>
      </x:c>
      <x:c r="D4" s="15" t="str">
        <x:v>@示例网民</x:v>
      </x:c>
      <x:c r="E4" s="15" t="str">
        <x:v>内蒙古</x:v>
      </x:c>
      <x:c r="F4" s="15" t="str">
        <x:v>中文</x:v>
      </x:c>
      <x:c r="G4" s="15" t="str">
        <x:v>明确批评</x:v>
      </x:c>
      <x:c r="H4" s="17" t="str">
        <x:v>某企业招聘还写“汉族优先”，请按促进法处理。</x:v>
      </x:c>
      <x:c r="I4" s="15" t="str">
        <x:v>是</x:v>
      </x:c>
      <x:c r="J4" s="17" t="str">
        <x:v>编造数据</x:v>
      </x:c>
    </x:row>
  </x:sheetData>
  <x:conditionalFormatting sqref="A2:J4">
    <x:cfRule type="expression" dxfId="1" priority="1">
      <x:formula>MOD(ROW(),2)=0</x:formula>
    </x:cfRule>
  </x:conditionalFormatting>
  <x:dataValidations count="1">
    <x:dataValidation type="list" sqref="I2:I4">
      <x:formula1>"是,否"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2" hidden="0" customWidth="1"/>
  </x:cols>
  <x:sheetData>
    <x:row r="1" ht="34" customHeight="1">
      <x:c r="A1" s="13" t="str">
        <x:v>平台</x:v>
      </x:c>
      <x:c r="B1" s="13" t="str">
        <x:v>有效公众意见总数</x:v>
      </x:c>
      <x:c r="C1" s="13" t="str">
        <x:v>支持认可</x:v>
      </x:c>
      <x:c r="D1" s="13" t="str">
        <x:v>咨询疑问</x:v>
      </x:c>
      <x:c r="E1" s="13" t="str">
        <x:v>担忧影响</x:v>
      </x:c>
      <x:c r="F1" s="13" t="str">
        <x:v>明确批评</x:v>
      </x:c>
      <x:c r="G1" s="13" t="str">
        <x:v>参与建议</x:v>
      </x:c>
      <x:c r="H1" s="13" t="str">
        <x:v>支持占比</x:v>
      </x:c>
      <x:c r="I1" s="13" t="str">
        <x:v>非支持意见数</x:v>
      </x:c>
    </x:row>
    <x:row r="2" ht="32" customHeight="1">
      <x:c r="A2" s="15" t="str">
        <x:v>微博/热榜</x:v>
      </x:c>
      <x:c r="B2" s="26" t="n">
        <x:v>1</x:v>
      </x:c>
      <x:c r="C2" s="26" t="n">
        <x:v>1</x:v>
      </x:c>
      <x:c r="D2" s="26" t="n">
        <x:v>0</x:v>
      </x:c>
      <x:c r="E2" s="26" t="n">
        <x:v>0</x:v>
      </x:c>
      <x:c r="F2" s="26" t="n">
        <x:v>0</x:v>
      </x:c>
      <x:c r="G2" s="26" t="n">
        <x:v>0</x:v>
      </x:c>
      <x:c r="H2" s="27" t="n">
        <x:f>C2/B2</x:f>
        <x:v>1</x:v>
      </x:c>
      <x:c r="I2" s="26" t="n">
        <x:v>0</x:v>
      </x:c>
    </x:row>
    <x:row r="3" ht="32" customHeight="1">
      <x:c r="A3" s="15" t="str">
        <x:v>快手</x:v>
      </x:c>
      <x:c r="B3" s="26" t="n">
        <x:v>3</x:v>
      </x:c>
      <x:c r="C3" s="26" t="n">
        <x:v>1</x:v>
      </x:c>
      <x:c r="D3" s="26" t="n">
        <x:v>0</x:v>
      </x:c>
      <x:c r="E3" s="26" t="n">
        <x:v>1</x:v>
      </x:c>
      <x:c r="F3" s="26" t="n">
        <x:v>1</x:v>
      </x:c>
      <x:c r="G3" s="26" t="n">
        <x:v>0</x:v>
      </x:c>
      <x:c r="H3" s="27" t="n">
        <x:f>C3/B3</x:f>
        <x:v>0.3333333333333333</x:v>
      </x:c>
      <x:c r="I3" s="26" t="n">
        <x:v>2</x:v>
      </x:c>
    </x:row>
    <x:row r="4" ht="30" customHeight="1">
      <x:c r="A4" s="21" t="str">
        <x:v>合计</x:v>
      </x:c>
      <x:c r="B4" s="28" t="n">
        <x:f>SUM(B2:B3)</x:f>
        <x:v>4</x:v>
      </x:c>
      <x:c r="C4" s="28" t="n">
        <x:f>SUM(C2:C3)</x:f>
        <x:v>2</x:v>
      </x:c>
      <x:c r="D4" s="28" t="n">
        <x:f>SUM(D2:D3)</x:f>
        <x:v>0</x:v>
      </x:c>
      <x:c r="E4" s="28" t="n">
        <x:f>SUM(E2:E3)</x:f>
        <x:v>1</x:v>
      </x:c>
      <x:c r="F4" s="28" t="n">
        <x:f>SUM(F2:F3)</x:f>
        <x:v>1</x:v>
      </x:c>
      <x:c r="G4" s="28" t="n">
        <x:f>SUM(G2:G3)</x:f>
        <x:v>0</x:v>
      </x:c>
      <x:c r="H4" s="29" t="n">
        <x:f>C4/B4</x:f>
        <x:v>0.5</x:v>
      </x:c>
      <x:c r="I4" s="28" t="n">
        <x:f>SUM(I2:I3)</x:f>
        <x:v>2</x:v>
      </x:c>
    </x:row>
  </x:sheetData>
  <x:conditionalFormatting sqref="A2:I3">
    <x:cfRule type="expression" dxfId="2" priority="1">
      <x:formula>MOD(ROW(),2)=0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9" hidden="0" customWidth="1"/>
    <x:col min="5" max="5" width="15" hidden="0" customWidth="1"/>
    <x:col min="6" max="6" width="13" hidden="0" customWidth="1"/>
    <x:col min="7" max="7" width="13" hidden="0" customWidth="1"/>
    <x:col min="8" max="8" width="44" hidden="0" customWidth="1"/>
    <x:col min="9" max="9" width="26" hidden="0" customWidth="1"/>
    <x:col min="10" max="10" width="8" hidden="0" customWidth="1"/>
    <x:col min="11" max="11" width="21" hidden="0" customWidth="1"/>
    <x:col min="12" max="12" width="8" hidden="0" customWidth="1"/>
    <x:col min="13" max="13" width="9" hidden="0" customWidth="1"/>
    <x:col min="14" max="14" width="8" hidden="0" customWidth="1"/>
    <x:col min="15" max="15" width="8" hidden="0" customWidth="1"/>
    <x:col min="16" max="16" width="11" hidden="0" customWidth="1"/>
    <x:col min="17" max="17" width="10" hidden="0" customWidth="1"/>
    <x:col min="18" max="18" width="11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11" hidden="0" customWidth="1"/>
    <x:col min="24" max="24" width="24" hidden="0" customWidth="1"/>
  </x:cols>
  <x:sheetData>
    <x:row r="1" ht="34" customHeight="1">
      <x:c r="A1" s="13" t="str">
        <x:v>唯一编号</x:v>
      </x:c>
      <x:c r="B1" s="13" t="str">
        <x:v>采集时间</x:v>
      </x:c>
      <x:c r="C1" s="13" t="str">
        <x:v>发布时间</x:v>
      </x:c>
      <x:c r="D1" s="13" t="str">
        <x:v>平台</x:v>
      </x:c>
      <x:c r="E1" s="13" t="str">
        <x:v>平台组</x:v>
      </x:c>
      <x:c r="F1" s="13" t="str">
        <x:v>具体来源</x:v>
      </x:c>
      <x:c r="G1" s="13" t="str">
        <x:v>账号</x:v>
      </x:c>
      <x:c r="H1" s="13" t="str">
        <x:v>正文</x:v>
      </x:c>
      <x:c r="I1" s="13" t="str">
        <x:v>原始链接</x:v>
      </x:c>
      <x:c r="J1" s="13" t="str">
        <x:v>地区</x:v>
      </x:c>
      <x:c r="K1" s="13" t="str">
        <x:v>地区组</x:v>
      </x:c>
      <x:c r="L1" s="13" t="str">
        <x:v>省份</x:v>
      </x:c>
      <x:c r="M1" s="13" t="str">
        <x:v>城市</x:v>
      </x:c>
      <x:c r="N1" s="13" t="str">
        <x:v>IP属地</x:v>
      </x:c>
      <x:c r="O1" s="13" t="str">
        <x:v>语言</x:v>
      </x:c>
      <x:c r="P1" s="13" t="str">
        <x:v>是否少数民族语言</x:v>
      </x:c>
      <x:c r="Q1" s="13" t="str">
        <x:v>总体态度</x:v>
      </x:c>
      <x:c r="R1" s="13" t="str">
        <x:v>具体问题类别</x:v>
      </x:c>
      <x:c r="S1" s="13" t="str">
        <x:v>点赞量</x:v>
      </x:c>
      <x:c r="T1" s="13" t="str">
        <x:v>评论量</x:v>
      </x:c>
      <x:c r="U1" s="13" t="str">
        <x:v>转发量</x:v>
      </x:c>
      <x:c r="V1" s="13" t="str">
        <x:v>是否重点</x:v>
      </x:c>
      <x:c r="W1" s="13" t="str">
        <x:v>是否计入统计</x:v>
      </x:c>
      <x:c r="X1" s="13" t="str">
        <x:v>备注</x:v>
      </x:c>
    </x:row>
    <x:row r="2" ht="46" customHeight="1">
      <x:c r="A2" s="15" t="str">
        <x:v>OQ-CASE-0001</x:v>
      </x:c>
      <x:c r="B2" s="16" t="n">
        <x:v>46244.0625</x:v>
      </x:c>
      <x:c r="C2" s="16" t="n">
        <x:v>46244.05</x:v>
      </x:c>
      <x:c r="D2" s="15" t="str">
        <x:v>微博</x:v>
      </x:c>
      <x:c r="E2" s="15" t="str">
        <x:v>微博/热榜</x:v>
      </x:c>
      <x:c r="F2" s="15" t="str">
        <x:v>微博搜索</x:v>
      </x:c>
      <x:c r="G2" s="15" t="str">
        <x:v>@示例小张</x:v>
      </x:c>
      <x:c r="H2" s="17" t="str">
        <x:v>支持民族团结进步促进法，为促进法点赞！</x:v>
      </x:c>
      <x:c r="I2" s="17" t="str">
        <x:v>https://weibo.com/demo/0001</x:v>
      </x:c>
      <x:c r="J2" s="15" t="str">
        <x:v>四川</x:v>
      </x:c>
      <x:c r="K2" s="15" t="str">
        <x:v>四川、甘肃民族地区</x:v>
      </x:c>
      <x:c r="L2" s="15" t="str">
        <x:v>四川</x:v>
      </x:c>
      <x:c r="M2" s="15" t="str">
        <x:v>成都</x:v>
      </x:c>
      <x:c r="N2" s="15" t="str">
        <x:v>四川</x:v>
      </x:c>
      <x:c r="O2" s="15" t="str">
        <x:v>中文</x:v>
      </x:c>
      <x:c r="P2" s="15" t="str">
        <x:v>否</x:v>
      </x:c>
      <x:c r="Q2" s="15" t="str">
        <x:v>支持认可</x:v>
      </x:c>
      <x:c r="R2" s="15" t="str">
        <x:v>-</x:v>
      </x:c>
      <x:c r="S2" s="26" t="n">
        <x:v>0</x:v>
      </x:c>
      <x:c r="T2" s="26" t="n">
        <x:v>0</x:v>
      </x:c>
      <x:c r="U2" s="26" t="n">
        <x:v>0</x:v>
      </x:c>
      <x:c r="V2" s="15" t="str">
        <x:v>否</x:v>
      </x:c>
      <x:c r="W2" s="15" t="str">
        <x:v>是</x:v>
      </x:c>
      <x:c r="X2" s="17" t="str">
        <x:v>编造案例</x:v>
      </x:c>
    </x:row>
    <x:row r="3" ht="46" customHeight="1">
      <x:c r="A3" s="15" t="str">
        <x:v>OQ-CASE-0002</x:v>
      </x:c>
      <x:c r="B3" s="16" t="n">
        <x:v>46244.09027777778</x:v>
      </x:c>
      <x:c r="C3" s="16" t="n">
        <x:v>46244.083333333336</x:v>
      </x:c>
      <x:c r="D3" s="15" t="str">
        <x:v>快手</x:v>
      </x:c>
      <x:c r="E3" s="15" t="str">
        <x:v>快手</x:v>
      </x:c>
      <x:c r="F3" s="15" t="str">
        <x:v>快手评论区</x:v>
      </x:c>
      <x:c r="G3" s="15" t="str">
        <x:v>@示例阿依古丽</x:v>
      </x:c>
      <x:c r="H3" s="17" t="str">
        <x:v>担心促进法落实不到位，希望加强监督。</x:v>
      </x:c>
      <x:c r="I3" s="17" t="str">
        <x:v>https://kuaishou.com/demo/0002</x:v>
      </x:c>
      <x:c r="J3" s="15" t="str">
        <x:v>新疆</x:v>
      </x:c>
      <x:c r="K3" s="15" t="str">
        <x:v>新疆</x:v>
      </x:c>
      <x:c r="L3" s="15" t="str">
        <x:v>新疆</x:v>
      </x:c>
      <x:c r="M3" s="15" t="str">
        <x:v>乌鲁木齐</x:v>
      </x:c>
      <x:c r="N3" s="15" t="str">
        <x:v>新疆</x:v>
      </x:c>
      <x:c r="O3" s="15" t="str">
        <x:v>中文</x:v>
      </x:c>
      <x:c r="P3" s="15" t="str">
        <x:v>否</x:v>
      </x:c>
      <x:c r="Q3" s="15" t="str">
        <x:v>担忧影响</x:v>
      </x:c>
      <x:c r="R3" s="15" t="str">
        <x:v>担忧影响</x:v>
      </x:c>
      <x:c r="S3" s="26" t="n">
        <x:v>0</x:v>
      </x:c>
      <x:c r="T3" s="26" t="n">
        <x:v>0</x:v>
      </x:c>
      <x:c r="U3" s="26" t="n">
        <x:v>0</x:v>
      </x:c>
      <x:c r="V3" s="15" t="str">
        <x:v>否</x:v>
      </x:c>
      <x:c r="W3" s="15" t="str">
        <x:v>是</x:v>
      </x:c>
      <x:c r="X3" s="17" t="str">
        <x:v>编造案例</x:v>
      </x:c>
    </x:row>
    <x:row r="4" ht="46" customHeight="1">
      <x:c r="A4" s="15" t="str">
        <x:v>OQ-CASE-0003</x:v>
      </x:c>
      <x:c r="B4" s="16" t="n">
        <x:v>46244.10763888889</x:v>
      </x:c>
      <x:c r="C4" s="16" t="n">
        <x:v>46244.09722222222</x:v>
      </x:c>
      <x:c r="D4" s="15" t="str">
        <x:v>快手</x:v>
      </x:c>
      <x:c r="E4" s="15" t="str">
        <x:v>快手</x:v>
      </x:c>
      <x:c r="F4" s="15" t="str">
        <x:v>快手评论区</x:v>
      </x:c>
      <x:c r="G4" s="15" t="str">
        <x:v>@示例彝族主播</x:v>
      </x:c>
      <x:c r="H4" s="17" t="str">
        <x:v>（彝语）支持促进法，希望家乡越来越好。</x:v>
      </x:c>
      <x:c r="I4" s="17" t="str">
        <x:v>https://kuaishou.com/demo/0003</x:v>
      </x:c>
      <x:c r="J4" s="15" t="str">
        <x:v>云南</x:v>
      </x:c>
      <x:c r="K4" s="15" t="str">
        <x:v>云南东中部民族地区</x:v>
      </x:c>
      <x:c r="L4" s="15" t="str">
        <x:v>云南</x:v>
      </x:c>
      <x:c r="M4" s="15" t="str">
        <x:v>楚雄</x:v>
      </x:c>
      <x:c r="N4" s="15" t="str">
        <x:v>云南</x:v>
      </x:c>
      <x:c r="O4" s="15" t="str">
        <x:v>彝语</x:v>
      </x:c>
      <x:c r="P4" s="15" t="str">
        <x:v>是</x:v>
      </x:c>
      <x:c r="Q4" s="15" t="str">
        <x:v>支持认可</x:v>
      </x:c>
      <x:c r="R4" s="15" t="str">
        <x:v>-</x:v>
      </x:c>
      <x:c r="S4" s="26" t="n">
        <x:v>0</x:v>
      </x:c>
      <x:c r="T4" s="26" t="n">
        <x:v>0</x:v>
      </x:c>
      <x:c r="U4" s="26" t="n">
        <x:v>0</x:v>
      </x:c>
      <x:c r="V4" s="15" t="str">
        <x:v>否</x:v>
      </x:c>
      <x:c r="W4" s="15" t="str">
        <x:v>是</x:v>
      </x:c>
      <x:c r="X4" s="17" t="str">
        <x:v>编造案例</x:v>
      </x:c>
    </x:row>
    <x:row r="5" ht="46" customHeight="1">
      <x:c r="A5" s="15" t="str">
        <x:v>OQ-CASE-0004</x:v>
      </x:c>
      <x:c r="B5" s="16" t="n">
        <x:v>46244.131944444445</x:v>
      </x:c>
      <x:c r="C5" s="16" t="n">
        <x:v>46244.125</x:v>
      </x:c>
      <x:c r="D5" s="15" t="str">
        <x:v>快手</x:v>
      </x:c>
      <x:c r="E5" s="15" t="str">
        <x:v>快手</x:v>
      </x:c>
      <x:c r="F5" s="15" t="str">
        <x:v>快手评论区</x:v>
      </x:c>
      <x:c r="G5" s="15" t="str">
        <x:v>@示例网民</x:v>
      </x:c>
      <x:c r="H5" s="17" t="str">
        <x:v>某企业招聘还写“汉族优先”，请按促进法处理。</x:v>
      </x:c>
      <x:c r="I5" s="17" t="str">
        <x:v>https://kuaishou.com/demo/0004</x:v>
      </x:c>
      <x:c r="J5" s="15" t="str">
        <x:v>内蒙古</x:v>
      </x:c>
      <x:c r="K5" s="15" t="str">
        <x:v>内蒙古、河北及东北</x:v>
      </x:c>
      <x:c r="L5" s="15" t="str">
        <x:v>内蒙古</x:v>
      </x:c>
      <x:c r="M5" s="15" t="str">
        <x:v>呼和浩特</x:v>
      </x:c>
      <x:c r="N5" s="15" t="str">
        <x:v>内蒙古</x:v>
      </x:c>
      <x:c r="O5" s="15" t="str">
        <x:v>中文</x:v>
      </x:c>
      <x:c r="P5" s="15" t="str">
        <x:v>否</x:v>
      </x:c>
      <x:c r="Q5" s="15" t="str">
        <x:v>明确批评</x:v>
      </x:c>
      <x:c r="R5" s="15" t="str">
        <x:v>歧视偏见</x:v>
      </x:c>
      <x:c r="S5" s="26" t="n">
        <x:v>0</x:v>
      </x:c>
      <x:c r="T5" s="26" t="n">
        <x:v>0</x:v>
      </x:c>
      <x:c r="U5" s="26" t="n">
        <x:v>0</x:v>
      </x:c>
      <x:c r="V5" s="15" t="str">
        <x:v>否</x:v>
      </x:c>
      <x:c r="W5" s="15" t="str">
        <x:v>是</x:v>
      </x:c>
      <x:c r="X5" s="17" t="str">
        <x:v>编造案例</x:v>
      </x:c>
    </x:row>
    <x:row r="6" ht="46" customHeight="1">
      <x:c r="A6" s="15" t="str">
        <x:v>OQ-CASE-0005</x:v>
      </x:c>
      <x:c r="B6" s="16" t="n">
        <x:v>46244.069444444445</x:v>
      </x:c>
      <x:c r="C6" s="16" t="n">
        <x:v>46244.052083333336</x:v>
      </x:c>
      <x:c r="D6" s="15" t="str">
        <x:v>微博</x:v>
      </x:c>
      <x:c r="E6" s="15" t="str">
        <x:v>微博/热榜</x:v>
      </x:c>
      <x:c r="F6" s="15" t="str">
        <x:v>微博搜索</x:v>
      </x:c>
      <x:c r="G6" s="15" t="str">
        <x:v>@示例小张</x:v>
      </x:c>
      <x:c r="H6" s="17" t="str">
        <x:v>支持民族团结进步促进法，为促进法点赞！</x:v>
      </x:c>
      <x:c r="I6" s="17" t="str">
        <x:v>https://weibo.com/demo/0005</x:v>
      </x:c>
      <x:c r="J6" s="15" t="str">
        <x:v>四川</x:v>
      </x:c>
      <x:c r="K6" s="15" t="str">
        <x:v>四川、甘肃民族地区</x:v>
      </x:c>
      <x:c r="L6" s="15" t="str">
        <x:v>四川</x:v>
      </x:c>
      <x:c r="M6" s="15" t="str">
        <x:v>成都</x:v>
      </x:c>
      <x:c r="N6" s="15" t="str">
        <x:v>四川</x:v>
      </x:c>
      <x:c r="O6" s="15" t="str">
        <x:v>中文</x:v>
      </x:c>
      <x:c r="P6" s="15" t="str">
        <x:v>否</x:v>
      </x:c>
      <x:c r="Q6" s="15" t="str">
        <x:v>支持认可</x:v>
      </x:c>
      <x:c r="R6" s="15" t="str">
        <x:v>-</x:v>
      </x:c>
      <x:c r="S6" s="26" t="n">
        <x:v>0</x:v>
      </x:c>
      <x:c r="T6" s="26" t="n">
        <x:v>0</x:v>
      </x:c>
      <x:c r="U6" s="26" t="n">
        <x:v>0</x:v>
      </x:c>
      <x:c r="V6" s="15" t="str">
        <x:v>否</x:v>
      </x:c>
      <x:c r="W6" s="15" t="str">
        <x:v>否</x:v>
      </x:c>
      <x:c r="X6" s="17" t="str">
        <x:v>原表重复行；原子表统一标记不计入</x:v>
      </x:c>
    </x:row>
  </x:sheetData>
  <x:conditionalFormatting sqref="A2:X6">
    <x:cfRule type="expression" dxfId="3" priority="1">
      <x:formula>MOD(ROW(),2)=0</x:formula>
    </x:cfRule>
  </x:conditionalFormatting>
  <x:conditionalFormatting sqref="W2:W6">
    <x:cfRule type="containsText" dxfId="4" priority="2" operator="containsText" text="否"/>
  </x:conditionalFormatting>
  <x:dataValidations count="1">
    <x:dataValidation type="list" sqref="W2:W6">
      <x:formula1>"是,否"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1" hidden="0" customWidth="1"/>
    <x:col min="3" max="3" width="12" hidden="0" customWidth="1"/>
    <x:col min="4" max="4" width="13" hidden="0" customWidth="1"/>
    <x:col min="5" max="5" width="10" hidden="0" customWidth="1"/>
    <x:col min="6" max="6" width="26" hidden="0" customWidth="1"/>
    <x:col min="7" max="7" width="14" hidden="0" customWidth="1"/>
    <x:col min="8" max="8" width="42" hidden="0" customWidth="1"/>
  </x:cols>
  <x:sheetData>
    <x:row r="1" ht="30" customHeight="1">
      <x:c r="A1" s="31" t="str">
        <x:v>data.js 原话输出（旧脚本处理结果）</x:v>
      </x:c>
      <x:c r="B1" s="31" t="str">
        <x:v>data.js 原话输出（旧脚本处理结果）</x:v>
      </x:c>
      <x:c r="C1" s="31" t="str">
        <x:v>data.js 原话输出（旧脚本处理结果）</x:v>
      </x:c>
      <x:c r="D1" s="31" t="str">
        <x:v>data.js 原话输出（旧脚本处理结果）</x:v>
      </x:c>
      <x:c r="E1" s="31" t="str">
        <x:v>data.js 原话输出（旧脚本处理结果）</x:v>
      </x:c>
      <x:c r="F1" s="31" t="str">
        <x:v>data.js 原话输出（旧脚本处理结果）</x:v>
      </x:c>
      <x:c r="G1" s="31" t="str">
        <x:v>data.js 原话输出（旧脚本处理结果）</x:v>
      </x:c>
      <x:c r="H1" s="31" t="str">
        <x:v>data.js 原话输出（旧脚本处理结果）</x:v>
      </x:c>
    </x:row>
    <x:row r="2">
      <x:c r="A2" s="34" t="str">
        <x:v>序号</x:v>
      </x:c>
      <x:c r="B2" s="34" t="str">
        <x:v>platform</x:v>
      </x:c>
      <x:c r="C2" s="34" t="str">
        <x:v>region</x:v>
      </x:c>
      <x:c r="D2" s="34" t="str">
        <x:v>group</x:v>
      </x:c>
      <x:c r="E2" s="34" t="str">
        <x:v>attitude</x:v>
      </x:c>
      <x:c r="F2" s="34" t="str">
        <x:v>date</x:v>
      </x:c>
      <x:c r="G2" s="34" t="str">
        <x:v>language</x:v>
      </x:c>
      <x:c r="H2" s="34" t="str">
        <x:v>正文</x:v>
      </x:c>
    </x:row>
    <x:row r="3" ht="38" customHeight="1">
      <x:c r="A3" s="15" t="n">
        <x:v>1</x:v>
      </x:c>
      <x:c r="B3" s="15" t="str">
        <x:v>微博</x:v>
      </x:c>
      <x:c r="C3" s="15" t="str">
        <x:v>四川</x:v>
      </x:c>
      <x:c r="D3" s="15" t="str">
        <x:v>四川、甘肃民族地区</x:v>
      </x:c>
      <x:c r="E3" s="15" t="str">
        <x:v>支持认可</x:v>
      </x:c>
      <x:c r="F3" s="15" t="str">
        <x:v>2026-08-10</x:v>
      </x:c>
      <x:c r="G3" s="15" t="str">
        <x:v>中文</x:v>
      </x:c>
      <x:c r="H3" s="17" t="str">
        <x:v>支持民族团结进步促进法，为促进法点赞！</x:v>
      </x:c>
    </x:row>
    <x:row r="4" ht="38" customHeight="1">
      <x:c r="A4" s="15" t="n">
        <x:v>2</x:v>
      </x:c>
      <x:c r="B4" s="15" t="str">
        <x:v>快手</x:v>
      </x:c>
      <x:c r="C4" s="15" t="str">
        <x:v>新疆</x:v>
      </x:c>
      <x:c r="D4" s="15" t="str">
        <x:v>新疆</x:v>
      </x:c>
      <x:c r="E4" s="15" t="str">
        <x:v>担忧影响</x:v>
      </x:c>
      <x:c r="F4" s="15" t="str">
        <x:v>2026-08-10</x:v>
      </x:c>
      <x:c r="G4" s="15" t="str">
        <x:v>中文</x:v>
      </x:c>
      <x:c r="H4" s="17" t="str">
        <x:v>担心促进法落实不到位，希望加强监督。</x:v>
      </x:c>
    </x:row>
    <x:row r="5" ht="38" customHeight="1">
      <x:c r="A5" s="15" t="n">
        <x:v>3</x:v>
      </x:c>
      <x:c r="B5" s="15" t="str">
        <x:v>快手</x:v>
      </x:c>
      <x:c r="C5" s="15" t="str">
        <x:v>云南</x:v>
      </x:c>
      <x:c r="D5" s="15" t="str"/>
      <x:c r="E5" s="15" t="str">
        <x:v>支持认可</x:v>
      </x:c>
      <x:c r="F5" s="15" t="str">
        <x:v>2026-08-10</x:v>
      </x:c>
      <x:c r="G5" s="15" t="str">
        <x:v>彝语</x:v>
      </x:c>
      <x:c r="H5" s="17" t="str">
        <x:v>（彝语）支持促进法，希望家乡越来越好。</x:v>
      </x:c>
    </x:row>
    <x:row r="6" ht="38" customHeight="1">
      <x:c r="A6" s="15" t="n">
        <x:v>4</x:v>
      </x:c>
      <x:c r="B6" s="15" t="str">
        <x:v>快手</x:v>
      </x:c>
      <x:c r="C6" s="15" t="str">
        <x:v>内蒙古</x:v>
      </x:c>
      <x:c r="D6" s="15" t="str">
        <x:v>内蒙古、河北及东北</x:v>
      </x:c>
      <x:c r="E6" s="15" t="str">
        <x:v>明确批评</x:v>
      </x:c>
      <x:c r="F6" s="15" t="str">
        <x:v>2026-08-10</x:v>
      </x:c>
      <x:c r="G6" s="15" t="str">
        <x:v>中文</x:v>
      </x:c>
      <x:c r="H6" s="17" t="str">
        <x:v>某企业招聘还写“汉族优先”，请按促进法处理。</x:v>
      </x:c>
    </x:row>
    <x:row r="8" ht="26" customHeight="1">
      <x:c r="A8" s="34" t="str">
        <x:v>data.js 趋势输出</x:v>
      </x:c>
      <x:c r="B8" s="34" t="str">
        <x:v>data.js 趋势输出</x:v>
      </x:c>
      <x:c r="D8" s="34" t="str">
        <x:v>data.js 平台统计输出</x:v>
      </x:c>
      <x:c r="E8" s="34" t="str">
        <x:v>data.js 平台统计输出</x:v>
      </x:c>
      <x:c r="F8" s="34" t="str">
        <x:v>data.js 平台统计输出</x:v>
      </x:c>
      <x:c r="G8" s="34" t="str">
        <x:v>data.js 平台统计输出</x:v>
      </x:c>
    </x:row>
    <x:row r="9">
      <x:c r="A9" s="20" t="str">
        <x:v>日期</x:v>
      </x:c>
      <x:c r="B9" s="20" t="str">
        <x:v>数量</x:v>
      </x:c>
      <x:c r="D9" s="20" t="str">
        <x:v>平台</x:v>
      </x:c>
      <x:c r="E9" s="20" t="str">
        <x:v>总量</x:v>
      </x:c>
      <x:c r="F9" s="20" t="str">
        <x:v>支持认可</x:v>
      </x:c>
      <x:c r="G9" s="20" t="str">
        <x:v>非支持</x:v>
      </x:c>
    </x:row>
    <x:row r="10">
      <x:c r="A10" s="14" t="str">
        <x:v>2026-08-10</x:v>
      </x:c>
      <x:c r="B10" s="14" t="n">
        <x:v>4</x:v>
      </x:c>
      <x:c r="D10" s="15" t="str">
        <x:v>微博/热榜</x:v>
      </x:c>
      <x:c r="E10" s="15" t="n">
        <x:v>1</x:v>
      </x:c>
      <x:c r="F10" s="15" t="n">
        <x:v>1</x:v>
      </x:c>
      <x:c r="G10" s="15" t="n">
        <x:v>0</x:v>
      </x:c>
    </x:row>
    <x:row r="11" ht="30" customHeight="1">
      <x:c r="A11" s="37" t="str">
        <x:v>说明</x:v>
      </x:c>
      <x:c r="B11" s="37" t="str">
        <x:v>数值=4，其中含1条微博重复行计数；原子表为4条唯一计入行</x:v>
      </x:c>
      <x:c r="D11" s="15" t="str">
        <x:v>快手</x:v>
      </x:c>
      <x:c r="E11" s="15" t="n">
        <x:v>3</x:v>
      </x:c>
      <x:c r="F11" s="15" t="n">
        <x:v>1</x:v>
      </x:c>
      <x:c r="G11" s="15" t="n">
        <x:v>2</x:v>
      </x:c>
    </x:row>
    <x:row r="13" ht="30" customHeight="1">
      <x:c r="A13" s="40" t="str">
        <x:v>从舆情事实表公式重算（应一致）</x:v>
      </x:c>
      <x:c r="B13" s="40"/>
      <x:c r="C13" s="40"/>
    </x:row>
    <x:row r="14">
      <x:c r="A14" s="20" t="str">
        <x:v>指标</x:v>
      </x:c>
      <x:c r="B14" s="20" t="str">
        <x:v>结果</x:v>
      </x:c>
      <x:c r="C14" s="20" t="str">
        <x:v>公式说明</x:v>
      </x:c>
    </x:row>
    <x:row r="15">
      <x:c r="A15" s="15" t="str">
        <x:v>计入总数</x:v>
      </x:c>
      <x:c r="B15" s="22" t="n">
        <x:f>COUNTIF('舆情事实表（原子化）'!$W$2:$W$6,"是")</x:f>
        <x:v>4</x:v>
      </x:c>
      <x:c r="C15" s="42" t="str">
        <x:v>=COUNTIF(事实表W列, 是)</x:v>
      </x:c>
    </x:row>
    <x:row r="16">
      <x:c r="A16" s="15" t="str">
        <x:v>支持认可</x:v>
      </x:c>
      <x:c r="B16" s="22" t="n">
        <x:f>COUNTIFS('舆情事实表（原子化）'!$W$2:$W$6,"是",'舆情事实表（原子化）'!$Q$2:$Q$6,"支持认可")</x:f>
        <x:v>2</x:v>
      </x:c>
      <x:c r="C16" s="42" t="str">
        <x:v>=COUNTIFS(事实表W列=是 且 Q列=支持认可)</x:v>
      </x:c>
    </x:row>
    <x:row r="17">
      <x:c r="A17" s="15" t="str">
        <x:v>担忧影响</x:v>
      </x:c>
      <x:c r="B17" s="22" t="n">
        <x:f>COUNTIFS('舆情事实表（原子化）'!$W$2:$W$6,"是",'舆情事实表（原子化）'!$Q$2:$Q$6,"担忧影响")</x:f>
        <x:v>1</x:v>
      </x:c>
      <x:c r="C17" s="42" t="str">
        <x:v>=COUNTIFS(事实表W列=是 且 Q列=担忧影响)</x:v>
      </x:c>
    </x:row>
    <x:row r="18">
      <x:c r="A18" s="15" t="str">
        <x:v>明确批评</x:v>
      </x:c>
      <x:c r="B18" s="22" t="n">
        <x:f>COUNTIFS('舆情事实表（原子化）'!$W$2:$W$6,"是",'舆情事实表（原子化）'!$Q$2:$Q$6,"明确批评")</x:f>
        <x:v>1</x:v>
      </x:c>
      <x:c r="C18" s="42" t="str">
        <x:v>=COUNTIFS(事实表W列=是 且 Q列=明确批评)</x:v>
      </x:c>
    </x:row>
    <x:row r="19">
      <x:c r="A19" s="15" t="str">
        <x:v>非支持合计</x:v>
      </x:c>
      <x:c r="B19" s="22" t="n">
        <x:f>SUM(B17:B18)</x:f>
        <x:v>2</x:v>
      </x:c>
      <x:c r="C19" s="42" t="str">
        <x:v>=SUM(担忧影响+明确批评)</x:v>
      </x:c>
    </x:row>
  </x:sheetData>
  <x:mergeCells>
    <x:mergeCell ref="A1:H1"/>
    <x:mergeCell ref="A8:B8"/>
    <x:mergeCell ref="A11:B11"/>
    <x:mergeCell ref="D8:G8"/>
    <x:mergeCell ref="A13:C13"/>
  </x:mergeCells>
  <x:pageMargins left="0.7" right="0.7" top="0.75" bottom="0.75" header="0.3" footer="0.3"/>
</x:worksheet>
</file>