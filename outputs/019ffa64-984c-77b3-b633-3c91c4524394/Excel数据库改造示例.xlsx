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da3245d5804f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3c6e64f620ad46bd"/>
    <x:sheet xmlns:r="http://schemas.openxmlformats.org/officeDocument/2006/relationships" name="舆情事实表" sheetId="2" r:id="R794156e5ff614e98"/>
    <x:sheet xmlns:r="http://schemas.openxmlformats.org/officeDocument/2006/relationships" name="平台维度表" sheetId="3" r:id="R2f091cb906ab4a39"/>
    <x:sheet xmlns:r="http://schemas.openxmlformats.org/officeDocument/2006/relationships" name="地区维度表" sheetId="4" r:id="R6ccdb2536a5d4e8c"/>
    <x:sheet xmlns:r="http://schemas.openxmlformats.org/officeDocument/2006/relationships" name="省级维度表" sheetId="5" r:id="R39c153824b9d4c9c"/>
    <x:sheet xmlns:r="http://schemas.openxmlformats.org/officeDocument/2006/relationships" name="语言维度表" sheetId="6" r:id="R0852abe64bae4d8b"/>
    <x:sheet xmlns:r="http://schemas.openxmlformats.org/officeDocument/2006/relationships" name="非支持态度表" sheetId="7" r:id="Rb11ca05527dc4b07"/>
    <x:sheet xmlns:r="http://schemas.openxmlformats.org/officeDocument/2006/relationships" name="监测来源与查看信息" sheetId="8" r:id="Rec5486e7df1e411a"/>
    <x:sheet xmlns:r="http://schemas.openxmlformats.org/officeDocument/2006/relationships" name="高热内容表" sheetId="9" r:id="Raac3b5476c004a12"/>
    <x:sheet xmlns:r="http://schemas.openxmlformats.org/officeDocument/2006/relationships" name="待清洗区" sheetId="10" r:id="Rc9461a9c15f4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#,##0"/>
  </x:numFmts>
  <x:fonts count="6">
    <x:font>
      <x:sz val="11"/>
      <x:name val="Carlito"/>
    </x:font>
    <x:font>
      <x:b/>
      <x:sz val="14"/>
      <x:color rgb="FFFFFFFF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DDEBF7"/>
      </x:patternFill>
    </x:fill>
  </x:fills>
  <x:borders count="6">
    <x:border/>
    <x:border>
      <x:left style="thin">
        <x:color rgb="FF9FB6C9"/>
      </x:left>
      <x:right style="thin">
        <x:color rgb="FF9FB6C9"/>
      </x:right>
      <x:top style="thin">
        <x:color rgb="FF9FB6C9"/>
      </x:top>
      <x:bottom style="thin">
        <x:color rgb="FF9FB6C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8FA9BC"/>
      </x:left>
      <x:right style="thin">
        <x:color rgb="FF8FA9BC"/>
      </x:right>
      <x:top style="thin">
        <x:color rgb="FF8FA9BC"/>
      </x:top>
      <x:bottom style="thin">
        <x:color rgb="FF8FA9BC"/>
      </x:bottom>
    </x:border>
    <x:border>
      <x:left style="thin">
        <x:color rgb="FFD5DEE6"/>
      </x:left>
      <x:right style="thin">
        <x:color rgb="FFD5DEE6"/>
      </x:right>
      <x:top style="thin">
        <x:color rgb="FFD5DEE6"/>
      </x:top>
      <x:bottom style="thin">
        <x:color rgb="FFD5DEE6"/>
      </x:bottom>
    </x:border>
    <x:border>
      <x:left style="thin">
        <x:color rgb="FFB7C9D6"/>
      </x:left>
      <x:right style="thin">
        <x:color rgb="FFB7C9D6"/>
      </x:right>
      <x:top style="medium">
        <x:color rgb="FF8FA9BC"/>
      </x:top>
      <x:bottom style="thin">
        <x:color rgb="FFB7C9D6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1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4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horizontal="right" vertic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left" vertical="center"/>
    </x:xf>
    <x:xf numFmtId="200" fontId="0" fillId="0" borderId="4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 applyAlignment="1">
      <x:alignment horizontal="left" vertical="center" wrapText="1"/>
    </x:xf>
    <x:xf numFmtId="201" fontId="0" fillId="0" borderId="4" xfId="0" applyNumberFormat="1" applyFont="1" applyFill="1" applyBorder="1" applyAlignment="1">
      <x:alignment horizontal="left"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vertical="center"/>
    </x:xf>
    <x:xf numFmtId="201" fontId="5" fillId="4" borderId="5" xfId="0" applyNumberFormat="1" applyFont="1" applyFill="1" applyBorder="1" applyAlignment="1">
      <x:alignment vertical="center"/>
    </x:xf>
    <x:xf numFmtId="201" fontId="5" fillId="4" borderId="5" xfId="0" applyNumberFormat="1" applyFont="1" applyFill="1" applyBorder="1" applyAlignment="1">
      <x:alignment horizontal="right" vertical="center"/>
    </x:xf>
    <x:xf numFmtId="0" fontId="5" fillId="4" borderId="5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 applyAlignment="1">
      <x:alignment vertical="center"/>
    </x:xf>
    <x:xf numFmtId="201" fontId="0" fillId="4" borderId="2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201" fontId="5" fillId="4" borderId="2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vertical="center" wrapText="1"/>
    </x:xf>
    <x:xf numFmtId="0" fontId="0" fillId="4" borderId="4" xfId="0" applyNumberFormat="1" applyFont="1" applyFill="1" applyBorder="1" applyAlignment="1">
      <x:alignment horizontal="left" vertical="center"/>
    </x:xf>
    <x:xf numFmtId="201" fontId="0" fillId="4" borderId="4" xfId="0" applyNumberFormat="1" applyFont="1" applyFill="1" applyBorder="1" applyAlignment="1">
      <x:alignment horizontal="left" vertical="center"/>
    </x:xf>
    <x:xf numFmtId="0" fontId="0" fillId="4" borderId="4" xfId="0" applyNumberFormat="1" applyFont="1" applyFill="1" applyBorder="1" applyAlignment="1">
      <x:alignment horizontal="left" vertical="center" wrapText="1"/>
    </x:xf>
    <x:xf numFmtId="0" fontId="5" fillId="4" borderId="4" xfId="0" applyNumberFormat="1" applyFont="1" applyFill="1" applyBorder="1" applyAlignment="1">
      <x:alignment horizontal="left" vertical="center"/>
    </x:xf>
    <x:xf numFmtId="201" fontId="5" fillId="4" borderId="4" xfId="0" applyNumberFormat="1" applyFont="1" applyFill="1" applyBorder="1" applyAlignment="1">
      <x:alignment horizontal="left" vertical="center"/>
    </x:xf>
    <x:xf numFmtId="0" fontId="5" fillId="4" borderId="4" xfId="0" applyNumberFormat="1" applyFont="1" applyFill="1" applyBorder="1" applyAlignment="1">
      <x:alignment horizontal="left" vertical="center" wrapText="1"/>
    </x:xf>
    <x:xf numFmtId="200" fontId="0" fillId="0" borderId="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1">
    <x:dxf>
      <x:font>
        <x:color rgb="FF7A5B00"/>
      </x:font>
      <x:fill>
        <x:patternFill>
          <x:bgColor rgb="FFFFF3CD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ill>
        <x:patternFill patternType="solid">
          <x:bgColor rgb="FFEEF4FA"/>
        </x:patternFill>
      </x:fill>
    </x:dxf>
    <x:dxf>
      <x:font>
        <x:color rgb="FF7A5B00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2bacd1d5f34617" /><Relationship Type="http://schemas.openxmlformats.org/officeDocument/2006/relationships/theme" Target="/xl/theme/theme1.xml" Id="R60e7f801bb8d4f09" /><Relationship Type="http://schemas.openxmlformats.org/officeDocument/2006/relationships/sharedStrings" Target="/xl/sharedStrings.xml" Id="R7493c8ed75f54676" /><Relationship Type="http://schemas.openxmlformats.org/officeDocument/2006/relationships/worksheet" Target="/xl/worksheets/sheet1.xml" Id="R3c6e64f620ad46bd" /><Relationship Type="http://schemas.openxmlformats.org/officeDocument/2006/relationships/worksheet" Target="/xl/worksheets/sheet2.xml" Id="R794156e5ff614e98" /><Relationship Type="http://schemas.openxmlformats.org/officeDocument/2006/relationships/worksheet" Target="/xl/worksheets/sheet3.xml" Id="R2f091cb906ab4a39" /><Relationship Type="http://schemas.openxmlformats.org/officeDocument/2006/relationships/worksheet" Target="/xl/worksheets/sheet4.xml" Id="R6ccdb2536a5d4e8c" /><Relationship Type="http://schemas.openxmlformats.org/officeDocument/2006/relationships/worksheet" Target="/xl/worksheets/sheet5.xml" Id="R39c153824b9d4c9c" /><Relationship Type="http://schemas.openxmlformats.org/officeDocument/2006/relationships/worksheet" Target="/xl/worksheets/sheet6.xml" Id="R0852abe64bae4d8b" /><Relationship Type="http://schemas.openxmlformats.org/officeDocument/2006/relationships/worksheet" Target="/xl/worksheets/sheet7.xml" Id="Rb11ca05527dc4b07" /><Relationship Type="http://schemas.openxmlformats.org/officeDocument/2006/relationships/worksheet" Target="/xl/worksheets/sheet8.xml" Id="Rec5486e7df1e411a" /><Relationship Type="http://schemas.openxmlformats.org/officeDocument/2006/relationships/worksheet" Target="/xl/worksheets/sheet9.xml" Id="Raac3b5476c004a12" /><Relationship Type="http://schemas.openxmlformats.org/officeDocument/2006/relationships/worksheet" Target="/xl/worksheets/sheet10.xml" Id="Rc9461a9c15f443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42" customHeight="1">
      <x:c r="A1" s="21" t="str">
        <x:v>舆情数据「报表 → 数据库」原子化改造示例</x:v>
      </x:c>
      <x:c r="B1" s="21"/>
      <x:c r="C1" s="21"/>
      <x:c r="D1" s="21"/>
    </x:row>
    <x:row r="3" ht="32" customHeight="1">
      <x:c r="A3" s="24" t="str">
        <x:v>1. 本文件所有数据均为编造的示例数据，仅用于展示表格结构，不代表任何真实舆情。</x:v>
      </x:c>
      <x:c r="B3" s="24"/>
      <x:c r="C3" s="24"/>
      <x:c r="D3" s="24"/>
    </x:row>
    <x:row r="4" ht="32" customHeight="1">
      <x:c r="A4" s="24" t="str">
        <x:v>2. 核心原则：舆情事实表 = 一行一条不可再分的舆情事实；其余维度表全部用公式从事实表重算。</x:v>
      </x:c>
      <x:c r="B4" s="24"/>
      <x:c r="C4" s="24"/>
      <x:c r="D4" s="24"/>
    </x:row>
    <x:row r="5" ht="32" customHeight="1">
      <x:c r="A5" s="24" t="str">
        <x:v>3. 改造要点：去掉合并单元格、多行标题、汇总行混排；一列一属性；正文不含核验说明；每条记录有唯一编号用于去重。</x:v>
      </x:c>
      <x:c r="B5" s="24"/>
      <x:c r="C5" s="24"/>
      <x:c r="D5" s="24"/>
    </x:row>
    <x:row r="6" ht="32" customHeight="1">
      <x:c r="A6" s="24" t="str">
        <x:v>4. 字段与第二阶段统一字段规范一致：唯一编号、采集/发布时间、平台、具体来源、账号、正文、链接、地区/地区组/省份/城市/IP属地、语言、态度、问题类别、互动量、是否重点、是否计入、备注。</x:v>
      </x:c>
      <x:c r="B6" s="24"/>
      <x:c r="C6" s="24"/>
      <x:c r="D6" s="24"/>
    </x:row>
    <x:row r="7" ht="34" customHeight="1">
      <x:c r="A7" s="26" t="str">
        <x:v>5. 现有 16 个 Excel 的对应关系：</x:v>
      </x:c>
      <x:c r="B7" s="26"/>
      <x:c r="C7" s="26"/>
      <x:c r="D7" s="26"/>
    </x:row>
    <x:row r="8" ht="32" customHeight="1">
      <x:c r="A8" s="24" t="str">
        <x:v>   各平台「有效舆情明细 / 扁平化数据」→ 舆情事实表</x:v>
      </x:c>
      <x:c r="B8" s="24"/>
      <x:c r="C8" s="24"/>
      <x:c r="D8" s="24"/>
    </x:row>
    <x:row r="9" ht="32" customHeight="1">
      <x:c r="A9" s="24" t="str">
        <x:v>   「平台统计 / 公众意见汇总」→ 平台维度表（建议公式重算，不再手工填）</x:v>
      </x:c>
      <x:c r="B9" s="24"/>
      <x:c r="C9" s="24"/>
      <x:c r="D9" s="24"/>
    </x:row>
    <x:row r="10" ht="32" customHeight="1">
      <x:c r="A10" s="24" t="str">
        <x:v>   「地区统计 / 省级态度统计」→ 地区维度表、省级维度表</x:v>
      </x:c>
      <x:c r="B10" s="24"/>
      <x:c r="C10" s="24"/>
      <x:c r="D10" s="24"/>
    </x:row>
    <x:row r="11" ht="32" customHeight="1">
      <x:c r="A11" s="24" t="str">
        <x:v>   「语言统计」→ 语言维度表</x:v>
      </x:c>
      <x:c r="B11" s="24"/>
      <x:c r="C11" s="24"/>
      <x:c r="D11" s="24"/>
    </x:row>
    <x:row r="12" ht="32" customHeight="1">
      <x:c r="A12" s="24" t="str">
        <x:v>   「非支持态度统计 / 非支持来源与原话」→ 非支持态度表</x:v>
      </x:c>
      <x:c r="B12" s="24"/>
      <x:c r="C12" s="24"/>
      <x:c r="D12" s="24"/>
    </x:row>
    <x:row r="13" ht="32" customHeight="1">
      <x:c r="A13" s="24" t="str">
        <x:v>   「监测来源统计 / 查看信息统计」→ 监测来源与查看信息表</x:v>
      </x:c>
      <x:c r="B13" s="24"/>
      <x:c r="C13" s="24"/>
      <x:c r="D13" s="24"/>
    </x:row>
    <x:row r="14" ht="34" customHeight="1">
      <x:c r="A14" s="24" t="str">
        <x:v>   「高热内容榜 / 互动量」→ 高热内容表</x:v>
      </x:c>
      <x:c r="B14" s="24"/>
      <x:c r="C14" s="24"/>
      <x:c r="D14" s="24"/>
    </x:row>
    <x:row r="15" ht="36" customHeight="1">
      <x:c r="A15" s="24" t="str">
        <x:v>6. 待清洗区 = 各渠道原始数据先进这里，清洗/判题后写入事实表；缺字段或未命中关键词的行标记「待复核」。</x:v>
      </x:c>
      <x:c r="B15" s="24"/>
      <x:c r="C15" s="24"/>
      <x:c r="D15" s="24"/>
    </x:row>
    <x:row r="16" ht="24" customHeight="1">
      <x:c r="A16" s="4" t="str">
        <x:v>7. 改造完成后的对拍要求：用新表重算出的 data.js 与现有 data.js 数字完全一致（12,351 / 1,586 / 482 等），前端才不需要改动。</x:v>
      </x:c>
    </x:row>
  </x:sheetData>
  <x:mergeCells>
    <x:mergeCell ref="A1:D1"/>
    <x:mergeCell ref="A3:D3"/>
    <x:mergeCell ref="A4:D4"/>
    <x:mergeCell ref="A5:D5"/>
    <x:mergeCell ref="A6:D6"/>
    <x:mergeCell ref="A7:D7"/>
    <x:mergeCell ref="A8:D8"/>
    <x:mergeCell ref="A9:D9"/>
    <x:mergeCell ref="A10:D10"/>
    <x:mergeCell ref="A11:D11"/>
    <x:mergeCell ref="A12:D12"/>
    <x:mergeCell ref="A13:D13"/>
    <x:mergeCell ref="A14:D14"/>
    <x:mergeCell ref="A15:D15"/>
    <x:mergeCell ref="A16:D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10" hidden="0" customWidth="1"/>
    <x:col min="5" max="5" width="17" hidden="0" customWidth="1"/>
    <x:col min="6" max="6" width="17" hidden="0" customWidth="1"/>
    <x:col min="7" max="7" width="14" hidden="0" customWidth="1"/>
    <x:col min="8" max="8" width="52" hidden="0" customWidth="1"/>
    <x:col min="9" max="9" width="30" hidden="0" customWidth="1"/>
    <x:col min="10" max="10" width="8" hidden="0" customWidth="1"/>
    <x:col min="11" max="11" width="24" hidden="0" customWidth="1"/>
    <x:col min="12" max="12" width="8" hidden="0" customWidth="1"/>
    <x:col min="13" max="13" width="9" hidden="0" customWidth="1"/>
    <x:col min="14" max="14" width="8" hidden="0" customWidth="1"/>
    <x:col min="15" max="15" width="8" hidden="0" customWidth="1"/>
    <x:col min="16" max="16" width="11" hidden="0" customWidth="1"/>
    <x:col min="17" max="17" width="10" hidden="0" customWidth="1"/>
    <x:col min="18" max="18" width="11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10" hidden="0" customWidth="1"/>
    <x:col min="24" max="24" width="22" hidden="0" customWidth="1"/>
  </x:cols>
  <x:sheetData>
    <x:row r="1" ht="34" customHeight="1">
      <x:c r="A1" s="31" t="str">
        <x:v>唯一编号</x:v>
      </x:c>
      <x:c r="B1" s="31" t="str">
        <x:v>采集时间</x:v>
      </x:c>
      <x:c r="C1" s="31" t="str">
        <x:v>发布时间</x:v>
      </x:c>
      <x:c r="D1" s="31" t="str">
        <x:v>平台</x:v>
      </x:c>
      <x:c r="E1" s="31" t="str">
        <x:v>平台组</x:v>
      </x:c>
      <x:c r="F1" s="31" t="str">
        <x:v>具体来源</x:v>
      </x:c>
      <x:c r="G1" s="31" t="str">
        <x:v>账号</x:v>
      </x:c>
      <x:c r="H1" s="31" t="str">
        <x:v>正文</x:v>
      </x:c>
      <x:c r="I1" s="31" t="str">
        <x:v>原始链接</x:v>
      </x:c>
      <x:c r="J1" s="31" t="str">
        <x:v>地区</x:v>
      </x:c>
      <x:c r="K1" s="31" t="str">
        <x:v>地区组</x:v>
      </x:c>
      <x:c r="L1" s="31" t="str">
        <x:v>省份</x:v>
      </x:c>
      <x:c r="M1" s="31" t="str">
        <x:v>城市</x:v>
      </x:c>
      <x:c r="N1" s="31" t="str">
        <x:v>IP属地</x:v>
      </x:c>
      <x:c r="O1" s="31" t="str">
        <x:v>语言</x:v>
      </x:c>
      <x:c r="P1" s="31" t="str">
        <x:v>是否少数民族语言</x:v>
      </x:c>
      <x:c r="Q1" s="31" t="str">
        <x:v>总体态度</x:v>
      </x:c>
      <x:c r="R1" s="31" t="str">
        <x:v>具体问题类别</x:v>
      </x:c>
      <x:c r="S1" s="31" t="str">
        <x:v>点赞量</x:v>
      </x:c>
      <x:c r="T1" s="31" t="str">
        <x:v>评论量</x:v>
      </x:c>
      <x:c r="U1" s="31" t="str">
        <x:v>转发量</x:v>
      </x:c>
      <x:c r="V1" s="31" t="str">
        <x:v>是否重点</x:v>
      </x:c>
      <x:c r="W1" s="31" t="str">
        <x:v>是否计入统计</x:v>
      </x:c>
      <x:c r="X1" s="31" t="str">
        <x:v>备注</x:v>
      </x:c>
    </x:row>
    <x:row r="2" ht="46" customHeight="1">
      <x:c r="A2" s="38" t="str">
        <x:v>OQ-20260814-0001</x:v>
      </x:c>
      <x:c r="B2" s="39" t="n">
        <x:v>46248.08484953704</x:v>
      </x:c>
      <x:c r="C2" s="39" t="n">
        <x:v>46248.07430555556</x:v>
      </x:c>
      <x:c r="D2" s="38" t="str">
        <x:v>微博</x:v>
      </x:c>
      <x:c r="E2" s="38" t="str">
        <x:v>微博/热榜</x:v>
      </x:c>
      <x:c r="F2" s="38" t="str">
        <x:v>微博热榜·民族话题</x:v>
      </x:c>
      <x:c r="G2" s="38" t="str">
        <x:v>@示例用户A</x:v>
      </x:c>
      <x:c r="H2" s="40" t="str">
        <x:v>支持民族团结进步促进法，各民族要像石榴籽一样紧紧抱在一起。</x:v>
      </x:c>
      <x:c r="I2" s="40" t="str">
        <x:v>https://weibo.com/example/0001</x:v>
      </x:c>
      <x:c r="J2" s="38" t="str">
        <x:v>四川</x:v>
      </x:c>
      <x:c r="K2" s="38" t="str">
        <x:v>四川、甘肃民族地区</x:v>
      </x:c>
      <x:c r="L2" s="38" t="str">
        <x:v>四川</x:v>
      </x:c>
      <x:c r="M2" s="38" t="str">
        <x:v>成都</x:v>
      </x:c>
      <x:c r="N2" s="38" t="str">
        <x:v>四川</x:v>
      </x:c>
      <x:c r="O2" s="38" t="str">
        <x:v>中文</x:v>
      </x:c>
      <x:c r="P2" s="38" t="str">
        <x:v>否</x:v>
      </x:c>
      <x:c r="Q2" s="38" t="str">
        <x:v>支持认可</x:v>
      </x:c>
      <x:c r="R2" s="38" t="str">
        <x:v>-</x:v>
      </x:c>
      <x:c r="S2" s="41" t="n">
        <x:v>328</x:v>
      </x:c>
      <x:c r="T2" s="41" t="n">
        <x:v>56</x:v>
      </x:c>
      <x:c r="U2" s="41" t="n">
        <x:v>12</x:v>
      </x:c>
      <x:c r="V2" s="38" t="str">
        <x:v>否</x:v>
      </x:c>
      <x:c r="W2" s="38" t="str">
        <x:v>是</x:v>
      </x:c>
      <x:c r="X2" s="40" t="str">
        <x:v>示例数据，可删除</x:v>
      </x:c>
    </x:row>
    <x:row r="3" ht="46" customHeight="1">
      <x:c r="A3" s="38" t="str">
        <x:v>OQ-20260814-0002</x:v>
      </x:c>
      <x:c r="B3" s="39" t="n">
        <x:v>46248.0871875</x:v>
      </x:c>
      <x:c r="C3" s="39" t="n">
        <x:v>46248.08472222222</x:v>
      </x:c>
      <x:c r="D3" s="38" t="str">
        <x:v>抖音</x:v>
      </x:c>
      <x:c r="E3" s="38" t="str">
        <x:v>抖音等视频平台</x:v>
      </x:c>
      <x:c r="F3" s="38" t="str">
        <x:v>抖音·普法视频评论区</x:v>
      </x:c>
      <x:c r="G3" s="38" t="str">
        <x:v>示例账号B</x:v>
      </x:c>
      <x:c r="H3" s="40" t="str">
        <x:v>请问促进法对少数民族学生升学、就业有什么具体保护措施？</x:v>
      </x:c>
      <x:c r="I3" s="40" t="str">
        <x:v>https://douyin.com/example/0002</x:v>
      </x:c>
      <x:c r="J3" s="38" t="str">
        <x:v>新疆</x:v>
      </x:c>
      <x:c r="K3" s="38" t="str">
        <x:v>新疆</x:v>
      </x:c>
      <x:c r="L3" s="38" t="str">
        <x:v>新疆</x:v>
      </x:c>
      <x:c r="M3" s="38" t="str">
        <x:v>乌鲁木齐</x:v>
      </x:c>
      <x:c r="N3" s="38" t="str">
        <x:v>新疆</x:v>
      </x:c>
      <x:c r="O3" s="38" t="str">
        <x:v>中文</x:v>
      </x:c>
      <x:c r="P3" s="38" t="str">
        <x:v>否</x:v>
      </x:c>
      <x:c r="Q3" s="38" t="str">
        <x:v>咨询疑问</x:v>
      </x:c>
      <x:c r="R3" s="38" t="str">
        <x:v>咨询疑问</x:v>
      </x:c>
      <x:c r="S3" s="41" t="n">
        <x:v>12</x:v>
      </x:c>
      <x:c r="T3" s="41" t="n">
        <x:v>3</x:v>
      </x:c>
      <x:c r="U3" s="41" t="n">
        <x:v>0</x:v>
      </x:c>
      <x:c r="V3" s="38" t="str">
        <x:v>否</x:v>
      </x:c>
      <x:c r="W3" s="38" t="str">
        <x:v>是</x:v>
      </x:c>
      <x:c r="X3" s="40" t="str">
        <x:v>示例数据</x:v>
      </x:c>
    </x:row>
    <x:row r="4" ht="46" customHeight="1">
      <x:c r="A4" s="38" t="str">
        <x:v>OQ-20260814-0003</x:v>
      </x:c>
      <x:c r="B4" s="39" t="n">
        <x:v>46248.08940972222</x:v>
      </x:c>
      <x:c r="C4" s="39" t="n">
        <x:v>46248.0625</x:v>
      </x:c>
      <x:c r="D4" s="38" t="str">
        <x:v>快手</x:v>
      </x:c>
      <x:c r="E4" s="38" t="str">
        <x:v>快手</x:v>
      </x:c>
      <x:c r="F4" s="38" t="str">
        <x:v>彝语口播普法视频</x:v>
      </x:c>
      <x:c r="G4" s="38" t="str">
        <x:v>示例账号C</x:v>
      </x:c>
      <x:c r="H4" s="40" t="str">
        <x:v>（彝语）支持促进法，希望家乡越来越团结。</x:v>
      </x:c>
      <x:c r="I4" s="40" t="str">
        <x:v>https://kuaishou.com/example/0003</x:v>
      </x:c>
      <x:c r="J4" s="38" t="str">
        <x:v>云南</x:v>
      </x:c>
      <x:c r="K4" s="38" t="str">
        <x:v>云南东中部民族地区</x:v>
      </x:c>
      <x:c r="L4" s="38" t="str">
        <x:v>云南</x:v>
      </x:c>
      <x:c r="M4" s="38" t="str">
        <x:v>楚雄</x:v>
      </x:c>
      <x:c r="N4" s="38" t="str">
        <x:v>云南</x:v>
      </x:c>
      <x:c r="O4" s="38" t="str">
        <x:v>彝语</x:v>
      </x:c>
      <x:c r="P4" s="38" t="str">
        <x:v>是</x:v>
      </x:c>
      <x:c r="Q4" s="38" t="str">
        <x:v>支持认可</x:v>
      </x:c>
      <x:c r="R4" s="38" t="str">
        <x:v>-</x:v>
      </x:c>
      <x:c r="S4" s="41" t="n">
        <x:v>66</x:v>
      </x:c>
      <x:c r="T4" s="41" t="n">
        <x:v>8</x:v>
      </x:c>
      <x:c r="U4" s="41" t="n">
        <x:v>2</x:v>
      </x:c>
      <x:c r="V4" s="38" t="str">
        <x:v>否</x:v>
      </x:c>
      <x:c r="W4" s="38" t="str">
        <x:v>是</x:v>
      </x:c>
      <x:c r="X4" s="40" t="str">
        <x:v>示例数据</x:v>
      </x:c>
    </x:row>
    <x:row r="5" ht="46" customHeight="1">
      <x:c r="A5" s="38" t="str">
        <x:v>OQ-20260814-0004</x:v>
      </x:c>
      <x:c r="B5" s="39" t="n">
        <x:v>46248.091203703705</x:v>
      </x:c>
      <x:c r="C5" s="39" t="n">
        <x:v>46248.038194444445</x:v>
      </x:c>
      <x:c r="D5" s="38" t="str">
        <x:v>微信公众号</x:v>
      </x:c>
      <x:c r="E5" s="38" t="str">
        <x:v>微信公众号/视频号</x:v>
      </x:c>
      <x:c r="F5" s="38" t="str">
        <x:v>本地融媒文章评论区</x:v>
      </x:c>
      <x:c r="G5" s="38" t="str">
        <x:v>示例公众号D</x:v>
      </x:c>
      <x:c r="H5" s="40" t="str">
        <x:v>希望执法不要走过场，真正保护少数民族就业权益。</x:v>
      </x:c>
      <x:c r="I5" s="40" t="str">
        <x:v>https://mp.weixin.qq.com/example/0004</x:v>
      </x:c>
      <x:c r="J5" s="38" t="str">
        <x:v>甘肃</x:v>
      </x:c>
      <x:c r="K5" s="38" t="str">
        <x:v>四川、甘肃民族地区</x:v>
      </x:c>
      <x:c r="L5" s="38" t="str">
        <x:v>甘肃</x:v>
      </x:c>
      <x:c r="M5" s="38" t="str">
        <x:v>兰州</x:v>
      </x:c>
      <x:c r="N5" s="38" t="str">
        <x:v>甘肃</x:v>
      </x:c>
      <x:c r="O5" s="38" t="str">
        <x:v>中文</x:v>
      </x:c>
      <x:c r="P5" s="38" t="str">
        <x:v>否</x:v>
      </x:c>
      <x:c r="Q5" s="38" t="str">
        <x:v>担忧影响</x:v>
      </x:c>
      <x:c r="R5" s="38" t="str">
        <x:v>担忧影响</x:v>
      </x:c>
      <x:c r="S5" s="41" t="n">
        <x:v>5</x:v>
      </x:c>
      <x:c r="T5" s="41" t="n">
        <x:v>2</x:v>
      </x:c>
      <x:c r="U5" s="41" t="n">
        <x:v>0</x:v>
      </x:c>
      <x:c r="V5" s="38" t="str">
        <x:v>否</x:v>
      </x:c>
      <x:c r="W5" s="38" t="str">
        <x:v>是</x:v>
      </x:c>
      <x:c r="X5" s="40" t="str">
        <x:v>示例数据</x:v>
      </x:c>
    </x:row>
    <x:row r="6" ht="46" customHeight="1">
      <x:c r="A6" s="38" t="str">
        <x:v>OQ-20260814-0005</x:v>
      </x:c>
      <x:c r="B6" s="39" t="n">
        <x:v>46248.09307870371</x:v>
      </x:c>
      <x:c r="C6" s="39" t="n">
        <x:v>46248.09027777778</x:v>
      </x:c>
      <x:c r="D6" s="38" t="str">
        <x:v>知乎</x:v>
      </x:c>
      <x:c r="E6" s="38" t="str">
        <x:v>知乎/B站/百度知道</x:v>
      </x:c>
      <x:c r="F6" s="38" t="str">
        <x:v>法律话题回答</x:v>
      </x:c>
      <x:c r="G6" s="38" t="str">
        <x:v>示例用户E</x:v>
      </x:c>
      <x:c r="H6" s="40" t="str">
        <x:v>促进法实施后如何界定“民族歧视”？建议尽快出台细则。</x:v>
      </x:c>
      <x:c r="I6" s="40" t="str">
        <x:v>https://zhihu.com/example/0005</x:v>
      </x:c>
      <x:c r="J6" s="38" t="str">
        <x:v>北京</x:v>
      </x:c>
      <x:c r="K6" s="38" t="str">
        <x:v>北京</x:v>
      </x:c>
      <x:c r="L6" s="38" t="str">
        <x:v>北京</x:v>
      </x:c>
      <x:c r="M6" s="38" t="str">
        <x:v>北京</x:v>
      </x:c>
      <x:c r="N6" s="38" t="str">
        <x:v>北京</x:v>
      </x:c>
      <x:c r="O6" s="38" t="str">
        <x:v>中文</x:v>
      </x:c>
      <x:c r="P6" s="38" t="str">
        <x:v>否</x:v>
      </x:c>
      <x:c r="Q6" s="38" t="str">
        <x:v>咨询疑问</x:v>
      </x:c>
      <x:c r="R6" s="38" t="str">
        <x:v>咨询疑问</x:v>
      </x:c>
      <x:c r="S6" s="41" t="n">
        <x:v>41</x:v>
      </x:c>
      <x:c r="T6" s="41" t="n">
        <x:v>9</x:v>
      </x:c>
      <x:c r="U6" s="41" t="n">
        <x:v>1</x:v>
      </x:c>
      <x:c r="V6" s="38" t="str">
        <x:v>否</x:v>
      </x:c>
      <x:c r="W6" s="38" t="str">
        <x:v>是</x:v>
      </x:c>
      <x:c r="X6" s="40" t="str">
        <x:v>示例数据</x:v>
      </x:c>
    </x:row>
    <x:row r="7" ht="46" customHeight="1">
      <x:c r="A7" s="38" t="str">
        <x:v>OQ-20260814-0006</x:v>
      </x:c>
      <x:c r="B7" s="39" t="n">
        <x:v>46248.095717592594</x:v>
      </x:c>
      <x:c r="C7" s="39" t="n">
        <x:v>46248.05</x:v>
      </x:c>
      <x:c r="D7" s="38" t="str">
        <x:v>快手</x:v>
      </x:c>
      <x:c r="E7" s="38" t="str">
        <x:v>快手</x:v>
      </x:c>
      <x:c r="F7" s="38" t="str">
        <x:v>招聘信息评论区</x:v>
      </x:c>
      <x:c r="G7" s="38" t="str">
        <x:v>示例用户F</x:v>
      </x:c>
      <x:c r="H7" s="40" t="str">
        <x:v>反映某公司招聘写明“汉族优先”，已截图，请核实处理。</x:v>
      </x:c>
      <x:c r="I7" s="40" t="str">
        <x:v>https://kuaishou.com/example/0006</x:v>
      </x:c>
      <x:c r="J7" s="38" t="str">
        <x:v>内蒙古</x:v>
      </x:c>
      <x:c r="K7" s="38" t="str">
        <x:v>内蒙古、河北及东北</x:v>
      </x:c>
      <x:c r="L7" s="38" t="str">
        <x:v>内蒙古</x:v>
      </x:c>
      <x:c r="M7" s="38" t="str">
        <x:v>呼和浩特</x:v>
      </x:c>
      <x:c r="N7" s="38" t="str">
        <x:v>内蒙古</x:v>
      </x:c>
      <x:c r="O7" s="38" t="str">
        <x:v>中文</x:v>
      </x:c>
      <x:c r="P7" s="38" t="str">
        <x:v>否</x:v>
      </x:c>
      <x:c r="Q7" s="38" t="str">
        <x:v>明确批评</x:v>
      </x:c>
      <x:c r="R7" s="38" t="str">
        <x:v>歧视偏见</x:v>
      </x:c>
      <x:c r="S7" s="41" t="n">
        <x:v>89</x:v>
      </x:c>
      <x:c r="T7" s="41" t="n">
        <x:v>33</x:v>
      </x:c>
      <x:c r="U7" s="41" t="n">
        <x:v>5</x:v>
      </x:c>
      <x:c r="V7" s="38" t="str">
        <x:v>是</x:v>
      </x:c>
      <x:c r="W7" s="38" t="str">
        <x:v>是</x:v>
      </x:c>
      <x:c r="X7" s="40" t="str">
        <x:v>示例数据</x:v>
      </x:c>
    </x:row>
    <x:row r="8" ht="46" customHeight="1">
      <x:c r="A8" s="38" t="str">
        <x:v>OQ-20260814-0007</x:v>
      </x:c>
      <x:c r="B8" s="39" t="n">
        <x:v>46248.09731481481</x:v>
      </x:c>
      <x:c r="C8" s="39" t="n">
        <x:v>46248.086805555555</x:v>
      </x:c>
      <x:c r="D8" s="38" t="str">
        <x:v>B站</x:v>
      </x:c>
      <x:c r="E8" s="38" t="str">
        <x:v>知乎/B站/百度知道</x:v>
      </x:c>
      <x:c r="F8" s="38" t="str">
        <x:v>普法视频弹幕区</x:v>
      </x:c>
      <x:c r="G8" s="38" t="str">
        <x:v>示例用户G</x:v>
      </x:c>
      <x:c r="H8" s="40" t="str">
        <x:v>支持，希望各民族像石榴籽一样团结。</x:v>
      </x:c>
      <x:c r="I8" s="40" t="str">
        <x:v>https://bilibili.com/example/0007</x:v>
      </x:c>
      <x:c r="J8" s="38" t="str">
        <x:v>青海</x:v>
      </x:c>
      <x:c r="K8" s="38" t="str">
        <x:v>青海、西藏</x:v>
      </x:c>
      <x:c r="L8" s="38" t="str">
        <x:v>青海</x:v>
      </x:c>
      <x:c r="M8" s="38" t="str">
        <x:v>西宁</x:v>
      </x:c>
      <x:c r="N8" s="38" t="str">
        <x:v>青海</x:v>
      </x:c>
      <x:c r="O8" s="38" t="str">
        <x:v>中文</x:v>
      </x:c>
      <x:c r="P8" s="38" t="str">
        <x:v>否</x:v>
      </x:c>
      <x:c r="Q8" s="38" t="str">
        <x:v>支持认可</x:v>
      </x:c>
      <x:c r="R8" s="38" t="str">
        <x:v>-</x:v>
      </x:c>
      <x:c r="S8" s="41" t="n">
        <x:v>7</x:v>
      </x:c>
      <x:c r="T8" s="41" t="n">
        <x:v>1</x:v>
      </x:c>
      <x:c r="U8" s="41" t="n">
        <x:v>0</x:v>
      </x:c>
      <x:c r="V8" s="38" t="str">
        <x:v>否</x:v>
      </x:c>
      <x:c r="W8" s="38" t="str">
        <x:v>是</x:v>
      </x:c>
      <x:c r="X8" s="40" t="str">
        <x:v>示例数据</x:v>
      </x:c>
    </x:row>
    <x:row r="9" ht="46" customHeight="1">
      <x:c r="A9" s="38" t="str">
        <x:v>OQ-20260814-0008</x:v>
      </x:c>
      <x:c r="B9" s="39" t="n">
        <x:v>46248.09978009259</x:v>
      </x:c>
      <x:c r="C9" s="39" t="n">
        <x:v>46248.08194444444</x:v>
      </x:c>
      <x:c r="D9" s="38" t="str">
        <x:v>今日头条</x:v>
      </x:c>
      <x:c r="E9" s="38" t="str">
        <x:v>贴吧/头条/新闻评论</x:v>
      </x:c>
      <x:c r="F9" s="38" t="str">
        <x:v>新闻评论区</x:v>
      </x:c>
      <x:c r="G9" s="38" t="str">
        <x:v>示例用户H</x:v>
      </x:c>
      <x:c r="H9" s="40" t="str">
        <x:v>促进法很好，建议多开展双语普法宣传。</x:v>
      </x:c>
      <x:c r="I9" s="40" t="str">
        <x:v>https://toutiao.com/example/0008</x:v>
      </x:c>
      <x:c r="J9" s="38" t="str">
        <x:v>西藏</x:v>
      </x:c>
      <x:c r="K9" s="38" t="str">
        <x:v>青海、西藏</x:v>
      </x:c>
      <x:c r="L9" s="38" t="str">
        <x:v>西藏</x:v>
      </x:c>
      <x:c r="M9" s="38" t="str">
        <x:v>拉萨</x:v>
      </x:c>
      <x:c r="N9" s="38" t="str">
        <x:v>西藏</x:v>
      </x:c>
      <x:c r="O9" s="38" t="str">
        <x:v>藏语</x:v>
      </x:c>
      <x:c r="P9" s="38" t="str">
        <x:v>是</x:v>
      </x:c>
      <x:c r="Q9" s="38" t="str">
        <x:v>参与建议</x:v>
      </x:c>
      <x:c r="R9" s="38" t="str">
        <x:v>参与建议</x:v>
      </x:c>
      <x:c r="S9" s="41" t="n">
        <x:v>23</x:v>
      </x:c>
      <x:c r="T9" s="41" t="n">
        <x:v>4</x:v>
      </x:c>
      <x:c r="U9" s="41" t="n">
        <x:v>1</x:v>
      </x:c>
      <x:c r="V9" s="38" t="str">
        <x:v>否</x:v>
      </x:c>
      <x:c r="W9" s="38" t="str">
        <x:v>是</x:v>
      </x:c>
      <x:c r="X9" s="40" t="str">
        <x:v>示例数据</x:v>
      </x:c>
    </x:row>
    <x:row r="10" ht="46" customHeight="1">
      <x:c r="A10" s="38" t="str">
        <x:v>OQ-20260814-0009</x:v>
      </x:c>
      <x:c r="B10" s="39" t="n">
        <x:v>46248.1016087963</x:v>
      </x:c>
      <x:c r="C10" s="39" t="n">
        <x:v>46248.08888888889</x:v>
      </x:c>
      <x:c r="D10" s="38" t="str">
        <x:v>抖音</x:v>
      </x:c>
      <x:c r="E10" s="38" t="str">
        <x:v>抖音等视频平台</x:v>
      </x:c>
      <x:c r="F10" s="38" t="str">
        <x:v>视频评论区</x:v>
      </x:c>
      <x:c r="G10" s="38" t="str">
        <x:v>示例用户I</x:v>
      </x:c>
      <x:c r="H10" s="40" t="str">
        <x:v>我们厂里招聘现在没那么多条条框框了，支持。</x:v>
      </x:c>
      <x:c r="I10" s="40" t="str">
        <x:v>https://douyin.com/example/0009</x:v>
      </x:c>
      <x:c r="J10" s="38" t="str">
        <x:v>四川</x:v>
      </x:c>
      <x:c r="K10" s="38" t="str">
        <x:v>四川、甘肃民族地区</x:v>
      </x:c>
      <x:c r="L10" s="38" t="str">
        <x:v>四川</x:v>
      </x:c>
      <x:c r="M10" s="38" t="str">
        <x:v>凉山</x:v>
      </x:c>
      <x:c r="N10" s="38" t="str">
        <x:v>四川</x:v>
      </x:c>
      <x:c r="O10" s="38" t="str">
        <x:v>中文</x:v>
      </x:c>
      <x:c r="P10" s="38" t="str">
        <x:v>否</x:v>
      </x:c>
      <x:c r="Q10" s="38" t="str">
        <x:v>支持认可</x:v>
      </x:c>
      <x:c r="R10" s="38" t="str">
        <x:v>-</x:v>
      </x:c>
      <x:c r="S10" s="41" t="n">
        <x:v>152</x:v>
      </x:c>
      <x:c r="T10" s="41" t="n">
        <x:v>20</x:v>
      </x:c>
      <x:c r="U10" s="41" t="n">
        <x:v>3</x:v>
      </x:c>
      <x:c r="V10" s="38" t="str">
        <x:v>否</x:v>
      </x:c>
      <x:c r="W10" s="38" t="str">
        <x:v>是</x:v>
      </x:c>
      <x:c r="X10" s="40" t="str">
        <x:v>示例数据</x:v>
      </x:c>
    </x:row>
    <x:row r="11" ht="46" customHeight="1">
      <x:c r="A11" s="38" t="str">
        <x:v>OQ-20260814-0010</x:v>
      </x:c>
      <x:c r="B11" s="39" t="n">
        <x:v>46248.103530092594</x:v>
      </x:c>
      <x:c r="C11" s="39" t="n">
        <x:v>46248.084027777775</x:v>
      </x:c>
      <x:c r="D11" s="38" t="str">
        <x:v>微博</x:v>
      </x:c>
      <x:c r="E11" s="38" t="str">
        <x:v>微博/热榜</x:v>
      </x:c>
      <x:c r="F11" s="38" t="str">
        <x:v>超话讨论</x:v>
      </x:c>
      <x:c r="G11" s="38" t="str">
        <x:v>示例用户J</x:v>
      </x:c>
      <x:c r="H11" s="40" t="str">
        <x:v>担心促进法在基层落实不到位，希望能有监督渠道。</x:v>
      </x:c>
      <x:c r="I11" s="40" t="str">
        <x:v>https://weibo.com/example/0010</x:v>
      </x:c>
      <x:c r="J11" s="38" t="str">
        <x:v>甘肃</x:v>
      </x:c>
      <x:c r="K11" s="38" t="str">
        <x:v>四川、甘肃民族地区</x:v>
      </x:c>
      <x:c r="L11" s="38" t="str">
        <x:v>甘肃</x:v>
      </x:c>
      <x:c r="M11" s="38" t="str">
        <x:v>临夏</x:v>
      </x:c>
      <x:c r="N11" s="38" t="str">
        <x:v>甘肃</x:v>
      </x:c>
      <x:c r="O11" s="38" t="str">
        <x:v>中文</x:v>
      </x:c>
      <x:c r="P11" s="38" t="str">
        <x:v>否</x:v>
      </x:c>
      <x:c r="Q11" s="38" t="str">
        <x:v>担忧影响</x:v>
      </x:c>
      <x:c r="R11" s="38" t="str">
        <x:v>担忧影响</x:v>
      </x:c>
      <x:c r="S11" s="41" t="n">
        <x:v>18</x:v>
      </x:c>
      <x:c r="T11" s="41" t="n">
        <x:v>7</x:v>
      </x:c>
      <x:c r="U11" s="41" t="n">
        <x:v>0</x:v>
      </x:c>
      <x:c r="V11" s="38" t="str">
        <x:v>否</x:v>
      </x:c>
      <x:c r="W11" s="38" t="str">
        <x:v>是</x:v>
      </x:c>
      <x:c r="X11" s="40" t="str">
        <x:v>示例数据</x:v>
      </x:c>
    </x:row>
    <x:row r="12" ht="46" customHeight="1">
      <x:c r="A12" s="38" t="str">
        <x:v>OQ-20260814-0011</x:v>
      </x:c>
      <x:c r="B12" s="39" t="n">
        <x:v>46248.10586805556</x:v>
      </x:c>
      <x:c r="C12" s="39" t="n">
        <x:v>46248.09375</x:v>
      </x:c>
      <x:c r="D12" s="38" t="str">
        <x:v>微信公众号</x:v>
      </x:c>
      <x:c r="E12" s="38" t="str">
        <x:v>微信公众号/视频号</x:v>
      </x:c>
      <x:c r="F12" s="38" t="str">
        <x:v>评论区</x:v>
      </x:c>
      <x:c r="G12" s="38" t="str">
        <x:v>示例账号K</x:v>
      </x:c>
      <x:c r="H12" s="40" t="str">
        <x:v>请问促进法对少数民族传统节日有什么规定？</x:v>
      </x:c>
      <x:c r="I12" s="40" t="str">
        <x:v>https://mp.weixin.qq.com/example/0011</x:v>
      </x:c>
      <x:c r="J12" s="38" t="str">
        <x:v>广西</x:v>
      </x:c>
      <x:c r="K12" s="38" t="str">
        <x:v>广西</x:v>
      </x:c>
      <x:c r="L12" s="38" t="str">
        <x:v>广西</x:v>
      </x:c>
      <x:c r="M12" s="38" t="str">
        <x:v>南宁</x:v>
      </x:c>
      <x:c r="N12" s="38" t="str">
        <x:v>广西</x:v>
      </x:c>
      <x:c r="O12" s="38" t="str">
        <x:v>中文</x:v>
      </x:c>
      <x:c r="P12" s="38" t="str">
        <x:v>否</x:v>
      </x:c>
      <x:c r="Q12" s="38" t="str">
        <x:v>咨询疑问</x:v>
      </x:c>
      <x:c r="R12" s="38" t="str">
        <x:v>咨询疑问</x:v>
      </x:c>
      <x:c r="S12" s="41" t="n">
        <x:v>3</x:v>
      </x:c>
      <x:c r="T12" s="41" t="n">
        <x:v>1</x:v>
      </x:c>
      <x:c r="U12" s="41" t="n">
        <x:v>0</x:v>
      </x:c>
      <x:c r="V12" s="38" t="str">
        <x:v>否</x:v>
      </x:c>
      <x:c r="W12" s="38" t="str">
        <x:v>是</x:v>
      </x:c>
      <x:c r="X12" s="40" t="str">
        <x:v>示例数据</x:v>
      </x:c>
    </x:row>
    <x:row r="13" ht="46" customHeight="1">
      <x:c r="A13" s="38" t="str">
        <x:v>OQ-20260814-0012</x:v>
      </x:c>
      <x:c r="B13" s="39" t="n">
        <x:v>46248.107777777775</x:v>
      </x:c>
      <x:c r="C13" s="39" t="n">
        <x:v>46248.09722222222</x:v>
      </x:c>
      <x:c r="D13" s="38" t="str">
        <x:v>快手</x:v>
      </x:c>
      <x:c r="E13" s="38" t="str">
        <x:v>快手</x:v>
      </x:c>
      <x:c r="F13" s="38" t="str">
        <x:v>评论区</x:v>
      </x:c>
      <x:c r="G13" s="38" t="str">
        <x:v>示例账号L</x:v>
      </x:c>
      <x:c r="H13" s="40" t="str">
        <x:v>反对就业歧视，支持促进法！</x:v>
      </x:c>
      <x:c r="I13" s="40" t="str">
        <x:v>https://kuaishou.com/example/0012</x:v>
      </x:c>
      <x:c r="J13" s="38" t="str">
        <x:v>宁夏</x:v>
      </x:c>
      <x:c r="K13" s="38" t="str">
        <x:v>宁夏、贵州、重庆、湖南、湖北、浙江</x:v>
      </x:c>
      <x:c r="L13" s="38" t="str">
        <x:v>宁夏</x:v>
      </x:c>
      <x:c r="M13" s="38" t="str">
        <x:v>银川</x:v>
      </x:c>
      <x:c r="N13" s="38" t="str">
        <x:v>宁夏</x:v>
      </x:c>
      <x:c r="O13" s="38" t="str">
        <x:v>中文</x:v>
      </x:c>
      <x:c r="P13" s="38" t="str">
        <x:v>否</x:v>
      </x:c>
      <x:c r="Q13" s="38" t="str">
        <x:v>支持认可</x:v>
      </x:c>
      <x:c r="R13" s="38" t="str">
        <x:v>-</x:v>
      </x:c>
      <x:c r="S13" s="41" t="n">
        <x:v>45</x:v>
      </x:c>
      <x:c r="T13" s="41" t="n">
        <x:v>6</x:v>
      </x:c>
      <x:c r="U13" s="41" t="n">
        <x:v>2</x:v>
      </x:c>
      <x:c r="V13" s="38" t="str">
        <x:v>否</x:v>
      </x:c>
      <x:c r="W13" s="38" t="str">
        <x:v>是</x:v>
      </x:c>
      <x:c r="X13" s="40" t="str">
        <x:v>示例数据</x:v>
      </x:c>
    </x:row>
  </x:sheetData>
  <x:conditionalFormatting sqref="A2:X13">
    <x:cfRule type="expression" dxfId="1" priority="1">
      <x:formula>MOD(ROW(),2)=0</x:formula>
    </x:cfRule>
  </x:conditionalFormatting>
  <x:dataValidations count="1">
    <x:dataValidation type="list" sqref="V2:W13">
      <x:formula1>"是,否"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</x:cols>
  <x:sheetData>
    <x:row r="1" ht="34" customHeight="1">
      <x:c r="A1" s="31" t="str">
        <x:v>平台组</x:v>
      </x:c>
      <x:c r="B1" s="31" t="str">
        <x:v>总量</x:v>
      </x:c>
      <x:c r="C1" s="31" t="str">
        <x:v>支持认可</x:v>
      </x:c>
      <x:c r="D1" s="31" t="str">
        <x:v>咨询疑问</x:v>
      </x:c>
      <x:c r="E1" s="31" t="str">
        <x:v>担忧影响</x:v>
      </x:c>
      <x:c r="F1" s="31" t="str">
        <x:v>明确批评</x:v>
      </x:c>
      <x:c r="G1" s="31" t="str">
        <x:v>参与建议</x:v>
      </x:c>
      <x:c r="H1" s="31" t="str">
        <x:v>非支持合计</x:v>
      </x:c>
    </x:row>
    <x:row r="2" ht="32" customHeight="1">
      <x:c r="A2" s="38" t="str">
        <x:v>微博/热榜</x:v>
      </x:c>
      <x:c r="B2" s="36" t="n">
        <x:f>COUNTIF('舆情事实表'!$E$2:$E$13,$A2)</x:f>
        <x:v>2</x:v>
      </x:c>
      <x:c r="C2" s="36" t="n">
        <x:f>COUNTIFS('舆情事实表'!$E$2:$E$13,$A2,'舆情事实表'!$Q$2:$Q$13,"支持认可")</x:f>
        <x:v>1</x:v>
      </x:c>
      <x:c r="D2" s="36" t="n">
        <x:f>COUNTIFS('舆情事实表'!$E$2:$E$13,$A2,'舆情事实表'!$R$2:$R$13,"咨询疑问")</x:f>
        <x:v>0</x:v>
      </x:c>
      <x:c r="E2" s="36" t="n">
        <x:f>COUNTIFS('舆情事实表'!$E$2:$E$13,$A2,'舆情事实表'!$R$2:$R$13,"担忧影响")</x:f>
        <x:v>1</x:v>
      </x:c>
      <x:c r="F2" s="36" t="n">
        <x:f>COUNTIFS('舆情事实表'!$E$2:$E$13,$A2,'舆情事实表'!$Q$2:$Q$13,"明确批评")</x:f>
        <x:v>0</x:v>
      </x:c>
      <x:c r="G2" s="36" t="n">
        <x:f>COUNTIFS('舆情事实表'!$E$2:$E$13,$A2,'舆情事实表'!$R$2:$R$13,"参与建议")</x:f>
        <x:v>0</x:v>
      </x:c>
      <x:c r="H2" s="36" t="n">
        <x:f>SUM(D2:F2)</x:f>
        <x:v>1</x:v>
      </x:c>
    </x:row>
    <x:row r="3" ht="32" customHeight="1">
      <x:c r="A3" s="38" t="str">
        <x:v>抖音等视频平台</x:v>
      </x:c>
      <x:c r="B3" s="36" t="n">
        <x:f>COUNTIF('舆情事实表'!$E$2:$E$13,$A3)</x:f>
        <x:v>2</x:v>
      </x:c>
      <x:c r="C3" s="36" t="n">
        <x:f>COUNTIFS('舆情事实表'!$E$2:$E$13,$A3,'舆情事实表'!$Q$2:$Q$13,"支持认可")</x:f>
        <x:v>1</x:v>
      </x:c>
      <x:c r="D3" s="36" t="n">
        <x:f>COUNTIFS('舆情事实表'!$E$2:$E$13,$A3,'舆情事实表'!$R$2:$R$13,"咨询疑问")</x:f>
        <x:v>1</x:v>
      </x:c>
      <x:c r="E3" s="36" t="n">
        <x:f>COUNTIFS('舆情事实表'!$E$2:$E$13,$A3,'舆情事实表'!$R$2:$R$13,"担忧影响")</x:f>
        <x:v>0</x:v>
      </x:c>
      <x:c r="F3" s="36" t="n">
        <x:f>COUNTIFS('舆情事实表'!$E$2:$E$13,$A3,'舆情事实表'!$Q$2:$Q$13,"明确批评")</x:f>
        <x:v>0</x:v>
      </x:c>
      <x:c r="G3" s="36" t="n">
        <x:f>COUNTIFS('舆情事实表'!$E$2:$E$13,$A3,'舆情事实表'!$R$2:$R$13,"参与建议")</x:f>
        <x:v>0</x:v>
      </x:c>
      <x:c r="H3" s="36" t="n">
        <x:f>SUM(D3:F3)</x:f>
        <x:v>1</x:v>
      </x:c>
    </x:row>
    <x:row r="4" ht="32" customHeight="1">
      <x:c r="A4" s="38" t="str">
        <x:v>快手</x:v>
      </x:c>
      <x:c r="B4" s="36" t="n">
        <x:f>COUNTIF('舆情事实表'!$E$2:$E$13,$A4)</x:f>
        <x:v>3</x:v>
      </x:c>
      <x:c r="C4" s="36" t="n">
        <x:f>COUNTIFS('舆情事实表'!$E$2:$E$13,$A4,'舆情事实表'!$Q$2:$Q$13,"支持认可")</x:f>
        <x:v>2</x:v>
      </x:c>
      <x:c r="D4" s="36" t="n">
        <x:f>COUNTIFS('舆情事实表'!$E$2:$E$13,$A4,'舆情事实表'!$R$2:$R$13,"咨询疑问")</x:f>
        <x:v>0</x:v>
      </x:c>
      <x:c r="E4" s="36" t="n">
        <x:f>COUNTIFS('舆情事实表'!$E$2:$E$13,$A4,'舆情事实表'!$R$2:$R$13,"担忧影响")</x:f>
        <x:v>0</x:v>
      </x:c>
      <x:c r="F4" s="36" t="n">
        <x:f>COUNTIFS('舆情事实表'!$E$2:$E$13,$A4,'舆情事实表'!$Q$2:$Q$13,"明确批评")</x:f>
        <x:v>1</x:v>
      </x:c>
      <x:c r="G4" s="36" t="n">
        <x:f>COUNTIFS('舆情事实表'!$E$2:$E$13,$A4,'舆情事实表'!$R$2:$R$13,"参与建议")</x:f>
        <x:v>0</x:v>
      </x:c>
      <x:c r="H4" s="36" t="n">
        <x:f>SUM(D4:F4)</x:f>
        <x:v>1</x:v>
      </x:c>
    </x:row>
    <x:row r="5" ht="32" customHeight="1">
      <x:c r="A5" s="38" t="str">
        <x:v>小红书/豆瓣等平台</x:v>
      </x:c>
      <x:c r="B5" s="36" t="n">
        <x:f>COUNTIF('舆情事实表'!$E$2:$E$13,$A5)</x:f>
        <x:v>0</x:v>
      </x:c>
      <x:c r="C5" s="36" t="n">
        <x:f>COUNTIFS('舆情事实表'!$E$2:$E$13,$A5,'舆情事实表'!$Q$2:$Q$13,"支持认可")</x:f>
        <x:v>0</x:v>
      </x:c>
      <x:c r="D5" s="36" t="n">
        <x:f>COUNTIFS('舆情事实表'!$E$2:$E$13,$A5,'舆情事实表'!$R$2:$R$13,"咨询疑问")</x:f>
        <x:v>0</x:v>
      </x:c>
      <x:c r="E5" s="36" t="n">
        <x:f>COUNTIFS('舆情事实表'!$E$2:$E$13,$A5,'舆情事实表'!$R$2:$R$13,"担忧影响")</x:f>
        <x:v>0</x:v>
      </x:c>
      <x:c r="F5" s="36" t="n">
        <x:f>COUNTIFS('舆情事实表'!$E$2:$E$13,$A5,'舆情事实表'!$Q$2:$Q$13,"明确批评")</x:f>
        <x:v>0</x:v>
      </x:c>
      <x:c r="G5" s="36" t="n">
        <x:f>COUNTIFS('舆情事实表'!$E$2:$E$13,$A5,'舆情事实表'!$R$2:$R$13,"参与建议")</x:f>
        <x:v>0</x:v>
      </x:c>
      <x:c r="H5" s="36" t="n">
        <x:f>SUM(D5:F5)</x:f>
        <x:v>0</x:v>
      </x:c>
    </x:row>
    <x:row r="6" ht="32" customHeight="1">
      <x:c r="A6" s="38" t="str">
        <x:v>知乎/B站/百度知道</x:v>
      </x:c>
      <x:c r="B6" s="36" t="n">
        <x:f>COUNTIF('舆情事实表'!$E$2:$E$13,$A6)</x:f>
        <x:v>2</x:v>
      </x:c>
      <x:c r="C6" s="36" t="n">
        <x:f>COUNTIFS('舆情事实表'!$E$2:$E$13,$A6,'舆情事实表'!$Q$2:$Q$13,"支持认可")</x:f>
        <x:v>1</x:v>
      </x:c>
      <x:c r="D6" s="36" t="n">
        <x:f>COUNTIFS('舆情事实表'!$E$2:$E$13,$A6,'舆情事实表'!$R$2:$R$13,"咨询疑问")</x:f>
        <x:v>1</x:v>
      </x:c>
      <x:c r="E6" s="36" t="n">
        <x:f>COUNTIFS('舆情事实表'!$E$2:$E$13,$A6,'舆情事实表'!$R$2:$R$13,"担忧影响")</x:f>
        <x:v>0</x:v>
      </x:c>
      <x:c r="F6" s="36" t="n">
        <x:f>COUNTIFS('舆情事实表'!$E$2:$E$13,$A6,'舆情事实表'!$Q$2:$Q$13,"明确批评")</x:f>
        <x:v>0</x:v>
      </x:c>
      <x:c r="G6" s="36" t="n">
        <x:f>COUNTIFS('舆情事实表'!$E$2:$E$13,$A6,'舆情事实表'!$R$2:$R$13,"参与建议")</x:f>
        <x:v>0</x:v>
      </x:c>
      <x:c r="H6" s="36" t="n">
        <x:f>SUM(D6:F6)</x:f>
        <x:v>1</x:v>
      </x:c>
    </x:row>
    <x:row r="7" ht="32" customHeight="1">
      <x:c r="A7" s="38" t="str">
        <x:v>贴吧/头条/新闻评论</x:v>
      </x:c>
      <x:c r="B7" s="36" t="n">
        <x:f>COUNTIF('舆情事实表'!$E$2:$E$13,$A7)</x:f>
        <x:v>1</x:v>
      </x:c>
      <x:c r="C7" s="36" t="n">
        <x:f>COUNTIFS('舆情事实表'!$E$2:$E$13,$A7,'舆情事实表'!$Q$2:$Q$13,"支持认可")</x:f>
        <x:v>0</x:v>
      </x:c>
      <x:c r="D7" s="36" t="n">
        <x:f>COUNTIFS('舆情事实表'!$E$2:$E$13,$A7,'舆情事实表'!$R$2:$R$13,"咨询疑问")</x:f>
        <x:v>0</x:v>
      </x:c>
      <x:c r="E7" s="36" t="n">
        <x:f>COUNTIFS('舆情事实表'!$E$2:$E$13,$A7,'舆情事实表'!$R$2:$R$13,"担忧影响")</x:f>
        <x:v>0</x:v>
      </x:c>
      <x:c r="F7" s="36" t="n">
        <x:f>COUNTIFS('舆情事实表'!$E$2:$E$13,$A7,'舆情事实表'!$Q$2:$Q$13,"明确批评")</x:f>
        <x:v>0</x:v>
      </x:c>
      <x:c r="G7" s="36" t="n">
        <x:f>COUNTIFS('舆情事实表'!$E$2:$E$13,$A7,'舆情事实表'!$R$2:$R$13,"参与建议")</x:f>
        <x:v>1</x:v>
      </x:c>
      <x:c r="H7" s="36" t="n">
        <x:f>SUM(D7:F7)</x:f>
        <x:v>0</x:v>
      </x:c>
    </x:row>
    <x:row r="8" ht="32" customHeight="1">
      <x:c r="A8" s="38" t="str">
        <x:v>微信公众号/视频号</x:v>
      </x:c>
      <x:c r="B8" s="36" t="n">
        <x:f>COUNTIF('舆情事实表'!$E$2:$E$13,$A8)</x:f>
        <x:v>2</x:v>
      </x:c>
      <x:c r="C8" s="36" t="n">
        <x:f>COUNTIFS('舆情事实表'!$E$2:$E$13,$A8,'舆情事实表'!$Q$2:$Q$13,"支持认可")</x:f>
        <x:v>0</x:v>
      </x:c>
      <x:c r="D8" s="36" t="n">
        <x:f>COUNTIFS('舆情事实表'!$E$2:$E$13,$A8,'舆情事实表'!$R$2:$R$13,"咨询疑问")</x:f>
        <x:v>1</x:v>
      </x:c>
      <x:c r="E8" s="36" t="n">
        <x:f>COUNTIFS('舆情事实表'!$E$2:$E$13,$A8,'舆情事实表'!$R$2:$R$13,"担忧影响")</x:f>
        <x:v>1</x:v>
      </x:c>
      <x:c r="F8" s="36" t="n">
        <x:f>COUNTIFS('舆情事实表'!$E$2:$E$13,$A8,'舆情事实表'!$Q$2:$Q$13,"明确批评")</x:f>
        <x:v>0</x:v>
      </x:c>
      <x:c r="G8" s="36" t="n">
        <x:f>COUNTIFS('舆情事实表'!$E$2:$E$13,$A8,'舆情事实表'!$R$2:$R$13,"参与建议")</x:f>
        <x:v>0</x:v>
      </x:c>
      <x:c r="H8" s="36" t="n">
        <x:f>SUM(D8:F8)</x:f>
        <x:v>2</x:v>
      </x:c>
    </x:row>
    <x:row r="9" ht="30" customHeight="1">
      <x:c r="A9" s="48" t="str">
        <x:v>合计</x:v>
      </x:c>
      <x:c r="B9" s="50" t="n">
        <x:f>SUM(B2:B8)</x:f>
        <x:v>12</x:v>
      </x:c>
      <x:c r="C9" s="50" t="n">
        <x:f>SUM(C2:C8)</x:f>
        <x:v>5</x:v>
      </x:c>
      <x:c r="D9" s="50" t="n">
        <x:f>SUM(D2:D8)</x:f>
        <x:v>3</x:v>
      </x:c>
      <x:c r="E9" s="50" t="n">
        <x:f>SUM(E2:E8)</x:f>
        <x:v>2</x:v>
      </x:c>
      <x:c r="F9" s="50" t="n">
        <x:f>SUM(F2:F8)</x:f>
        <x:v>1</x:v>
      </x:c>
      <x:c r="G9" s="50" t="n">
        <x:f>SUM(G2:G8)</x:f>
        <x:v>1</x:v>
      </x:c>
      <x:c r="H9" s="50" t="n">
        <x:f>SUM(H2:H8)</x:f>
        <x:v>6</x:v>
      </x:c>
    </x:row>
  </x:sheetData>
  <x:conditionalFormatting sqref="A2:H8">
    <x:cfRule type="expression" dxfId="2" priority="1">
      <x:formula>MOD(ROW(),2)=0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</x:cols>
  <x:sheetData>
    <x:row r="1" ht="34" customHeight="1">
      <x:c r="A1" s="31" t="str">
        <x:v>地区组</x:v>
      </x:c>
      <x:c r="B1" s="31" t="str">
        <x:v>总量</x:v>
      </x:c>
      <x:c r="C1" s="31" t="str">
        <x:v>支持认可</x:v>
      </x:c>
      <x:c r="D1" s="31" t="str">
        <x:v>咨询疑问</x:v>
      </x:c>
      <x:c r="E1" s="31" t="str">
        <x:v>担忧影响</x:v>
      </x:c>
      <x:c r="F1" s="31" t="str">
        <x:v>明确批评</x:v>
      </x:c>
      <x:c r="G1" s="31" t="str">
        <x:v>参与建议</x:v>
      </x:c>
      <x:c r="H1" s="31" t="str">
        <x:v>非支持合计</x:v>
      </x:c>
    </x:row>
    <x:row r="2" ht="32" customHeight="1">
      <x:c r="A2" s="38" t="str">
        <x:v>四川、甘肃民族地区</x:v>
      </x:c>
      <x:c r="B2" s="36" t="n">
        <x:f>COUNTIF('舆情事实表'!$K$2:$K$13,$A2)</x:f>
        <x:v>4</x:v>
      </x:c>
      <x:c r="C2" s="36" t="n">
        <x:f>COUNTIFS('舆情事实表'!$K$2:$K$13,$A2,'舆情事实表'!$Q$2:$Q$13,"支持认可")</x:f>
        <x:v>2</x:v>
      </x:c>
      <x:c r="D2" s="36" t="n">
        <x:f>COUNTIFS('舆情事实表'!$K$2:$K$13,$A2,'舆情事实表'!$R$2:$R$13,"咨询疑问")</x:f>
        <x:v>0</x:v>
      </x:c>
      <x:c r="E2" s="36" t="n">
        <x:f>COUNTIFS('舆情事实表'!$K$2:$K$13,$A2,'舆情事实表'!$R$2:$R$13,"担忧影响")</x:f>
        <x:v>2</x:v>
      </x:c>
      <x:c r="F2" s="36" t="n">
        <x:f>COUNTIFS('舆情事实表'!$K$2:$K$13,$A2,'舆情事实表'!$Q$2:$Q$13,"明确批评")</x:f>
        <x:v>0</x:v>
      </x:c>
      <x:c r="G2" s="36" t="n">
        <x:f>COUNTIFS('舆情事实表'!$K$2:$K$13,$A2,'舆情事实表'!$R$2:$R$13,"参与建议")</x:f>
        <x:v>0</x:v>
      </x:c>
      <x:c r="H2" s="36" t="n">
        <x:f>SUM(D2:F2)</x:f>
        <x:v>2</x:v>
      </x:c>
    </x:row>
    <x:row r="3" ht="32" customHeight="1">
      <x:c r="A3" s="38" t="str">
        <x:v>新疆</x:v>
      </x:c>
      <x:c r="B3" s="36" t="n">
        <x:f>COUNTIF('舆情事实表'!$K$2:$K$13,$A3)</x:f>
        <x:v>1</x:v>
      </x:c>
      <x:c r="C3" s="36" t="n">
        <x:f>COUNTIFS('舆情事实表'!$K$2:$K$13,$A3,'舆情事实表'!$Q$2:$Q$13,"支持认可")</x:f>
        <x:v>0</x:v>
      </x:c>
      <x:c r="D3" s="36" t="n">
        <x:f>COUNTIFS('舆情事实表'!$K$2:$K$13,$A3,'舆情事实表'!$R$2:$R$13,"咨询疑问")</x:f>
        <x:v>1</x:v>
      </x:c>
      <x:c r="E3" s="36" t="n">
        <x:f>COUNTIFS('舆情事实表'!$K$2:$K$13,$A3,'舆情事实表'!$R$2:$R$13,"担忧影响")</x:f>
        <x:v>0</x:v>
      </x:c>
      <x:c r="F3" s="36" t="n">
        <x:f>COUNTIFS('舆情事实表'!$K$2:$K$13,$A3,'舆情事实表'!$Q$2:$Q$13,"明确批评")</x:f>
        <x:v>0</x:v>
      </x:c>
      <x:c r="G3" s="36" t="n">
        <x:f>COUNTIFS('舆情事实表'!$K$2:$K$13,$A3,'舆情事实表'!$R$2:$R$13,"参与建议")</x:f>
        <x:v>0</x:v>
      </x:c>
      <x:c r="H3" s="36" t="n">
        <x:f>SUM(D3:F3)</x:f>
        <x:v>1</x:v>
      </x:c>
    </x:row>
    <x:row r="4" ht="32" customHeight="1">
      <x:c r="A4" s="38" t="str">
        <x:v>云南东中部民族地区</x:v>
      </x:c>
      <x:c r="B4" s="36" t="n">
        <x:f>COUNTIF('舆情事实表'!$K$2:$K$13,$A4)</x:f>
        <x:v>1</x:v>
      </x:c>
      <x:c r="C4" s="36" t="n">
        <x:f>COUNTIFS('舆情事实表'!$K$2:$K$13,$A4,'舆情事实表'!$Q$2:$Q$13,"支持认可")</x:f>
        <x:v>1</x:v>
      </x:c>
      <x:c r="D4" s="36" t="n">
        <x:f>COUNTIFS('舆情事实表'!$K$2:$K$13,$A4,'舆情事实表'!$R$2:$R$13,"咨询疑问")</x:f>
        <x:v>0</x:v>
      </x:c>
      <x:c r="E4" s="36" t="n">
        <x:f>COUNTIFS('舆情事实表'!$K$2:$K$13,$A4,'舆情事实表'!$R$2:$R$13,"担忧影响")</x:f>
        <x:v>0</x:v>
      </x:c>
      <x:c r="F4" s="36" t="n">
        <x:f>COUNTIFS('舆情事实表'!$K$2:$K$13,$A4,'舆情事实表'!$Q$2:$Q$13,"明确批评")</x:f>
        <x:v>0</x:v>
      </x:c>
      <x:c r="G4" s="36" t="n">
        <x:f>COUNTIFS('舆情事实表'!$K$2:$K$13,$A4,'舆情事实表'!$R$2:$R$13,"参与建议")</x:f>
        <x:v>0</x:v>
      </x:c>
      <x:c r="H4" s="36" t="n">
        <x:f>SUM(D4:F4)</x:f>
        <x:v>0</x:v>
      </x:c>
    </x:row>
    <x:row r="5" ht="32" customHeight="1">
      <x:c r="A5" s="38" t="str">
        <x:v>内蒙古、河北及东北</x:v>
      </x:c>
      <x:c r="B5" s="36" t="n">
        <x:f>COUNTIF('舆情事实表'!$K$2:$K$13,$A5)</x:f>
        <x:v>1</x:v>
      </x:c>
      <x:c r="C5" s="36" t="n">
        <x:f>COUNTIFS('舆情事实表'!$K$2:$K$13,$A5,'舆情事实表'!$Q$2:$Q$13,"支持认可")</x:f>
        <x:v>0</x:v>
      </x:c>
      <x:c r="D5" s="36" t="n">
        <x:f>COUNTIFS('舆情事实表'!$K$2:$K$13,$A5,'舆情事实表'!$R$2:$R$13,"咨询疑问")</x:f>
        <x:v>0</x:v>
      </x:c>
      <x:c r="E5" s="36" t="n">
        <x:f>COUNTIFS('舆情事实表'!$K$2:$K$13,$A5,'舆情事实表'!$R$2:$R$13,"担忧影响")</x:f>
        <x:v>0</x:v>
      </x:c>
      <x:c r="F5" s="36" t="n">
        <x:f>COUNTIFS('舆情事实表'!$K$2:$K$13,$A5,'舆情事实表'!$Q$2:$Q$13,"明确批评")</x:f>
        <x:v>1</x:v>
      </x:c>
      <x:c r="G5" s="36" t="n">
        <x:f>COUNTIFS('舆情事实表'!$K$2:$K$13,$A5,'舆情事实表'!$R$2:$R$13,"参与建议")</x:f>
        <x:v>0</x:v>
      </x:c>
      <x:c r="H5" s="36" t="n">
        <x:f>SUM(D5:F5)</x:f>
        <x:v>1</x:v>
      </x:c>
    </x:row>
    <x:row r="6" ht="32" customHeight="1">
      <x:c r="A6" s="38" t="str">
        <x:v>青海、西藏</x:v>
      </x:c>
      <x:c r="B6" s="36" t="n">
        <x:f>COUNTIF('舆情事实表'!$K$2:$K$13,$A6)</x:f>
        <x:v>2</x:v>
      </x:c>
      <x:c r="C6" s="36" t="n">
        <x:f>COUNTIFS('舆情事实表'!$K$2:$K$13,$A6,'舆情事实表'!$Q$2:$Q$13,"支持认可")</x:f>
        <x:v>1</x:v>
      </x:c>
      <x:c r="D6" s="36" t="n">
        <x:f>COUNTIFS('舆情事实表'!$K$2:$K$13,$A6,'舆情事实表'!$R$2:$R$13,"咨询疑问")</x:f>
        <x:v>0</x:v>
      </x:c>
      <x:c r="E6" s="36" t="n">
        <x:f>COUNTIFS('舆情事实表'!$K$2:$K$13,$A6,'舆情事实表'!$R$2:$R$13,"担忧影响")</x:f>
        <x:v>0</x:v>
      </x:c>
      <x:c r="F6" s="36" t="n">
        <x:f>COUNTIFS('舆情事实表'!$K$2:$K$13,$A6,'舆情事实表'!$Q$2:$Q$13,"明确批评")</x:f>
        <x:v>0</x:v>
      </x:c>
      <x:c r="G6" s="36" t="n">
        <x:f>COUNTIFS('舆情事实表'!$K$2:$K$13,$A6,'舆情事实表'!$R$2:$R$13,"参与建议")</x:f>
        <x:v>1</x:v>
      </x:c>
      <x:c r="H6" s="36" t="n">
        <x:f>SUM(D6:F6)</x:f>
        <x:v>0</x:v>
      </x:c>
    </x:row>
    <x:row r="7" ht="32" customHeight="1">
      <x:c r="A7" s="38" t="str">
        <x:v>北京</x:v>
      </x:c>
      <x:c r="B7" s="36" t="n">
        <x:f>COUNTIF('舆情事实表'!$K$2:$K$13,$A7)</x:f>
        <x:v>1</x:v>
      </x:c>
      <x:c r="C7" s="36" t="n">
        <x:f>COUNTIFS('舆情事实表'!$K$2:$K$13,$A7,'舆情事实表'!$Q$2:$Q$13,"支持认可")</x:f>
        <x:v>0</x:v>
      </x:c>
      <x:c r="D7" s="36" t="n">
        <x:f>COUNTIFS('舆情事实表'!$K$2:$K$13,$A7,'舆情事实表'!$R$2:$R$13,"咨询疑问")</x:f>
        <x:v>1</x:v>
      </x:c>
      <x:c r="E7" s="36" t="n">
        <x:f>COUNTIFS('舆情事实表'!$K$2:$K$13,$A7,'舆情事实表'!$R$2:$R$13,"担忧影响")</x:f>
        <x:v>0</x:v>
      </x:c>
      <x:c r="F7" s="36" t="n">
        <x:f>COUNTIFS('舆情事实表'!$K$2:$K$13,$A7,'舆情事实表'!$Q$2:$Q$13,"明确批评")</x:f>
        <x:v>0</x:v>
      </x:c>
      <x:c r="G7" s="36" t="n">
        <x:f>COUNTIFS('舆情事实表'!$K$2:$K$13,$A7,'舆情事实表'!$R$2:$R$13,"参与建议")</x:f>
        <x:v>0</x:v>
      </x:c>
      <x:c r="H7" s="36" t="n">
        <x:f>SUM(D7:F7)</x:f>
        <x:v>1</x:v>
      </x:c>
    </x:row>
    <x:row r="8" ht="32" customHeight="1">
      <x:c r="A8" s="38" t="str">
        <x:v>广西</x:v>
      </x:c>
      <x:c r="B8" s="36" t="n">
        <x:f>COUNTIF('舆情事实表'!$K$2:$K$13,$A8)</x:f>
        <x:v>1</x:v>
      </x:c>
      <x:c r="C8" s="36" t="n">
        <x:f>COUNTIFS('舆情事实表'!$K$2:$K$13,$A8,'舆情事实表'!$Q$2:$Q$13,"支持认可")</x:f>
        <x:v>0</x:v>
      </x:c>
      <x:c r="D8" s="36" t="n">
        <x:f>COUNTIFS('舆情事实表'!$K$2:$K$13,$A8,'舆情事实表'!$R$2:$R$13,"咨询疑问")</x:f>
        <x:v>1</x:v>
      </x:c>
      <x:c r="E8" s="36" t="n">
        <x:f>COUNTIFS('舆情事实表'!$K$2:$K$13,$A8,'舆情事实表'!$R$2:$R$13,"担忧影响")</x:f>
        <x:v>0</x:v>
      </x:c>
      <x:c r="F8" s="36" t="n">
        <x:f>COUNTIFS('舆情事实表'!$K$2:$K$13,$A8,'舆情事实表'!$Q$2:$Q$13,"明确批评")</x:f>
        <x:v>0</x:v>
      </x:c>
      <x:c r="G8" s="36" t="n">
        <x:f>COUNTIFS('舆情事实表'!$K$2:$K$13,$A8,'舆情事实表'!$R$2:$R$13,"参与建议")</x:f>
        <x:v>0</x:v>
      </x:c>
      <x:c r="H8" s="36" t="n">
        <x:f>SUM(D8:F8)</x:f>
        <x:v>1</x:v>
      </x:c>
    </x:row>
    <x:row r="9" ht="32" customHeight="1">
      <x:c r="A9" s="38" t="str">
        <x:v>宁夏、贵州、重庆、湖南、湖北、浙江</x:v>
      </x:c>
      <x:c r="B9" s="36" t="n">
        <x:f>COUNTIF('舆情事实表'!$K$2:$K$13,$A9)</x:f>
        <x:v>1</x:v>
      </x:c>
      <x:c r="C9" s="36" t="n">
        <x:f>COUNTIFS('舆情事实表'!$K$2:$K$13,$A9,'舆情事实表'!$Q$2:$Q$13,"支持认可")</x:f>
        <x:v>1</x:v>
      </x:c>
      <x:c r="D9" s="36" t="n">
        <x:f>COUNTIFS('舆情事实表'!$K$2:$K$13,$A9,'舆情事实表'!$R$2:$R$13,"咨询疑问")</x:f>
        <x:v>0</x:v>
      </x:c>
      <x:c r="E9" s="36" t="n">
        <x:f>COUNTIFS('舆情事实表'!$K$2:$K$13,$A9,'舆情事实表'!$R$2:$R$13,"担忧影响")</x:f>
        <x:v>0</x:v>
      </x:c>
      <x:c r="F9" s="36" t="n">
        <x:f>COUNTIFS('舆情事实表'!$K$2:$K$13,$A9,'舆情事实表'!$Q$2:$Q$13,"明确批评")</x:f>
        <x:v>0</x:v>
      </x:c>
      <x:c r="G9" s="36" t="n">
        <x:f>COUNTIFS('舆情事实表'!$K$2:$K$13,$A9,'舆情事实表'!$R$2:$R$13,"参与建议")</x:f>
        <x:v>0</x:v>
      </x:c>
      <x:c r="H9" s="36" t="n">
        <x:f>SUM(D9:F9)</x:f>
        <x:v>0</x:v>
      </x:c>
    </x:row>
    <x:row r="10" ht="30" customHeight="1">
      <x:c r="A10" s="48" t="str">
        <x:v>合计</x:v>
      </x:c>
      <x:c r="B10" s="50" t="n">
        <x:f>SUM(B2:B9)</x:f>
        <x:v>12</x:v>
      </x:c>
      <x:c r="C10" s="50" t="n">
        <x:f>SUM(C2:C9)</x:f>
        <x:v>5</x:v>
      </x:c>
      <x:c r="D10" s="50" t="n">
        <x:f>SUM(D2:D9)</x:f>
        <x:v>3</x:v>
      </x:c>
      <x:c r="E10" s="50" t="n">
        <x:f>SUM(E2:E9)</x:f>
        <x:v>2</x:v>
      </x:c>
      <x:c r="F10" s="50" t="n">
        <x:f>SUM(F2:F9)</x:f>
        <x:v>1</x:v>
      </x:c>
      <x:c r="G10" s="50" t="n">
        <x:f>SUM(G2:G9)</x:f>
        <x:v>1</x:v>
      </x:c>
      <x:c r="H10" s="50" t="n">
        <x:f>SUM(H2:H9)</x:f>
        <x:v>6</x:v>
      </x:c>
    </x:row>
  </x:sheetData>
  <x:conditionalFormatting sqref="A2:H9">
    <x:cfRule type="expression" dxfId="3" priority="1">
      <x:formula>MOD(ROW(),2)=0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</x:cols>
  <x:sheetData>
    <x:row r="1" ht="34" customHeight="1">
      <x:c r="A1" s="31" t="str">
        <x:v>省份</x:v>
      </x:c>
      <x:c r="B1" s="31" t="str">
        <x:v>总量</x:v>
      </x:c>
      <x:c r="C1" s="31" t="str">
        <x:v>支持认可</x:v>
      </x:c>
      <x:c r="D1" s="31" t="str">
        <x:v>咨询疑问</x:v>
      </x:c>
      <x:c r="E1" s="31" t="str">
        <x:v>担忧影响</x:v>
      </x:c>
      <x:c r="F1" s="31" t="str">
        <x:v>明确批评</x:v>
      </x:c>
      <x:c r="G1" s="31" t="str">
        <x:v>参与建议</x:v>
      </x:c>
      <x:c r="H1" s="31" t="str">
        <x:v>非支持合计</x:v>
      </x:c>
    </x:row>
    <x:row r="2" ht="32" customHeight="1">
      <x:c r="A2" s="38" t="str">
        <x:v>四川</x:v>
      </x:c>
      <x:c r="B2" s="36" t="n">
        <x:f>COUNTIF('舆情事实表'!$L$2:$L$13,$A2)</x:f>
        <x:v>2</x:v>
      </x:c>
      <x:c r="C2" s="36" t="n">
        <x:f>COUNTIFS('舆情事实表'!$L$2:$L$13,$A2,'舆情事实表'!$Q$2:$Q$13,"支持认可")</x:f>
        <x:v>2</x:v>
      </x:c>
      <x:c r="D2" s="36" t="n">
        <x:f>COUNTIFS('舆情事实表'!$L$2:$L$13,$A2,'舆情事实表'!$R$2:$R$13,"咨询疑问")</x:f>
        <x:v>0</x:v>
      </x:c>
      <x:c r="E2" s="36" t="n">
        <x:f>COUNTIFS('舆情事实表'!$L$2:$L$13,$A2,'舆情事实表'!$R$2:$R$13,"担忧影响")</x:f>
        <x:v>0</x:v>
      </x:c>
      <x:c r="F2" s="36" t="n">
        <x:f>COUNTIFS('舆情事实表'!$L$2:$L$13,$A2,'舆情事实表'!$Q$2:$Q$13,"明确批评")</x:f>
        <x:v>0</x:v>
      </x:c>
      <x:c r="G2" s="36" t="n">
        <x:f>COUNTIFS('舆情事实表'!$L$2:$L$13,$A2,'舆情事实表'!$R$2:$R$13,"参与建议")</x:f>
        <x:v>0</x:v>
      </x:c>
      <x:c r="H2" s="36" t="n">
        <x:f>SUM(D2:F2)</x:f>
        <x:v>0</x:v>
      </x:c>
    </x:row>
    <x:row r="3" ht="32" customHeight="1">
      <x:c r="A3" s="38" t="str">
        <x:v>甘肃</x:v>
      </x:c>
      <x:c r="B3" s="36" t="n">
        <x:f>COUNTIF('舆情事实表'!$L$2:$L$13,$A3)</x:f>
        <x:v>2</x:v>
      </x:c>
      <x:c r="C3" s="36" t="n">
        <x:f>COUNTIFS('舆情事实表'!$L$2:$L$13,$A3,'舆情事实表'!$Q$2:$Q$13,"支持认可")</x:f>
        <x:v>0</x:v>
      </x:c>
      <x:c r="D3" s="36" t="n">
        <x:f>COUNTIFS('舆情事实表'!$L$2:$L$13,$A3,'舆情事实表'!$R$2:$R$13,"咨询疑问")</x:f>
        <x:v>0</x:v>
      </x:c>
      <x:c r="E3" s="36" t="n">
        <x:f>COUNTIFS('舆情事实表'!$L$2:$L$13,$A3,'舆情事实表'!$R$2:$R$13,"担忧影响")</x:f>
        <x:v>2</x:v>
      </x:c>
      <x:c r="F3" s="36" t="n">
        <x:f>COUNTIFS('舆情事实表'!$L$2:$L$13,$A3,'舆情事实表'!$Q$2:$Q$13,"明确批评")</x:f>
        <x:v>0</x:v>
      </x:c>
      <x:c r="G3" s="36" t="n">
        <x:f>COUNTIFS('舆情事实表'!$L$2:$L$13,$A3,'舆情事实表'!$R$2:$R$13,"参与建议")</x:f>
        <x:v>0</x:v>
      </x:c>
      <x:c r="H3" s="36" t="n">
        <x:f>SUM(D3:F3)</x:f>
        <x:v>2</x:v>
      </x:c>
    </x:row>
    <x:row r="4" ht="32" customHeight="1">
      <x:c r="A4" s="38" t="str">
        <x:v>新疆</x:v>
      </x:c>
      <x:c r="B4" s="36" t="n">
        <x:f>COUNTIF('舆情事实表'!$L$2:$L$13,$A4)</x:f>
        <x:v>1</x:v>
      </x:c>
      <x:c r="C4" s="36" t="n">
        <x:f>COUNTIFS('舆情事实表'!$L$2:$L$13,$A4,'舆情事实表'!$Q$2:$Q$13,"支持认可")</x:f>
        <x:v>0</x:v>
      </x:c>
      <x:c r="D4" s="36" t="n">
        <x:f>COUNTIFS('舆情事实表'!$L$2:$L$13,$A4,'舆情事实表'!$R$2:$R$13,"咨询疑问")</x:f>
        <x:v>1</x:v>
      </x:c>
      <x:c r="E4" s="36" t="n">
        <x:f>COUNTIFS('舆情事实表'!$L$2:$L$13,$A4,'舆情事实表'!$R$2:$R$13,"担忧影响")</x:f>
        <x:v>0</x:v>
      </x:c>
      <x:c r="F4" s="36" t="n">
        <x:f>COUNTIFS('舆情事实表'!$L$2:$L$13,$A4,'舆情事实表'!$Q$2:$Q$13,"明确批评")</x:f>
        <x:v>0</x:v>
      </x:c>
      <x:c r="G4" s="36" t="n">
        <x:f>COUNTIFS('舆情事实表'!$L$2:$L$13,$A4,'舆情事实表'!$R$2:$R$13,"参与建议")</x:f>
        <x:v>0</x:v>
      </x:c>
      <x:c r="H4" s="36" t="n">
        <x:f>SUM(D4:F4)</x:f>
        <x:v>1</x:v>
      </x:c>
    </x:row>
    <x:row r="5" ht="32" customHeight="1">
      <x:c r="A5" s="38" t="str">
        <x:v>云南</x:v>
      </x:c>
      <x:c r="B5" s="36" t="n">
        <x:f>COUNTIF('舆情事实表'!$L$2:$L$13,$A5)</x:f>
        <x:v>1</x:v>
      </x:c>
      <x:c r="C5" s="36" t="n">
        <x:f>COUNTIFS('舆情事实表'!$L$2:$L$13,$A5,'舆情事实表'!$Q$2:$Q$13,"支持认可")</x:f>
        <x:v>1</x:v>
      </x:c>
      <x:c r="D5" s="36" t="n">
        <x:f>COUNTIFS('舆情事实表'!$L$2:$L$13,$A5,'舆情事实表'!$R$2:$R$13,"咨询疑问")</x:f>
        <x:v>0</x:v>
      </x:c>
      <x:c r="E5" s="36" t="n">
        <x:f>COUNTIFS('舆情事实表'!$L$2:$L$13,$A5,'舆情事实表'!$R$2:$R$13,"担忧影响")</x:f>
        <x:v>0</x:v>
      </x:c>
      <x:c r="F5" s="36" t="n">
        <x:f>COUNTIFS('舆情事实表'!$L$2:$L$13,$A5,'舆情事实表'!$Q$2:$Q$13,"明确批评")</x:f>
        <x:v>0</x:v>
      </x:c>
      <x:c r="G5" s="36" t="n">
        <x:f>COUNTIFS('舆情事实表'!$L$2:$L$13,$A5,'舆情事实表'!$R$2:$R$13,"参与建议")</x:f>
        <x:v>0</x:v>
      </x:c>
      <x:c r="H5" s="36" t="n">
        <x:f>SUM(D5:F5)</x:f>
        <x:v>0</x:v>
      </x:c>
    </x:row>
    <x:row r="6" ht="32" customHeight="1">
      <x:c r="A6" s="38" t="str">
        <x:v>北京</x:v>
      </x:c>
      <x:c r="B6" s="36" t="n">
        <x:f>COUNTIF('舆情事实表'!$L$2:$L$13,$A6)</x:f>
        <x:v>1</x:v>
      </x:c>
      <x:c r="C6" s="36" t="n">
        <x:f>COUNTIFS('舆情事实表'!$L$2:$L$13,$A6,'舆情事实表'!$Q$2:$Q$13,"支持认可")</x:f>
        <x:v>0</x:v>
      </x:c>
      <x:c r="D6" s="36" t="n">
        <x:f>COUNTIFS('舆情事实表'!$L$2:$L$13,$A6,'舆情事实表'!$R$2:$R$13,"咨询疑问")</x:f>
        <x:v>1</x:v>
      </x:c>
      <x:c r="E6" s="36" t="n">
        <x:f>COUNTIFS('舆情事实表'!$L$2:$L$13,$A6,'舆情事实表'!$R$2:$R$13,"担忧影响")</x:f>
        <x:v>0</x:v>
      </x:c>
      <x:c r="F6" s="36" t="n">
        <x:f>COUNTIFS('舆情事实表'!$L$2:$L$13,$A6,'舆情事实表'!$Q$2:$Q$13,"明确批评")</x:f>
        <x:v>0</x:v>
      </x:c>
      <x:c r="G6" s="36" t="n">
        <x:f>COUNTIFS('舆情事实表'!$L$2:$L$13,$A6,'舆情事实表'!$R$2:$R$13,"参与建议")</x:f>
        <x:v>0</x:v>
      </x:c>
      <x:c r="H6" s="36" t="n">
        <x:f>SUM(D6:F6)</x:f>
        <x:v>1</x:v>
      </x:c>
    </x:row>
    <x:row r="7" ht="32" customHeight="1">
      <x:c r="A7" s="38" t="str">
        <x:v>内蒙古</x:v>
      </x:c>
      <x:c r="B7" s="36" t="n">
        <x:f>COUNTIF('舆情事实表'!$L$2:$L$13,$A7)</x:f>
        <x:v>1</x:v>
      </x:c>
      <x:c r="C7" s="36" t="n">
        <x:f>COUNTIFS('舆情事实表'!$L$2:$L$13,$A7,'舆情事实表'!$Q$2:$Q$13,"支持认可")</x:f>
        <x:v>0</x:v>
      </x:c>
      <x:c r="D7" s="36" t="n">
        <x:f>COUNTIFS('舆情事实表'!$L$2:$L$13,$A7,'舆情事实表'!$R$2:$R$13,"咨询疑问")</x:f>
        <x:v>0</x:v>
      </x:c>
      <x:c r="E7" s="36" t="n">
        <x:f>COUNTIFS('舆情事实表'!$L$2:$L$13,$A7,'舆情事实表'!$R$2:$R$13,"担忧影响")</x:f>
        <x:v>0</x:v>
      </x:c>
      <x:c r="F7" s="36" t="n">
        <x:f>COUNTIFS('舆情事实表'!$L$2:$L$13,$A7,'舆情事实表'!$Q$2:$Q$13,"明确批评")</x:f>
        <x:v>1</x:v>
      </x:c>
      <x:c r="G7" s="36" t="n">
        <x:f>COUNTIFS('舆情事实表'!$L$2:$L$13,$A7,'舆情事实表'!$R$2:$R$13,"参与建议")</x:f>
        <x:v>0</x:v>
      </x:c>
      <x:c r="H7" s="36" t="n">
        <x:f>SUM(D7:F7)</x:f>
        <x:v>1</x:v>
      </x:c>
    </x:row>
    <x:row r="8" ht="32" customHeight="1">
      <x:c r="A8" s="38" t="str">
        <x:v>青海</x:v>
      </x:c>
      <x:c r="B8" s="36" t="n">
        <x:f>COUNTIF('舆情事实表'!$L$2:$L$13,$A8)</x:f>
        <x:v>1</x:v>
      </x:c>
      <x:c r="C8" s="36" t="n">
        <x:f>COUNTIFS('舆情事实表'!$L$2:$L$13,$A8,'舆情事实表'!$Q$2:$Q$13,"支持认可")</x:f>
        <x:v>1</x:v>
      </x:c>
      <x:c r="D8" s="36" t="n">
        <x:f>COUNTIFS('舆情事实表'!$L$2:$L$13,$A8,'舆情事实表'!$R$2:$R$13,"咨询疑问")</x:f>
        <x:v>0</x:v>
      </x:c>
      <x:c r="E8" s="36" t="n">
        <x:f>COUNTIFS('舆情事实表'!$L$2:$L$13,$A8,'舆情事实表'!$R$2:$R$13,"担忧影响")</x:f>
        <x:v>0</x:v>
      </x:c>
      <x:c r="F8" s="36" t="n">
        <x:f>COUNTIFS('舆情事实表'!$L$2:$L$13,$A8,'舆情事实表'!$Q$2:$Q$13,"明确批评")</x:f>
        <x:v>0</x:v>
      </x:c>
      <x:c r="G8" s="36" t="n">
        <x:f>COUNTIFS('舆情事实表'!$L$2:$L$13,$A8,'舆情事实表'!$R$2:$R$13,"参与建议")</x:f>
        <x:v>0</x:v>
      </x:c>
      <x:c r="H8" s="36" t="n">
        <x:f>SUM(D8:F8)</x:f>
        <x:v>0</x:v>
      </x:c>
    </x:row>
    <x:row r="9" ht="32" customHeight="1">
      <x:c r="A9" s="38" t="str">
        <x:v>西藏</x:v>
      </x:c>
      <x:c r="B9" s="36" t="n">
        <x:f>COUNTIF('舆情事实表'!$L$2:$L$13,$A9)</x:f>
        <x:v>1</x:v>
      </x:c>
      <x:c r="C9" s="36" t="n">
        <x:f>COUNTIFS('舆情事实表'!$L$2:$L$13,$A9,'舆情事实表'!$Q$2:$Q$13,"支持认可")</x:f>
        <x:v>0</x:v>
      </x:c>
      <x:c r="D9" s="36" t="n">
        <x:f>COUNTIFS('舆情事实表'!$L$2:$L$13,$A9,'舆情事实表'!$R$2:$R$13,"咨询疑问")</x:f>
        <x:v>0</x:v>
      </x:c>
      <x:c r="E9" s="36" t="n">
        <x:f>COUNTIFS('舆情事实表'!$L$2:$L$13,$A9,'舆情事实表'!$R$2:$R$13,"担忧影响")</x:f>
        <x:v>0</x:v>
      </x:c>
      <x:c r="F9" s="36" t="n">
        <x:f>COUNTIFS('舆情事实表'!$L$2:$L$13,$A9,'舆情事实表'!$Q$2:$Q$13,"明确批评")</x:f>
        <x:v>0</x:v>
      </x:c>
      <x:c r="G9" s="36" t="n">
        <x:f>COUNTIFS('舆情事实表'!$L$2:$L$13,$A9,'舆情事实表'!$R$2:$R$13,"参与建议")</x:f>
        <x:v>1</x:v>
      </x:c>
      <x:c r="H9" s="36" t="n">
        <x:f>SUM(D9:F9)</x:f>
        <x:v>0</x:v>
      </x:c>
    </x:row>
    <x:row r="10" ht="32" customHeight="1">
      <x:c r="A10" s="38" t="str">
        <x:v>广西</x:v>
      </x:c>
      <x:c r="B10" s="36" t="n">
        <x:f>COUNTIF('舆情事实表'!$L$2:$L$13,$A10)</x:f>
        <x:v>1</x:v>
      </x:c>
      <x:c r="C10" s="36" t="n">
        <x:f>COUNTIFS('舆情事实表'!$L$2:$L$13,$A10,'舆情事实表'!$Q$2:$Q$13,"支持认可")</x:f>
        <x:v>0</x:v>
      </x:c>
      <x:c r="D10" s="36" t="n">
        <x:f>COUNTIFS('舆情事实表'!$L$2:$L$13,$A10,'舆情事实表'!$R$2:$R$13,"咨询疑问")</x:f>
        <x:v>1</x:v>
      </x:c>
      <x:c r="E10" s="36" t="n">
        <x:f>COUNTIFS('舆情事实表'!$L$2:$L$13,$A10,'舆情事实表'!$R$2:$R$13,"担忧影响")</x:f>
        <x:v>0</x:v>
      </x:c>
      <x:c r="F10" s="36" t="n">
        <x:f>COUNTIFS('舆情事实表'!$L$2:$L$13,$A10,'舆情事实表'!$Q$2:$Q$13,"明确批评")</x:f>
        <x:v>0</x:v>
      </x:c>
      <x:c r="G10" s="36" t="n">
        <x:f>COUNTIFS('舆情事实表'!$L$2:$L$13,$A10,'舆情事实表'!$R$2:$R$13,"参与建议")</x:f>
        <x:v>0</x:v>
      </x:c>
      <x:c r="H10" s="36" t="n">
        <x:f>SUM(D10:F10)</x:f>
        <x:v>1</x:v>
      </x:c>
    </x:row>
    <x:row r="11" ht="32" customHeight="1">
      <x:c r="A11" s="38" t="str">
        <x:v>宁夏</x:v>
      </x:c>
      <x:c r="B11" s="36" t="n">
        <x:f>COUNTIF('舆情事实表'!$L$2:$L$13,$A11)</x:f>
        <x:v>1</x:v>
      </x:c>
      <x:c r="C11" s="36" t="n">
        <x:f>COUNTIFS('舆情事实表'!$L$2:$L$13,$A11,'舆情事实表'!$Q$2:$Q$13,"支持认可")</x:f>
        <x:v>1</x:v>
      </x:c>
      <x:c r="D11" s="36" t="n">
        <x:f>COUNTIFS('舆情事实表'!$L$2:$L$13,$A11,'舆情事实表'!$R$2:$R$13,"咨询疑问")</x:f>
        <x:v>0</x:v>
      </x:c>
      <x:c r="E11" s="36" t="n">
        <x:f>COUNTIFS('舆情事实表'!$L$2:$L$13,$A11,'舆情事实表'!$R$2:$R$13,"担忧影响")</x:f>
        <x:v>0</x:v>
      </x:c>
      <x:c r="F11" s="36" t="n">
        <x:f>COUNTIFS('舆情事实表'!$L$2:$L$13,$A11,'舆情事实表'!$Q$2:$Q$13,"明确批评")</x:f>
        <x:v>0</x:v>
      </x:c>
      <x:c r="G11" s="36" t="n">
        <x:f>COUNTIFS('舆情事实表'!$L$2:$L$13,$A11,'舆情事实表'!$R$2:$R$13,"参与建议")</x:f>
        <x:v>0</x:v>
      </x:c>
      <x:c r="H11" s="36" t="n">
        <x:f>SUM(D11:F11)</x:f>
        <x:v>0</x:v>
      </x:c>
    </x:row>
    <x:row r="12" ht="30" customHeight="1">
      <x:c r="A12" s="48" t="str">
        <x:v>合计</x:v>
      </x:c>
      <x:c r="B12" s="50" t="n">
        <x:f>SUM(B2:B11)</x:f>
        <x:v>12</x:v>
      </x:c>
      <x:c r="C12" s="50" t="n">
        <x:f>SUM(C2:C11)</x:f>
        <x:v>5</x:v>
      </x:c>
      <x:c r="D12" s="50" t="n">
        <x:f>SUM(D2:D11)</x:f>
        <x:v>3</x:v>
      </x:c>
      <x:c r="E12" s="50" t="n">
        <x:f>SUM(E2:E11)</x:f>
        <x:v>2</x:v>
      </x:c>
      <x:c r="F12" s="50" t="n">
        <x:f>SUM(F2:F11)</x:f>
        <x:v>1</x:v>
      </x:c>
      <x:c r="G12" s="50" t="n">
        <x:f>SUM(G2:G11)</x:f>
        <x:v>1</x:v>
      </x:c>
      <x:c r="H12" s="50" t="n">
        <x:f>SUM(H2:H11)</x:f>
        <x:v>6</x:v>
      </x:c>
    </x:row>
  </x:sheetData>
  <x:conditionalFormatting sqref="A2:H11">
    <x:cfRule type="expression" dxfId="4" priority="1">
      <x:formula>MOD(ROW(),2)=0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8" hidden="0" customWidth="1"/>
  </x:cols>
  <x:sheetData>
    <x:row r="1" ht="34" customHeight="1">
      <x:c r="A1" s="31" t="str">
        <x:v>语言</x:v>
      </x:c>
      <x:c r="B1" s="31" t="str">
        <x:v>数量</x:v>
      </x:c>
      <x:c r="C1" s="31" t="str">
        <x:v>是否少数民族语言</x:v>
      </x:c>
    </x:row>
    <x:row r="2" ht="32" customHeight="1">
      <x:c r="A2" s="38" t="str">
        <x:v>中文</x:v>
      </x:c>
      <x:c r="B2" s="36" t="n">
        <x:f>COUNTIF('舆情事实表'!$O$2:$O$13,$A2)</x:f>
        <x:v>10</x:v>
      </x:c>
      <x:c r="C2" s="37" t="str">
        <x:f>IF($A2="中文","否","是")</x:f>
        <x:v>否</x:v>
      </x:c>
    </x:row>
    <x:row r="3" ht="32" customHeight="1">
      <x:c r="A3" s="38" t="str">
        <x:v>彝语</x:v>
      </x:c>
      <x:c r="B3" s="36" t="n">
        <x:f>COUNTIF('舆情事实表'!$O$2:$O$13,$A3)</x:f>
        <x:v>1</x:v>
      </x:c>
      <x:c r="C3" s="37" t="str">
        <x:f>IF($A3="中文","否","是")</x:f>
        <x:v>是</x:v>
      </x:c>
    </x:row>
    <x:row r="4" ht="32" customHeight="1">
      <x:c r="A4" s="38" t="str">
        <x:v>藏语</x:v>
      </x:c>
      <x:c r="B4" s="36" t="n">
        <x:f>COUNTIF('舆情事实表'!$O$2:$O$13,$A4)</x:f>
        <x:v>1</x:v>
      </x:c>
      <x:c r="C4" s="37" t="str">
        <x:f>IF($A4="中文","否","是")</x:f>
        <x:v>是</x:v>
      </x:c>
    </x:row>
    <x:row r="5" ht="30" customHeight="1">
      <x:c r="A5" s="48" t="str">
        <x:v>合计</x:v>
      </x:c>
      <x:c r="B5" s="50" t="n">
        <x:f>SUM(B2:B4)</x:f>
        <x:v>12</x:v>
      </x:c>
      <x:c r="C5" s="51" t="str">
        <x:v>—</x:v>
      </x:c>
    </x:row>
  </x:sheetData>
  <x:conditionalFormatting sqref="A2:C4">
    <x:cfRule type="expression" dxfId="5" priority="1">
      <x:formula>MOD(ROW(),2)=0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" hidden="0" customWidth="1"/>
    <x:col min="3" max="3" width="52" hidden="0" customWidth="1"/>
  </x:cols>
  <x:sheetData>
    <x:row r="1" ht="34" customHeight="1">
      <x:c r="A1" s="31" t="str">
        <x:v>类别</x:v>
      </x:c>
      <x:c r="B1" s="31" t="str">
        <x:v>数量</x:v>
      </x:c>
      <x:c r="C1" s="31" t="str">
        <x:v>说明</x:v>
      </x:c>
    </x:row>
    <x:row r="2" ht="40" customHeight="1">
      <x:c r="A2" s="38" t="str">
        <x:v>咨询疑问</x:v>
      </x:c>
      <x:c r="B2" s="36" t="n">
        <x:f>COUNTIF('舆情事实表'!$R$2:$R$13,$A2)</x:f>
        <x:v>3</x:v>
      </x:c>
      <x:c r="C2" s="34" t="str">
        <x:v>示例：总体态度为咨询/疑问的行</x:v>
      </x:c>
    </x:row>
    <x:row r="3" ht="40" customHeight="1">
      <x:c r="A3" s="38" t="str">
        <x:v>担忧影响</x:v>
      </x:c>
      <x:c r="B3" s="36" t="n">
        <x:f>COUNTIF('舆情事实表'!$R$2:$R$13,$A3)</x:f>
        <x:v>2</x:v>
      </x:c>
      <x:c r="C3" s="34" t="str">
        <x:v>示例：担忧、影响类问题</x:v>
      </x:c>
    </x:row>
    <x:row r="4" ht="40" customHeight="1">
      <x:c r="A4" s="38" t="str">
        <x:v>明确批评</x:v>
      </x:c>
      <x:c r="B4" s="36" t="n">
        <x:f>COUNTIF('舆情事实表'!$R$2:$R$13,$A4)</x:f>
        <x:v>0</x:v>
      </x:c>
      <x:c r="C4" s="34" t="str">
        <x:v>示例：按具体问题类别统计，可能并入歧视偏见等</x:v>
      </x:c>
    </x:row>
    <x:row r="5" ht="40" customHeight="1">
      <x:c r="A5" s="38" t="str">
        <x:v>歧视偏见</x:v>
      </x:c>
      <x:c r="B5" s="36" t="n">
        <x:f>COUNTIF('舆情事实表'!$R$2:$R$13,$A5)</x:f>
        <x:v>1</x:v>
      </x:c>
      <x:c r="C5" s="34" t="str">
        <x:v>示例：歧视类问题</x:v>
      </x:c>
    </x:row>
    <x:row r="6" ht="30" customHeight="1">
      <x:c r="A6" s="48" t="str">
        <x:v>合计</x:v>
      </x:c>
      <x:c r="B6" s="50" t="n">
        <x:f>SUM(B2:B5)</x:f>
        <x:v>6</x:v>
      </x:c>
      <x:c r="C6" s="56" t="str">
        <x:v>非支持/非肯定合计（按具体问题类别）</x:v>
      </x:c>
    </x:row>
  </x:sheetData>
  <x:conditionalFormatting sqref="A2:C5">
    <x:cfRule type="expression" dxfId="6" priority="1">
      <x:formula>MOD(ROW(),2)=0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7" hidden="0" customWidth="1"/>
    <x:col min="4" max="4" width="13" hidden="0" customWidth="1"/>
    <x:col min="5" max="5" width="52" hidden="0" customWidth="1"/>
  </x:cols>
  <x:sheetData>
    <x:row r="1" ht="34" customHeight="1">
      <x:c r="A1" s="31" t="str">
        <x:v>类别</x:v>
      </x:c>
      <x:c r="B1" s="31" t="str">
        <x:v>层级</x:v>
      </x:c>
      <x:c r="C1" s="31" t="str">
        <x:v>平台组/地区</x:v>
      </x:c>
      <x:c r="D1" s="31" t="str">
        <x:v>数量</x:v>
      </x:c>
      <x:c r="E1" s="31" t="str">
        <x:v>说明</x:v>
      </x:c>
    </x:row>
    <x:row r="2" ht="40" customHeight="1">
      <x:c r="A2" s="38" t="str">
        <x:v>监测来源</x:v>
      </x:c>
      <x:c r="B2" s="38" t="str">
        <x:v>原平台组</x:v>
      </x:c>
      <x:c r="C2" s="38" t="str">
        <x:v>微博</x:v>
      </x:c>
      <x:c r="D2" s="41" t="n">
        <x:v>8</x:v>
      </x:c>
      <x:c r="E2" s="40" t="str">
        <x:v>示例：监测对象数</x:v>
      </x:c>
    </x:row>
    <x:row r="3" ht="40" customHeight="1">
      <x:c r="A3" s="38" t="str">
        <x:v>监测来源</x:v>
      </x:c>
      <x:c r="B3" s="38" t="str">
        <x:v>原平台组</x:v>
      </x:c>
      <x:c r="C3" s="38" t="str">
        <x:v>抖音</x:v>
      </x:c>
      <x:c r="D3" s="41" t="n">
        <x:v>6</x:v>
      </x:c>
      <x:c r="E3" s="40" t="str">
        <x:v>示例</x:v>
      </x:c>
    </x:row>
    <x:row r="4" ht="40" customHeight="1">
      <x:c r="A4" s="38" t="str">
        <x:v>监测来源</x:v>
      </x:c>
      <x:c r="B4" s="38" t="str">
        <x:v>原平台组</x:v>
      </x:c>
      <x:c r="C4" s="38" t="str">
        <x:v>快手</x:v>
      </x:c>
      <x:c r="D4" s="41" t="n">
        <x:v>5</x:v>
      </x:c>
      <x:c r="E4" s="40" t="str">
        <x:v>示例</x:v>
      </x:c>
    </x:row>
    <x:row r="5" ht="40" customHeight="1">
      <x:c r="A5" s="60" t="str">
        <x:v>监测来源</x:v>
      </x:c>
      <x:c r="B5" s="60" t="str">
        <x:v>合计（示例）</x:v>
      </x:c>
      <x:c r="C5" s="60" t="str">
        <x:v>-</x:v>
      </x:c>
      <x:c r="D5" s="61" t="n">
        <x:v>19</x:v>
      </x:c>
      <x:c r="E5" s="62" t="str">
        <x:v>真实口径按去重后来源统计，禁止机械加总</x:v>
      </x:c>
    </x:row>
    <x:row r="6" ht="40" customHeight="1">
      <x:c r="A6" s="38" t="str">
        <x:v>查看信息</x:v>
      </x:c>
      <x:c r="B6" s="38" t="str">
        <x:v>原平台组</x:v>
      </x:c>
      <x:c r="C6" s="38" t="str">
        <x:v>微博</x:v>
      </x:c>
      <x:c r="D6" s="41" t="n">
        <x:v>312</x:v>
      </x:c>
      <x:c r="E6" s="40" t="str">
        <x:v>示例：文章/帖子/视频/评论混合工作量</x:v>
      </x:c>
    </x:row>
    <x:row r="7" ht="40" customHeight="1">
      <x:c r="A7" s="38" t="str">
        <x:v>查看信息</x:v>
      </x:c>
      <x:c r="B7" s="38" t="str">
        <x:v>原平台组</x:v>
      </x:c>
      <x:c r="C7" s="38" t="str">
        <x:v>抖音</x:v>
      </x:c>
      <x:c r="D7" s="41" t="n">
        <x:v>480</x:v>
      </x:c>
      <x:c r="E7" s="40" t="str">
        <x:v>示例</x:v>
      </x:c>
    </x:row>
    <x:row r="8" ht="40" customHeight="1">
      <x:c r="A8" s="38" t="str">
        <x:v>查看信息</x:v>
      </x:c>
      <x:c r="B8" s="38" t="str">
        <x:v>原平台组</x:v>
      </x:c>
      <x:c r="C8" s="38" t="str">
        <x:v>快手</x:v>
      </x:c>
      <x:c r="D8" s="41" t="n">
        <x:v>260</x:v>
      </x:c>
      <x:c r="E8" s="40" t="str">
        <x:v>示例</x:v>
      </x:c>
    </x:row>
    <x:row r="9" ht="40" customHeight="1">
      <x:c r="A9" s="60" t="str">
        <x:v>查看信息</x:v>
      </x:c>
      <x:c r="B9" s="60" t="str">
        <x:v>合计（示例）</x:v>
      </x:c>
      <x:c r="C9" s="60" t="str">
        <x:v>-</x:v>
      </x:c>
      <x:c r="D9" s="61" t="n">
        <x:v>1052</x:v>
      </x:c>
      <x:c r="E9" s="62" t="str">
        <x:v>真实口径为查看信息项数，不等于去重信息数</x:v>
      </x:c>
    </x:row>
  </x:sheetData>
  <x:conditionalFormatting sqref="A2:E9">
    <x:cfRule type="expression" dxfId="7" priority="1">
      <x:formula>MOD(ROW(),2)=0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9" hidden="0" customWidth="1"/>
    <x:col min="3" max="3" width="12" hidden="0" customWidth="1"/>
    <x:col min="4" max="4" width="15" hidden="0" customWidth="1"/>
    <x:col min="5" max="5" width="48" hidden="0" customWidth="1"/>
    <x:col min="6" max="6" width="11" hidden="0" customWidth="1"/>
    <x:col min="7" max="7" width="11" hidden="0" customWidth="1"/>
    <x:col min="8" max="8" width="11" hidden="0" customWidth="1"/>
    <x:col min="9" max="9" width="18" hidden="0" customWidth="1"/>
    <x:col min="10" max="10" width="32" hidden="0" customWidth="1"/>
  </x:cols>
  <x:sheetData>
    <x:row r="1" ht="34" customHeight="1">
      <x:c r="A1" s="31" t="str">
        <x:v>排名</x:v>
      </x:c>
      <x:c r="B1" s="31" t="str">
        <x:v>唯一编号</x:v>
      </x:c>
      <x:c r="C1" s="31" t="str">
        <x:v>平台</x:v>
      </x:c>
      <x:c r="D1" s="31" t="str">
        <x:v>账号</x:v>
      </x:c>
      <x:c r="E1" s="31" t="str">
        <x:v>标题/摘要</x:v>
      </x:c>
      <x:c r="F1" s="31" t="str">
        <x:v>点赞量</x:v>
      </x:c>
      <x:c r="G1" s="31" t="str">
        <x:v>评论量</x:v>
      </x:c>
      <x:c r="H1" s="31" t="str">
        <x:v>转发量</x:v>
      </x:c>
      <x:c r="I1" s="31" t="str">
        <x:v>发布时间</x:v>
      </x:c>
      <x:c r="J1" s="31" t="str">
        <x:v>原始链接</x:v>
      </x:c>
    </x:row>
    <x:row r="2" ht="44" customHeight="1">
      <x:c r="A2" s="37" t="n">
        <x:v>1</x:v>
      </x:c>
      <x:c r="B2" s="38" t="str">
        <x:v>OQ-20260814-0001</x:v>
      </x:c>
      <x:c r="C2" s="32" t="str">
        <x:f>VLOOKUP($B2,'舆情事实表'!$A$2:$X$13,4,FALSE)</x:f>
        <x:v>微博</x:v>
      </x:c>
      <x:c r="D2" s="32" t="str">
        <x:f>VLOOKUP($B2,'舆情事实表'!$A$2:$X$13,7,FALSE)</x:f>
        <x:v>@示例用户A</x:v>
      </x:c>
      <x:c r="E2" s="34" t="str">
        <x:f>LEFT(VLOOKUP($B2,'舆情事实表'!$A$2:$X$13,8,FALSE),24)</x:f>
        <x:v>支持民族团结进步促进法，各民族要像石榴籽一样紧紧</x:v>
      </x:c>
      <x:c r="F2" s="36" t="n">
        <x:f>VLOOKUP($B2,'舆情事实表'!$A$2:$X$13,19,FALSE)</x:f>
        <x:v>328</x:v>
      </x:c>
      <x:c r="G2" s="36" t="n">
        <x:f>VLOOKUP($B2,'舆情事实表'!$A$2:$X$13,20,FALSE)</x:f>
        <x:v>56</x:v>
      </x:c>
      <x:c r="H2" s="36" t="n">
        <x:f>VLOOKUP($B2,'舆情事实表'!$A$2:$X$13,21,FALSE)</x:f>
        <x:v>12</x:v>
      </x:c>
      <x:c r="I2" s="63" t="n">
        <x:f>VLOOKUP($B2,'舆情事实表'!$A$2:$X$13,3,FALSE)</x:f>
        <x:v>46248.07430555556</x:v>
      </x:c>
      <x:c r="J2" s="34" t="str">
        <x:f>VLOOKUP($B2,'舆情事实表'!$A$2:$X$13,9,FALSE)</x:f>
        <x:v>https://weibo.com/example/0001</x:v>
      </x:c>
    </x:row>
    <x:row r="3" ht="44" customHeight="1">
      <x:c r="A3" s="37" t="n">
        <x:v>2</x:v>
      </x:c>
      <x:c r="B3" s="38" t="str">
        <x:v>OQ-20260814-0009</x:v>
      </x:c>
      <x:c r="C3" s="32" t="str">
        <x:f>VLOOKUP($B3,'舆情事实表'!$A$2:$X$13,4,FALSE)</x:f>
        <x:v>抖音</x:v>
      </x:c>
      <x:c r="D3" s="32" t="str">
        <x:f>VLOOKUP($B3,'舆情事实表'!$A$2:$X$13,7,FALSE)</x:f>
        <x:v>示例用户I</x:v>
      </x:c>
      <x:c r="E3" s="34" t="str">
        <x:f>LEFT(VLOOKUP($B3,'舆情事实表'!$A$2:$X$13,8,FALSE),24)</x:f>
        <x:v>我们厂里招聘现在没那么多条条框框了，支持。</x:v>
      </x:c>
      <x:c r="F3" s="36" t="n">
        <x:f>VLOOKUP($B3,'舆情事实表'!$A$2:$X$13,19,FALSE)</x:f>
        <x:v>152</x:v>
      </x:c>
      <x:c r="G3" s="36" t="n">
        <x:f>VLOOKUP($B3,'舆情事实表'!$A$2:$X$13,20,FALSE)</x:f>
        <x:v>20</x:v>
      </x:c>
      <x:c r="H3" s="36" t="n">
        <x:f>VLOOKUP($B3,'舆情事实表'!$A$2:$X$13,21,FALSE)</x:f>
        <x:v>3</x:v>
      </x:c>
      <x:c r="I3" s="63" t="n">
        <x:f>VLOOKUP($B3,'舆情事实表'!$A$2:$X$13,3,FALSE)</x:f>
        <x:v>46248.08888888889</x:v>
      </x:c>
      <x:c r="J3" s="34" t="str">
        <x:f>VLOOKUP($B3,'舆情事实表'!$A$2:$X$13,9,FALSE)</x:f>
        <x:v>https://douyin.com/example/0009</x:v>
      </x:c>
    </x:row>
    <x:row r="4" ht="44" customHeight="1">
      <x:c r="A4" s="37" t="n">
        <x:v>3</x:v>
      </x:c>
      <x:c r="B4" s="38" t="str">
        <x:v>OQ-20260814-0006</x:v>
      </x:c>
      <x:c r="C4" s="32" t="str">
        <x:f>VLOOKUP($B4,'舆情事实表'!$A$2:$X$13,4,FALSE)</x:f>
        <x:v>快手</x:v>
      </x:c>
      <x:c r="D4" s="32" t="str">
        <x:f>VLOOKUP($B4,'舆情事实表'!$A$2:$X$13,7,FALSE)</x:f>
        <x:v>示例用户F</x:v>
      </x:c>
      <x:c r="E4" s="34" t="str">
        <x:f>LEFT(VLOOKUP($B4,'舆情事实表'!$A$2:$X$13,8,FALSE),24)</x:f>
        <x:v>反映某公司招聘写明“汉族优先”，已截图，请核实处</x:v>
      </x:c>
      <x:c r="F4" s="36" t="n">
        <x:f>VLOOKUP($B4,'舆情事实表'!$A$2:$X$13,19,FALSE)</x:f>
        <x:v>89</x:v>
      </x:c>
      <x:c r="G4" s="36" t="n">
        <x:f>VLOOKUP($B4,'舆情事实表'!$A$2:$X$13,20,FALSE)</x:f>
        <x:v>33</x:v>
      </x:c>
      <x:c r="H4" s="36" t="n">
        <x:f>VLOOKUP($B4,'舆情事实表'!$A$2:$X$13,21,FALSE)</x:f>
        <x:v>5</x:v>
      </x:c>
      <x:c r="I4" s="63" t="n">
        <x:f>VLOOKUP($B4,'舆情事实表'!$A$2:$X$13,3,FALSE)</x:f>
        <x:v>46248.05</x:v>
      </x:c>
      <x:c r="J4" s="34" t="str">
        <x:f>VLOOKUP($B4,'舆情事实表'!$A$2:$X$13,9,FALSE)</x:f>
        <x:v>https://kuaishou.com/example/0006</x:v>
      </x:c>
    </x:row>
    <x:row r="5" ht="44" customHeight="1">
      <x:c r="A5" s="37" t="n">
        <x:v>4</x:v>
      </x:c>
      <x:c r="B5" s="38" t="str">
        <x:v>OQ-20260814-0003</x:v>
      </x:c>
      <x:c r="C5" s="32" t="str">
        <x:f>VLOOKUP($B5,'舆情事实表'!$A$2:$X$13,4,FALSE)</x:f>
        <x:v>快手</x:v>
      </x:c>
      <x:c r="D5" s="32" t="str">
        <x:f>VLOOKUP($B5,'舆情事实表'!$A$2:$X$13,7,FALSE)</x:f>
        <x:v>示例账号C</x:v>
      </x:c>
      <x:c r="E5" s="34" t="str">
        <x:f>LEFT(VLOOKUP($B5,'舆情事实表'!$A$2:$X$13,8,FALSE),24)</x:f>
        <x:v>（彝语）支持促进法，希望家乡越来越团结。</x:v>
      </x:c>
      <x:c r="F5" s="36" t="n">
        <x:f>VLOOKUP($B5,'舆情事实表'!$A$2:$X$13,19,FALSE)</x:f>
        <x:v>66</x:v>
      </x:c>
      <x:c r="G5" s="36" t="n">
        <x:f>VLOOKUP($B5,'舆情事实表'!$A$2:$X$13,20,FALSE)</x:f>
        <x:v>8</x:v>
      </x:c>
      <x:c r="H5" s="36" t="n">
        <x:f>VLOOKUP($B5,'舆情事实表'!$A$2:$X$13,21,FALSE)</x:f>
        <x:v>2</x:v>
      </x:c>
      <x:c r="I5" s="63" t="n">
        <x:f>VLOOKUP($B5,'舆情事实表'!$A$2:$X$13,3,FALSE)</x:f>
        <x:v>46248.0625</x:v>
      </x:c>
      <x:c r="J5" s="34" t="str">
        <x:f>VLOOKUP($B5,'舆情事实表'!$A$2:$X$13,9,FALSE)</x:f>
        <x:v>https://kuaishou.com/example/0003</x:v>
      </x:c>
    </x:row>
    <x:row r="6" ht="44" customHeight="1">
      <x:c r="A6" s="37" t="n">
        <x:v>5</x:v>
      </x:c>
      <x:c r="B6" s="38" t="str">
        <x:v>OQ-20260814-0012</x:v>
      </x:c>
      <x:c r="C6" s="32" t="str">
        <x:f>VLOOKUP($B6,'舆情事实表'!$A$2:$X$13,4,FALSE)</x:f>
        <x:v>快手</x:v>
      </x:c>
      <x:c r="D6" s="32" t="str">
        <x:f>VLOOKUP($B6,'舆情事实表'!$A$2:$X$13,7,FALSE)</x:f>
        <x:v>示例账号L</x:v>
      </x:c>
      <x:c r="E6" s="34" t="str">
        <x:f>LEFT(VLOOKUP($B6,'舆情事实表'!$A$2:$X$13,8,FALSE),24)</x:f>
        <x:v>反对就业歧视，支持促进法！</x:v>
      </x:c>
      <x:c r="F6" s="36" t="n">
        <x:f>VLOOKUP($B6,'舆情事实表'!$A$2:$X$13,19,FALSE)</x:f>
        <x:v>45</x:v>
      </x:c>
      <x:c r="G6" s="36" t="n">
        <x:f>VLOOKUP($B6,'舆情事实表'!$A$2:$X$13,20,FALSE)</x:f>
        <x:v>6</x:v>
      </x:c>
      <x:c r="H6" s="36" t="n">
        <x:f>VLOOKUP($B6,'舆情事实表'!$A$2:$X$13,21,FALSE)</x:f>
        <x:v>2</x:v>
      </x:c>
      <x:c r="I6" s="63" t="n">
        <x:f>VLOOKUP($B6,'舆情事实表'!$A$2:$X$13,3,FALSE)</x:f>
        <x:v>46248.09722222222</x:v>
      </x:c>
      <x:c r="J6" s="34" t="str">
        <x:f>VLOOKUP($B6,'舆情事实表'!$A$2:$X$13,9,FALSE)</x:f>
        <x:v>https://kuaishou.com/example/0012</x:v>
      </x:c>
    </x:row>
  </x:sheetData>
  <x:conditionalFormatting sqref="A2:J6">
    <x:cfRule type="expression" dxfId="8" priority="1">
      <x:formula>MOD(ROW(),2)=0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1" hidden="0" customWidth="1"/>
    <x:col min="4" max="4" width="14" hidden="0" customWidth="1"/>
    <x:col min="5" max="5" width="48" hidden="0" customWidth="1"/>
    <x:col min="6" max="6" width="10" hidden="0" customWidth="1"/>
    <x:col min="7" max="7" width="10" hidden="0" customWidth="1"/>
    <x:col min="8" max="8" width="10" hidden="0" customWidth="1"/>
    <x:col min="9" max="9" width="11" hidden="0" customWidth="1"/>
    <x:col min="10" max="10" width="12" hidden="0" customWidth="1"/>
    <x:col min="11" max="11" width="40" hidden="0" customWidth="1"/>
  </x:cols>
  <x:sheetData>
    <x:row r="1" ht="34" customHeight="1">
      <x:c r="A1" s="31" t="str">
        <x:v>唯一编号</x:v>
      </x:c>
      <x:c r="B1" s="31" t="str">
        <x:v>采集时间</x:v>
      </x:c>
      <x:c r="C1" s="31" t="str">
        <x:v>平台</x:v>
      </x:c>
      <x:c r="D1" s="31" t="str">
        <x:v>账号</x:v>
      </x:c>
      <x:c r="E1" s="31" t="str">
        <x:v>正文</x:v>
      </x:c>
      <x:c r="F1" s="31" t="str">
        <x:v>地区</x:v>
      </x:c>
      <x:c r="G1" s="31" t="str">
        <x:v>省份</x:v>
      </x:c>
      <x:c r="H1" s="31" t="str">
        <x:v>语言</x:v>
      </x:c>
      <x:c r="I1" s="31" t="str">
        <x:v>总体态度</x:v>
      </x:c>
      <x:c r="J1" s="31" t="str">
        <x:v>清洗状态</x:v>
      </x:c>
      <x:c r="K1" s="31" t="str">
        <x:v>未通过原因/待办</x:v>
      </x:c>
    </x:row>
    <x:row r="2" ht="50" customHeight="1">
      <x:c r="A2" s="32" t="str">
        <x:v>RAW-0001</x:v>
      </x:c>
      <x:c r="B2" s="63" t="n">
        <x:v>46248.13888888889</x:v>
      </x:c>
      <x:c r="C2" s="32" t="str">
        <x:v>抖音</x:v>
      </x:c>
      <x:c r="D2" s="32" t="str">
        <x:v>示例用户M</x:v>
      </x:c>
      <x:c r="E2" s="34" t="str">
        <x:v>请问促进法在新疆实施后怎么申请补贴？</x:v>
      </x:c>
      <x:c r="F2" s="32" t="str">
        <x:v>新疆</x:v>
      </x:c>
      <x:c r="G2" s="32" t="str"/>
      <x:c r="H2" s="32" t="str"/>
      <x:c r="I2" s="32" t="str">
        <x:v>咨询疑问</x:v>
      </x:c>
      <x:c r="J2" s="32" t="str">
        <x:v>待复核</x:v>
      </x:c>
      <x:c r="K2" s="34" t="str">
        <x:v>缺省份/城市/语言，补齐后再入库</x:v>
      </x:c>
    </x:row>
    <x:row r="3" ht="50" customHeight="1">
      <x:c r="A3" s="32" t="str">
        <x:v>RAW-0002</x:v>
      </x:c>
      <x:c r="B3" s="63" t="n">
        <x:v>46248.149305555555</x:v>
      </x:c>
      <x:c r="C3" s="32" t="str">
        <x:v>微博</x:v>
      </x:c>
      <x:c r="D3" s="32" t="str">
        <x:v>示例用户N</x:v>
      </x:c>
      <x:c r="E3" s="34" t="str">
        <x:v>今天天气不错，出去走走。</x:v>
      </x:c>
      <x:c r="F3" s="32" t="str"/>
      <x:c r="G3" s="32" t="str"/>
      <x:c r="H3" s="32" t="str">
        <x:v>中文</x:v>
      </x:c>
      <x:c r="I3" s="32" t="str">
        <x:v>无法判断</x:v>
      </x:c>
      <x:c r="J3" s="32" t="str">
        <x:v>待复核</x:v>
      </x:c>
      <x:c r="K3" s="34" t="str">
        <x:v>未命中民族相关关键词，需人工判断</x:v>
      </x:c>
    </x:row>
  </x:sheetData>
  <x:conditionalFormatting sqref="J2:J10">
    <x:cfRule type="containsText" dxfId="0" priority="1" operator="containsText" text="待复核"/>
    <x:cfRule type="containsText" dxfId="10" priority="3" operator="containsText" text="待复核"/>
  </x:conditionalFormatting>
  <x:conditionalFormatting sqref="A2:K3">
    <x:cfRule type="expression" dxfId="9" priority="2">
      <x:formula>MOD(ROW(),2)=0</x:formula>
    </x:cfRule>
  </x:conditionalFormatting>
  <x:dataValidations count="1">
    <x:dataValidation type="list" sqref="J2:J10">
      <x:formula1>"待复核,已入库,已排除"</x:formula1>
    </x:dataValidation>
  </x:dataValidations>
  <x:pageMargins left="0.7" right="0.7" top="0.75" bottom="0.75" header="0.3" footer="0.3"/>
</x:worksheet>
</file>