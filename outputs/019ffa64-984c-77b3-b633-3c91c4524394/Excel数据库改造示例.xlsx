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说明" sheetId="1" state="visible" r:id="rId1"/>
    <sheet xmlns:r="http://schemas.openxmlformats.org/officeDocument/2006/relationships" name="舆情事实表" sheetId="2" state="visible" r:id="rId2"/>
    <sheet xmlns:r="http://schemas.openxmlformats.org/officeDocument/2006/relationships" name="平台维度表" sheetId="3" state="visible" r:id="rId3"/>
    <sheet xmlns:r="http://schemas.openxmlformats.org/officeDocument/2006/relationships" name="地区维度表" sheetId="4" state="visible" r:id="rId4"/>
    <sheet xmlns:r="http://schemas.openxmlformats.org/officeDocument/2006/relationships" name="省级维度表" sheetId="5" state="visible" r:id="rId5"/>
    <sheet xmlns:r="http://schemas.openxmlformats.org/officeDocument/2006/relationships" name="语言维度表" sheetId="6" state="visible" r:id="rId6"/>
    <sheet xmlns:r="http://schemas.openxmlformats.org/officeDocument/2006/relationships" name="非支持态度表" sheetId="7" state="visible" r:id="rId7"/>
    <sheet xmlns:r="http://schemas.openxmlformats.org/officeDocument/2006/relationships" name="监测来源与查看信息" sheetId="8" state="visible" r:id="rId8"/>
    <sheet xmlns:r="http://schemas.openxmlformats.org/officeDocument/2006/relationships" name="高热内容表" sheetId="9" state="visible" r:id="rId9"/>
    <sheet xmlns:r="http://schemas.openxmlformats.org/officeDocument/2006/relationships" name="待清洗区" sheetId="10" state="visible" r:id="rId10"/>
  </sheets>
  <definedNames/>
</workbook>
</file>

<file path=xl/styles.xml><?xml version="1.0" encoding="utf-8"?>
<styleSheet xmlns="http://schemas.openxmlformats.org/spreadsheetml/2006/main">
  <numFmts count="2">
    <numFmt numFmtId="164" formatCode="yyyy-mm-dd hh:mm:ss"/>
    <numFmt numFmtId="165" formatCode="yyyy-mm-dd h:mm:ss"/>
  </numFmts>
  <fonts count="6">
    <font>
      <name val="Carlito"/>
      <sz val="11"/>
    </font>
    <font>
      <name val="Carlito"/>
      <b val="1"/>
      <color rgb="FFFFFFFF"/>
      <sz val="14"/>
    </font>
    <font>
      <name val="Carlito"/>
      <b val="1"/>
      <color rgb="FFFFFFFF"/>
      <sz val="10"/>
    </font>
    <font>
      <name val="Carlito"/>
      <b val="1"/>
      <color rgb="FFFFFFFF"/>
      <sz val="11"/>
    </font>
    <font>
      <name val="Carlito"/>
      <b val="1"/>
      <color rgb="FFFFFFFF"/>
      <sz val="15"/>
    </font>
    <font>
      <name val="Carlito"/>
      <b val="1"/>
      <sz val="11"/>
    </font>
  </fonts>
  <fills count="7">
    <fill>
      <patternFill/>
    </fill>
    <fill>
      <patternFill patternType="gray125"/>
    </fill>
    <fill>
      <patternFill patternType="solid">
        <fgColor rgb="FF1F4E79"/>
      </patternFill>
    </fill>
    <fill>
      <patternFill patternType="solid">
        <fgColor rgb="FF1F4E79"/>
      </patternFill>
    </fill>
    <fill>
      <patternFill patternType="solid">
        <fgColor rgb="FFDDEBF7"/>
      </patternFill>
    </fill>
    <fill>
      <patternFill patternType="solid">
        <fgColor rgb="001F4E79"/>
      </patternFill>
    </fill>
    <fill>
      <patternFill patternType="solid">
        <fgColor rgb="00DDEBF7"/>
      </patternFill>
    </fill>
  </fills>
  <borders count="7">
    <border/>
    <border>
      <left style="thin">
        <color rgb="FF9FB6C9"/>
      </left>
      <right style="thin">
        <color rgb="FF9FB6C9"/>
      </right>
      <top style="thin">
        <color rgb="FF9FB6C9"/>
      </top>
      <bottom style="thin">
        <color rgb="FF9FB6C9"/>
      </bottom>
    </border>
    <border>
      <left style="thin">
        <color rgb="FFD9D9D9"/>
      </left>
      <right style="thin">
        <color rgb="FFD9D9D9"/>
      </right>
      <top style="thin">
        <color rgb="FFD9D9D9"/>
      </top>
      <bottom style="thin">
        <color rgb="FFD9D9D9"/>
      </bottom>
    </border>
    <border>
      <left style="thin">
        <color rgb="FF8FA9BC"/>
      </left>
      <right style="thin">
        <color rgb="FF8FA9BC"/>
      </right>
      <top style="thin">
        <color rgb="FF8FA9BC"/>
      </top>
      <bottom style="thin">
        <color rgb="FF8FA9BC"/>
      </bottom>
    </border>
    <border>
      <left style="thin">
        <color rgb="FFD5DEE6"/>
      </left>
      <right style="thin">
        <color rgb="FFD5DEE6"/>
      </right>
      <top style="thin">
        <color rgb="FFD5DEE6"/>
      </top>
      <bottom style="thin">
        <color rgb="FFD5DEE6"/>
      </bottom>
    </border>
    <border>
      <left style="thin">
        <color rgb="FFB7C9D6"/>
      </left>
      <right style="thin">
        <color rgb="FFB7C9D6"/>
      </right>
      <top style="medium">
        <color rgb="FF8FA9BC"/>
      </top>
      <bottom style="thin">
        <color rgb="FFB7C9D6"/>
      </bottom>
    </border>
    <border>
      <left style="thin">
        <color rgb="00B0B7C3"/>
      </left>
      <right style="thin">
        <color rgb="00B0B7C3"/>
      </right>
      <top style="thin">
        <color rgb="00B0B7C3"/>
      </top>
      <bottom style="thin">
        <color rgb="00B0B7C3"/>
      </bottom>
    </border>
  </borders>
  <cellStyleXfs count="1">
    <xf numFmtId="0" fontId="0" fillId="0" borderId="0"/>
  </cellStyleXfs>
  <cellXfs count="83">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0" borderId="0" applyAlignment="1" pivotButton="0" quotePrefix="0" xfId="0">
      <alignment wrapText="1"/>
    </xf>
    <xf numFmtId="0" fontId="2" fillId="2" borderId="0" pivotButton="0" quotePrefix="0" xfId="0"/>
    <xf numFmtId="0" fontId="2" fillId="2" borderId="0" applyAlignment="1" pivotButton="0" quotePrefix="0" xfId="0">
      <alignment vertical="center"/>
    </xf>
    <xf numFmtId="0" fontId="2" fillId="2" borderId="1" applyAlignment="1" pivotButton="0" quotePrefix="0" xfId="0">
      <alignment vertical="center"/>
    </xf>
    <xf numFmtId="0" fontId="0" fillId="0" borderId="2" pivotButton="0" quotePrefix="0" xfId="0"/>
    <xf numFmtId="0" fontId="0" fillId="0" borderId="2" applyAlignment="1" pivotButton="0" quotePrefix="0" xfId="0">
      <alignment vertical="center"/>
    </xf>
    <xf numFmtId="164" fontId="0" fillId="0" borderId="2" applyAlignment="1" pivotButton="0" quotePrefix="0" xfId="0">
      <alignment vertical="center"/>
    </xf>
    <xf numFmtId="3" fontId="0" fillId="0" borderId="2" applyAlignment="1" pivotButton="0" quotePrefix="0" xfId="0">
      <alignment vertical="center"/>
    </xf>
    <xf numFmtId="0" fontId="0" fillId="0" borderId="2" applyAlignment="1" pivotButton="0" quotePrefix="0" xfId="0">
      <alignment vertical="center" wrapText="1"/>
    </xf>
    <xf numFmtId="0" fontId="3" fillId="2" borderId="0" pivotButton="0" quotePrefix="0" xfId="0"/>
    <xf numFmtId="0" fontId="3" fillId="2" borderId="1" pivotButton="0" quotePrefix="0" xfId="0"/>
    <xf numFmtId="3" fontId="0" fillId="0" borderId="2" pivotButton="0" quotePrefix="0" xfId="0"/>
    <xf numFmtId="164" fontId="0" fillId="0" borderId="2" pivotButton="0" quotePrefix="0" xfId="0"/>
    <xf numFmtId="0" fontId="1" fillId="3" borderId="0" applyAlignment="1" pivotButton="0" quotePrefix="0" xfId="0">
      <alignment vertical="center"/>
    </xf>
    <xf numFmtId="0" fontId="0" fillId="3" borderId="0" pivotButton="0" quotePrefix="0" xfId="0"/>
    <xf numFmtId="0" fontId="4" fillId="3" borderId="0" applyAlignment="1" pivotButton="0" quotePrefix="0" xfId="0">
      <alignment vertical="center"/>
    </xf>
    <xf numFmtId="0" fontId="4" fillId="3" borderId="0" pivotButton="0" quotePrefix="0" xfId="0"/>
    <xf numFmtId="0" fontId="4" fillId="3" borderId="0" applyAlignment="1" pivotButton="0" quotePrefix="0" xfId="0">
      <alignment horizontal="center" vertical="center"/>
    </xf>
    <xf numFmtId="0" fontId="4" fillId="3" borderId="0" applyAlignment="1" pivotButton="0" quotePrefix="0" xfId="0">
      <alignment horizontal="center"/>
    </xf>
    <xf numFmtId="0" fontId="0" fillId="0" borderId="0" pivotButton="0" quotePrefix="0" xfId="0"/>
    <xf numFmtId="0" fontId="0" fillId="0" borderId="0" applyAlignment="1" pivotButton="0" quotePrefix="0" xfId="0">
      <alignment vertical="center" wrapText="1"/>
    </xf>
    <xf numFmtId="0" fontId="0" fillId="4" borderId="0" applyAlignment="1" pivotButton="0" quotePrefix="0" xfId="0">
      <alignment vertical="center" wrapText="1"/>
    </xf>
    <xf numFmtId="0" fontId="5" fillId="4" borderId="0" applyAlignment="1" pivotButton="0" quotePrefix="0" xfId="0">
      <alignment vertical="center" wrapText="1"/>
    </xf>
    <xf numFmtId="0" fontId="2" fillId="3" borderId="1" applyAlignment="1" pivotButton="0" quotePrefix="0" xfId="0">
      <alignment vertical="center"/>
    </xf>
    <xf numFmtId="0" fontId="3" fillId="3" borderId="1" applyAlignment="1" pivotButton="0" quotePrefix="0" xfId="0">
      <alignment vertical="center"/>
    </xf>
    <xf numFmtId="0" fontId="3" fillId="3" borderId="1" applyAlignment="1" pivotButton="0" quotePrefix="0" xfId="0">
      <alignment vertical="center" wrapText="1"/>
    </xf>
    <xf numFmtId="0" fontId="3" fillId="3" borderId="1" applyAlignment="1" pivotButton="0" quotePrefix="0" xfId="0">
      <alignment horizontal="center" vertical="center" wrapText="1"/>
    </xf>
    <xf numFmtId="0" fontId="3" fillId="3" borderId="3" applyAlignment="1" pivotButton="0" quotePrefix="0" xfId="0">
      <alignment horizontal="center" vertical="center" wrapText="1"/>
    </xf>
    <xf numFmtId="0" fontId="0" fillId="0" borderId="4" applyAlignment="1" pivotButton="0" quotePrefix="0" xfId="0">
      <alignment vertical="center"/>
    </xf>
    <xf numFmtId="164" fontId="0" fillId="0" borderId="4" applyAlignment="1" pivotButton="0" quotePrefix="0" xfId="0">
      <alignment vertical="center"/>
    </xf>
    <xf numFmtId="0" fontId="0" fillId="0" borderId="4" applyAlignment="1" pivotButton="0" quotePrefix="0" xfId="0">
      <alignment vertical="center" wrapText="1"/>
    </xf>
    <xf numFmtId="3" fontId="0" fillId="0" borderId="4" applyAlignment="1" pivotButton="0" quotePrefix="0" xfId="0">
      <alignment vertical="center"/>
    </xf>
    <xf numFmtId="3" fontId="0" fillId="0" borderId="4" applyAlignment="1" pivotButton="0" quotePrefix="0" xfId="0">
      <alignment horizontal="right" vertical="center"/>
    </xf>
    <xf numFmtId="0" fontId="0" fillId="0" borderId="4" applyAlignment="1" pivotButton="0" quotePrefix="0" xfId="0">
      <alignment horizontal="center" vertical="center"/>
    </xf>
    <xf numFmtId="0" fontId="0" fillId="0" borderId="4" applyAlignment="1" pivotButton="0" quotePrefix="0" xfId="0">
      <alignment horizontal="left" vertical="center"/>
    </xf>
    <xf numFmtId="164" fontId="0" fillId="0" borderId="4" applyAlignment="1" pivotButton="0" quotePrefix="0" xfId="0">
      <alignment horizontal="left" vertical="center"/>
    </xf>
    <xf numFmtId="0" fontId="0" fillId="0" borderId="4" applyAlignment="1" pivotButton="0" quotePrefix="0" xfId="0">
      <alignment horizontal="left" vertical="center" wrapText="1"/>
    </xf>
    <xf numFmtId="3" fontId="0" fillId="0" borderId="4" applyAlignment="1" pivotButton="0" quotePrefix="0" xfId="0">
      <alignment horizontal="left" vertical="center"/>
    </xf>
    <xf numFmtId="0" fontId="3" fillId="3" borderId="1" pivotButton="0" quotePrefix="0" xfId="0"/>
    <xf numFmtId="0" fontId="3" fillId="3" borderId="1" applyAlignment="1" pivotButton="0" quotePrefix="0" xfId="0">
      <alignment wrapText="1"/>
    </xf>
    <xf numFmtId="0" fontId="3" fillId="3" borderId="1" applyAlignment="1" pivotButton="0" quotePrefix="0" xfId="0">
      <alignment horizontal="center" wrapText="1"/>
    </xf>
    <xf numFmtId="0" fontId="0" fillId="4" borderId="0" pivotButton="0" quotePrefix="0" xfId="0"/>
    <xf numFmtId="0" fontId="5" fillId="4" borderId="0" pivotButton="0" quotePrefix="0" xfId="0"/>
    <xf numFmtId="0" fontId="5" fillId="4" borderId="0" applyAlignment="1" pivotButton="0" quotePrefix="0" xfId="0">
      <alignment vertical="center"/>
    </xf>
    <xf numFmtId="0" fontId="5" fillId="4" borderId="5" applyAlignment="1" pivotButton="0" quotePrefix="0" xfId="0">
      <alignment vertical="center"/>
    </xf>
    <xf numFmtId="3" fontId="5" fillId="4" borderId="5" applyAlignment="1" pivotButton="0" quotePrefix="0" xfId="0">
      <alignment vertical="center"/>
    </xf>
    <xf numFmtId="3" fontId="5" fillId="4" borderId="5" applyAlignment="1" pivotButton="0" quotePrefix="0" xfId="0">
      <alignment horizontal="right" vertical="center"/>
    </xf>
    <xf numFmtId="0" fontId="5" fillId="4" borderId="5" applyAlignment="1" pivotButton="0" quotePrefix="0" xfId="0">
      <alignment horizontal="center" vertical="center"/>
    </xf>
    <xf numFmtId="0" fontId="0" fillId="4" borderId="2" applyAlignment="1" pivotButton="0" quotePrefix="0" xfId="0">
      <alignment vertical="center"/>
    </xf>
    <xf numFmtId="3" fontId="0" fillId="4" borderId="2" applyAlignment="1" pivotButton="0" quotePrefix="0" xfId="0">
      <alignment vertical="center"/>
    </xf>
    <xf numFmtId="0" fontId="5" fillId="4" borderId="2" applyAlignment="1" pivotButton="0" quotePrefix="0" xfId="0">
      <alignment vertical="center"/>
    </xf>
    <xf numFmtId="3" fontId="5" fillId="4" borderId="2" applyAlignment="1" pivotButton="0" quotePrefix="0" xfId="0">
      <alignment vertical="center"/>
    </xf>
    <xf numFmtId="0" fontId="5" fillId="4" borderId="5" applyAlignment="1" pivotButton="0" quotePrefix="0" xfId="0">
      <alignment vertical="center" wrapText="1"/>
    </xf>
    <xf numFmtId="0" fontId="0" fillId="4" borderId="4" applyAlignment="1" pivotButton="0" quotePrefix="0" xfId="0">
      <alignment horizontal="left" vertical="center"/>
    </xf>
    <xf numFmtId="3" fontId="0" fillId="4" borderId="4" applyAlignment="1" pivotButton="0" quotePrefix="0" xfId="0">
      <alignment horizontal="left" vertical="center"/>
    </xf>
    <xf numFmtId="0" fontId="0" fillId="4" borderId="4" applyAlignment="1" pivotButton="0" quotePrefix="0" xfId="0">
      <alignment horizontal="left" vertical="center" wrapText="1"/>
    </xf>
    <xf numFmtId="0" fontId="5" fillId="4" borderId="4" applyAlignment="1" pivotButton="0" quotePrefix="0" xfId="0">
      <alignment horizontal="left" vertical="center"/>
    </xf>
    <xf numFmtId="3" fontId="5" fillId="4" borderId="4" applyAlignment="1" pivotButton="0" quotePrefix="0" xfId="0">
      <alignment horizontal="left" vertical="center"/>
    </xf>
    <xf numFmtId="0" fontId="5" fillId="4" borderId="4" applyAlignment="1" pivotButton="0" quotePrefix="0" xfId="0">
      <alignment horizontal="left" vertical="center" wrapText="1"/>
    </xf>
    <xf numFmtId="164" fontId="0" fillId="0" borderId="4" applyAlignment="1" pivotButton="0" quotePrefix="0" xfId="0">
      <alignment horizontal="center" vertical="center"/>
    </xf>
    <xf numFmtId="164" fontId="0" fillId="0" borderId="4" applyAlignment="1" pivotButton="0" quotePrefix="0" xfId="0">
      <alignment horizontal="left" vertical="center"/>
    </xf>
    <xf numFmtId="3" fontId="0" fillId="0" borderId="4" applyAlignment="1" pivotButton="0" quotePrefix="0" xfId="0">
      <alignment horizontal="left" vertical="center"/>
    </xf>
    <xf numFmtId="3" fontId="0" fillId="0" borderId="4" applyAlignment="1" pivotButton="0" quotePrefix="0" xfId="0">
      <alignment horizontal="right" vertical="center"/>
    </xf>
    <xf numFmtId="3" fontId="5" fillId="4" borderId="5" applyAlignment="1" pivotButton="0" quotePrefix="0" xfId="0">
      <alignment horizontal="right" vertical="center"/>
    </xf>
    <xf numFmtId="3" fontId="5" fillId="4" borderId="4" applyAlignment="1" pivotButton="0" quotePrefix="0" xfId="0">
      <alignment horizontal="left" vertical="center"/>
    </xf>
    <xf numFmtId="164" fontId="0" fillId="0" borderId="4" applyAlignment="1" pivotButton="0" quotePrefix="0" xfId="0">
      <alignment horizontal="center" vertical="center"/>
    </xf>
    <xf numFmtId="0" fontId="3" fillId="5" borderId="6" applyAlignment="1" pivotButton="0" quotePrefix="0" xfId="0">
      <alignment horizontal="center" vertical="center" wrapText="1"/>
    </xf>
    <xf numFmtId="0" fontId="0" fillId="0" borderId="6" applyAlignment="1" pivotButton="0" quotePrefix="0" xfId="0">
      <alignment horizontal="left" vertical="center" wrapText="1"/>
    </xf>
    <xf numFmtId="164" fontId="0" fillId="0" borderId="6" applyAlignment="1" pivotButton="0" quotePrefix="0" xfId="0">
      <alignment horizontal="center" vertical="center" wrapText="1"/>
    </xf>
    <xf numFmtId="0" fontId="0" fillId="0" borderId="6" applyAlignment="1" pivotButton="0" quotePrefix="0" xfId="0">
      <alignment horizontal="center" vertical="center" wrapText="1"/>
    </xf>
    <xf numFmtId="3" fontId="0" fillId="0" borderId="6" applyAlignment="1" pivotButton="0" quotePrefix="0" xfId="0">
      <alignment horizontal="center" vertical="center" wrapText="1"/>
    </xf>
    <xf numFmtId="0" fontId="5" fillId="6" borderId="6" applyAlignment="1" pivotButton="0" quotePrefix="0" xfId="0">
      <alignment horizontal="left" vertical="center" wrapText="1"/>
    </xf>
    <xf numFmtId="3" fontId="5" fillId="6" borderId="6" applyAlignment="1" pivotButton="0" quotePrefix="0" xfId="0">
      <alignment horizontal="center" vertical="center" wrapText="1"/>
    </xf>
    <xf numFmtId="0" fontId="5" fillId="6" borderId="6" applyAlignment="1" pivotButton="0" quotePrefix="0" xfId="0">
      <alignment horizontal="center" vertical="center" wrapText="1"/>
    </xf>
    <xf numFmtId="0" fontId="3" fillId="3" borderId="6" applyAlignment="1" pivotButton="0" quotePrefix="0" xfId="0">
      <alignment horizontal="center" vertical="center" wrapText="1"/>
    </xf>
    <xf numFmtId="0" fontId="5" fillId="4" borderId="6" applyAlignment="1" pivotButton="0" quotePrefix="0" xfId="0">
      <alignment horizontal="left" vertical="center" wrapText="1"/>
    </xf>
    <xf numFmtId="3" fontId="5" fillId="4" borderId="6" applyAlignment="1" pivotButton="0" quotePrefix="0" xfId="0">
      <alignment horizontal="center" vertical="center" wrapText="1"/>
    </xf>
    <xf numFmtId="0" fontId="5" fillId="4" borderId="6" applyAlignment="1" pivotButton="0" quotePrefix="0" xfId="0">
      <alignment horizontal="center" vertical="center" wrapText="1"/>
    </xf>
    <xf numFmtId="165" fontId="0" fillId="0" borderId="0" pivotButton="0" quotePrefix="0" xfId="0"/>
  </cellXfs>
  <cellStyles count="1">
    <cellStyle name="Normal" xfId="0"/>
  </cellStyles>
  <dxfs count="11">
    <dxf>
      <font>
        <color rgb="FF7A5B00"/>
      </font>
      <fill>
        <patternFill>
          <bgColor rgb="FFFFF3CD"/>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ont>
        <color rgb="FF7A5B00"/>
      </font>
      <fill>
        <patternFill patternType="solid">
          <bgColor rgb="FFFFF3C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34" customWidth="1" style="23" min="1" max="1"/>
    <col width="34" customWidth="1" style="23" min="2" max="2"/>
    <col width="34" customWidth="1" style="23" min="3" max="3"/>
    <col width="34" customWidth="1" style="23" min="4" max="4"/>
  </cols>
  <sheetData>
    <row r="1" ht="42" customHeight="1" s="23">
      <c r="A1" s="21" t="inlineStr">
        <is>
          <t>舆情数据「报表 → 数据库」原子化改造示例</t>
        </is>
      </c>
    </row>
    <row r="3" ht="32" customHeight="1" s="23">
      <c r="A3" s="24" t="inlineStr">
        <is>
          <t>1. 本文件所有数据均为编造的示例数据，仅用于展示表格结构，不代表任何真实舆情。</t>
        </is>
      </c>
    </row>
    <row r="4" ht="32" customHeight="1" s="23">
      <c r="A4" s="24" t="inlineStr">
        <is>
          <t>2. 核心原则：舆情事实表 = 一行一条不可再分的舆情事实；其余维度表全部用公式从事实表重算。</t>
        </is>
      </c>
    </row>
    <row r="5" ht="32" customHeight="1" s="23">
      <c r="A5" s="24" t="inlineStr">
        <is>
          <t>3. 改造要点：去掉合并单元格、多行标题、汇总行混排；一列一属性；正文不含核验说明；每条记录有唯一编号用于去重。</t>
        </is>
      </c>
    </row>
    <row r="6" ht="32" customHeight="1" s="23">
      <c r="A6" s="24" t="inlineStr">
        <is>
          <t>4. 字段与第二阶段统一字段规范一致：唯一编号、采集/发布时间、平台、具体来源、账号、正文、链接、地区/地区组/省份/城市/IP属地、语言、态度、问题类别、互动量、是否重点、是否计入、备注。</t>
        </is>
      </c>
    </row>
    <row r="7" ht="34" customHeight="1" s="23">
      <c r="A7" s="26" t="inlineStr">
        <is>
          <t>5. 现有 16 个 Excel 的对应关系：</t>
        </is>
      </c>
    </row>
    <row r="8" ht="32" customHeight="1" s="23">
      <c r="A8" s="24" t="inlineStr">
        <is>
          <t xml:space="preserve">   各平台「有效舆情明细 / 扁平化数据」→ 舆情事实表</t>
        </is>
      </c>
    </row>
    <row r="9" ht="32" customHeight="1" s="23">
      <c r="A9" s="24" t="inlineStr">
        <is>
          <t xml:space="preserve">   「平台统计 / 公众意见汇总」→ 平台维度表（建议公式重算，不再手工填）</t>
        </is>
      </c>
    </row>
    <row r="10" ht="32" customHeight="1" s="23">
      <c r="A10" s="24" t="inlineStr">
        <is>
          <t xml:space="preserve">   「地区统计 / 省级态度统计」→ 地区维度表、省级维度表</t>
        </is>
      </c>
    </row>
    <row r="11" ht="32" customHeight="1" s="23">
      <c r="A11" s="24" t="inlineStr">
        <is>
          <t xml:space="preserve">   「语言统计」→ 语言维度表</t>
        </is>
      </c>
    </row>
    <row r="12" ht="32" customHeight="1" s="23">
      <c r="A12" s="24" t="inlineStr">
        <is>
          <t xml:space="preserve">   「非支持态度统计 / 非支持来源与原话」→ 非支持态度表</t>
        </is>
      </c>
    </row>
    <row r="13" ht="32" customHeight="1" s="23">
      <c r="A13" s="24" t="inlineStr">
        <is>
          <t xml:space="preserve">   「监测来源统计 / 查看信息统计」→ 监测来源与查看信息表</t>
        </is>
      </c>
    </row>
    <row r="14" ht="34" customHeight="1" s="23">
      <c r="A14" s="24" t="inlineStr">
        <is>
          <t xml:space="preserve">   「高热内容榜 / 互动量」→ 高热内容表</t>
        </is>
      </c>
    </row>
    <row r="15" ht="36" customHeight="1" s="23">
      <c r="A15" s="24" t="inlineStr">
        <is>
          <t>6. 待清洗区 = 各渠道原始数据先进这里，清洗/判题后写入事实表；缺字段或未命中关键词的行标记「待复核」。</t>
        </is>
      </c>
    </row>
    <row r="16" ht="24" customHeight="1" s="23">
      <c r="A16" s="4" t="inlineStr">
        <is>
          <t>7. 改造完成后的对拍要求：用新表重算出的 data.js 与现有 data.js 数字完全一致（12,351 / 1,586 / 482 等），前端才不需要改动。</t>
        </is>
      </c>
    </row>
    <row r="17">
      <c r="A17" t="inlineStr">
        <is>
          <t>地区维度表 = 省级维度（省份逐条轮播、地图高亮单个省）；</t>
        </is>
      </c>
    </row>
    <row r="18">
      <c r="A18" t="inlineStr">
        <is>
          <t>省级维度表保持原省级统计，二者口径一致。</t>
        </is>
      </c>
    </row>
  </sheetData>
  <mergeCells count="15">
    <mergeCell ref="A1:D1"/>
    <mergeCell ref="A5:D5"/>
    <mergeCell ref="A9:D9"/>
    <mergeCell ref="A8:D8"/>
    <mergeCell ref="A6:D6"/>
    <mergeCell ref="A12:D12"/>
    <mergeCell ref="A4:D4"/>
    <mergeCell ref="A3:D3"/>
    <mergeCell ref="A15:D15"/>
    <mergeCell ref="A7:D7"/>
    <mergeCell ref="A16:D16"/>
    <mergeCell ref="A11:D11"/>
    <mergeCell ref="A10:D10"/>
    <mergeCell ref="A13:D13"/>
    <mergeCell ref="A14:D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X905"/>
  <sheetViews>
    <sheetView showGridLines="0" workbookViewId="0">
      <pane ySplit="1" topLeftCell="A2" activePane="bottomLeft" state="frozen"/>
      <selection pane="bottomLeft" activeCell="A1" sqref="A1"/>
    </sheetView>
  </sheetViews>
  <sheetFormatPr baseColWidth="8" defaultRowHeight="15"/>
  <cols>
    <col width="17" customWidth="1" style="23" min="1" max="1"/>
    <col width="18" customWidth="1" style="23" min="2" max="2"/>
    <col width="18" customWidth="1" style="23" min="3" max="3"/>
    <col width="10" customWidth="1" style="23" min="4" max="4"/>
    <col width="17" customWidth="1" style="23" min="5" max="5"/>
    <col width="17" customWidth="1" style="23" min="6" max="6"/>
    <col width="14" customWidth="1" style="23" min="7" max="7"/>
    <col width="52" customWidth="1" style="23" min="8" max="8"/>
    <col width="30" customWidth="1" style="23" min="9" max="9"/>
    <col width="8" customWidth="1" style="23" min="10" max="10"/>
    <col width="24" customWidth="1" style="23" min="11" max="11"/>
    <col width="8" customWidth="1" style="23" min="12" max="12"/>
    <col width="9" customWidth="1" style="23" min="13" max="13"/>
    <col width="8" customWidth="1" style="23" min="14" max="14"/>
    <col width="8" customWidth="1" style="23" min="15" max="15"/>
    <col width="11" customWidth="1" style="23" min="16" max="16"/>
    <col width="10" customWidth="1" style="23" min="17" max="17"/>
    <col width="11" customWidth="1" style="23" min="18" max="18"/>
    <col width="9" customWidth="1" style="23" min="19" max="19"/>
    <col width="9" customWidth="1" style="23" min="20" max="20"/>
    <col width="9" customWidth="1" style="23" min="21" max="21"/>
    <col width="9" customWidth="1" style="23" min="22" max="22"/>
    <col width="10" customWidth="1" style="23" min="23" max="23"/>
    <col width="22" customWidth="1" style="23" min="24" max="24"/>
  </cols>
  <sheetData>
    <row r="1" ht="34" customHeight="1" s="23">
      <c r="A1" s="78" t="inlineStr">
        <is>
          <t>唯一编号</t>
        </is>
      </c>
      <c r="B1" s="78" t="inlineStr">
        <is>
          <t>采集时间</t>
        </is>
      </c>
      <c r="C1" s="78" t="inlineStr">
        <is>
          <t>发布时间</t>
        </is>
      </c>
      <c r="D1" s="78" t="inlineStr">
        <is>
          <t>平台</t>
        </is>
      </c>
      <c r="E1" s="78" t="inlineStr">
        <is>
          <t>平台组</t>
        </is>
      </c>
      <c r="F1" s="78" t="inlineStr">
        <is>
          <t>具体来源</t>
        </is>
      </c>
      <c r="G1" s="78" t="inlineStr">
        <is>
          <t>账号</t>
        </is>
      </c>
      <c r="H1" s="78" t="inlineStr">
        <is>
          <t>正文</t>
        </is>
      </c>
      <c r="I1" s="78" t="inlineStr">
        <is>
          <t>原始链接</t>
        </is>
      </c>
      <c r="J1" s="78" t="inlineStr">
        <is>
          <t>地区</t>
        </is>
      </c>
      <c r="K1" s="78" t="inlineStr">
        <is>
          <t>地区组</t>
        </is>
      </c>
      <c r="L1" s="78" t="inlineStr">
        <is>
          <t>省份</t>
        </is>
      </c>
      <c r="M1" s="78" t="inlineStr">
        <is>
          <t>城市</t>
        </is>
      </c>
      <c r="N1" s="78" t="inlineStr">
        <is>
          <t>IP属地</t>
        </is>
      </c>
      <c r="O1" s="78" t="inlineStr">
        <is>
          <t>语言</t>
        </is>
      </c>
      <c r="P1" s="78" t="inlineStr">
        <is>
          <t>是否少数民族语言</t>
        </is>
      </c>
      <c r="Q1" s="78" t="inlineStr">
        <is>
          <t>总体态度</t>
        </is>
      </c>
      <c r="R1" s="78" t="inlineStr">
        <is>
          <t>具体问题类别</t>
        </is>
      </c>
      <c r="S1" s="78" t="inlineStr">
        <is>
          <t>点赞量</t>
        </is>
      </c>
      <c r="T1" s="78" t="inlineStr">
        <is>
          <t>评论量</t>
        </is>
      </c>
      <c r="U1" s="78" t="inlineStr">
        <is>
          <t>转发量</t>
        </is>
      </c>
      <c r="V1" s="78" t="inlineStr">
        <is>
          <t>是否重点</t>
        </is>
      </c>
      <c r="W1" s="78" t="inlineStr">
        <is>
          <t>是否计入统计</t>
        </is>
      </c>
      <c r="X1" s="78" t="inlineStr">
        <is>
          <t>备注</t>
        </is>
      </c>
    </row>
    <row r="2" ht="46" customHeight="1" s="23">
      <c r="A2" t="inlineStr">
        <is>
          <t>hist-61ba8c07c89e3e8f</t>
        </is>
      </c>
      <c r="B2" s="82" t="n">
        <v>46252.9403587963</v>
      </c>
      <c r="C2" s="82" t="n">
        <v>46204</v>
      </c>
      <c r="D2" t="inlineStr">
        <is>
          <t>Reddit</t>
        </is>
      </c>
      <c r="E2" t="inlineStr">
        <is>
          <t>其他</t>
        </is>
      </c>
      <c r="F2" t="inlineStr">
        <is>
          <t>Reddit公开网页及搜索索引</t>
        </is>
      </c>
      <c r="G2" t="inlineStr">
        <is>
          <t>r/news（发布者未抓取）</t>
        </is>
      </c>
      <c r="H2" t="inlineStr">
        <is>
          <t>integrate or face legal consequences</t>
        </is>
      </c>
      <c r="I2" t="inlineStr">
        <is>
          <t>https://www.reddit.com/r/news/comments/1ukk7ea/china_tells_its_ethnic_minorities_to_integrate_or/</t>
        </is>
      </c>
      <c r="J2" t="inlineStr">
        <is>
          <t>全国议题（境外平台）</t>
        </is>
      </c>
      <c r="O2" t="inlineStr">
        <is>
          <t>英语</t>
        </is>
      </c>
      <c r="P2" t="inlineStr">
        <is>
          <t>否</t>
        </is>
      </c>
      <c r="Q2" t="inlineStr">
        <is>
          <t>明确批评</t>
        </is>
      </c>
      <c r="R2" t="inlineStr">
        <is>
          <t>强制同化与身份认同</t>
        </is>
      </c>
      <c r="S2" t="n">
        <v>4919</v>
      </c>
      <c r="T2" t="n">
        <v>1176</v>
      </c>
      <c r="U2" t="n">
        <v>0</v>
      </c>
      <c r="V2" t="inlineStr">
        <is>
          <t>否</t>
        </is>
      </c>
      <c r="W2" t="inlineStr">
        <is>
          <t>是</t>
        </is>
      </c>
      <c r="X2" t="inlineStr">
        <is>
          <t>历史导入:15地区微信及Reddit舆情监测_最终修正版.xlsx；来源类型:转载讨论（用户发帖）；复核:复核实时赞数、评论总量、最高赞支持/反对评论及原报道链接。（已核对）；重复:否；待核实:否</t>
        </is>
      </c>
    </row>
    <row r="3" ht="46" customHeight="1" s="23">
      <c r="A3" t="inlineStr">
        <is>
          <t>hist-20232de177871fbd</t>
        </is>
      </c>
      <c r="B3" s="82" t="n">
        <v>46252.9403587963</v>
      </c>
      <c r="C3" s="82" t="n">
        <v>46204</v>
      </c>
      <c r="D3" t="inlineStr">
        <is>
          <t>Reddit</t>
        </is>
      </c>
      <c r="E3" t="inlineStr">
        <is>
          <t>其他</t>
        </is>
      </c>
      <c r="F3" t="inlineStr">
        <is>
          <t>Reddit公开网页及搜索索引</t>
        </is>
      </c>
      <c r="G3" t="inlineStr">
        <is>
          <t>r/InsightBridge（发布者未抓取）</t>
        </is>
      </c>
      <c r="H3" t="inlineStr">
        <is>
          <t>global reach draws concern</t>
        </is>
      </c>
      <c r="I3" t="inlineStr">
        <is>
          <t>https://www.reddit.com/r/InsightBridge/comments/1ukk4ys/chinas_ethnic_law_with_global_reach_draws/</t>
        </is>
      </c>
      <c r="J3" t="inlineStr">
        <is>
          <t>全国议题（境外平台）</t>
        </is>
      </c>
      <c r="O3" t="inlineStr">
        <is>
          <t>英语</t>
        </is>
      </c>
      <c r="P3" t="inlineStr">
        <is>
          <t>否</t>
        </is>
      </c>
      <c r="Q3" t="inlineStr">
        <is>
          <t>担忧影响</t>
        </is>
      </c>
      <c r="R3" t="inlineStr">
        <is>
          <t>域外适用与跨境影响</t>
        </is>
      </c>
      <c r="S3" t="n">
        <v>3</v>
      </c>
      <c r="T3" t="n">
        <v>1</v>
      </c>
      <c r="U3" t="n">
        <v>0</v>
      </c>
      <c r="V3" t="inlineStr">
        <is>
          <t>否</t>
        </is>
      </c>
      <c r="W3" t="inlineStr">
        <is>
          <t>是</t>
        </is>
      </c>
      <c r="X3" t="inlineStr">
        <is>
          <t>历史导入:15地区微信及Reddit舆情监测_最终修正版.xlsx；来源类型:转载讨论（用户发帖）；复核:复核帖子是否完整转载媒体标题、正文观点和评论区具体担忧。（已核对）；重复:否；待核实:是</t>
        </is>
      </c>
    </row>
    <row r="4" ht="46" customHeight="1" s="23">
      <c r="A4" t="inlineStr">
        <is>
          <t>hist-0feeeca58c93c889</t>
        </is>
      </c>
      <c r="B4" s="82" t="n">
        <v>46252.9403587963</v>
      </c>
      <c r="C4" s="82" t="n">
        <v>46204</v>
      </c>
      <c r="D4" t="inlineStr">
        <is>
          <t>Reddit</t>
        </is>
      </c>
      <c r="E4" t="inlineStr">
        <is>
          <t>其他</t>
        </is>
      </c>
      <c r="F4" t="inlineStr">
        <is>
          <t>Reddit公开网页及搜索索引</t>
        </is>
      </c>
      <c r="G4" t="inlineStr">
        <is>
          <t>r/InsightBridge（发布者未抓取）</t>
        </is>
      </c>
      <c r="H4" t="inlineStr">
        <is>
          <t>予以谴责</t>
        </is>
      </c>
      <c r="I4" t="inlineStr">
        <is>
          <t>https://www.reddit.com/r/InsightBridge/comments/1ukjeky/%E4%B8%AD%E5%9C%8B%E6%B0%91%E6%97%8F%E5%9C%98%E7%B5%90%E6%B3%957%E6%9C%881%E6%97%A5%E5%AF%A6%E6%96%BD%E7%BE%8E%E5%9C%8B%E6%9C%83%E8%AD%B0%E5%93%A1%E5%92%8C%E5%9C%8B%E9%9A%9B%E4%BA%BA%E6%AC%8A%E4%BA%BA%E5%A3%AB%E7%B4%9B%E7%B4%9B%E4%BA%88%E4%BB%A5%E8%AD%B4%E8%B2%AC/</t>
        </is>
      </c>
      <c r="J4" t="inlineStr">
        <is>
          <t>全国议题（境外平台）</t>
        </is>
      </c>
      <c r="O4" t="inlineStr">
        <is>
          <t>繁体中文</t>
        </is>
      </c>
      <c r="P4" t="inlineStr">
        <is>
          <t>否</t>
        </is>
      </c>
      <c r="Q4" t="inlineStr">
        <is>
          <t>明确批评</t>
        </is>
      </c>
      <c r="R4" t="inlineStr">
        <is>
          <t>域外适用与跨境影响</t>
        </is>
      </c>
      <c r="S4" t="n">
        <v>2</v>
      </c>
      <c r="T4" t="n">
        <v>0</v>
      </c>
      <c r="U4" t="n">
        <v>0</v>
      </c>
      <c r="V4" t="inlineStr">
        <is>
          <t>否</t>
        </is>
      </c>
      <c r="W4" t="inlineStr">
        <is>
          <t>是</t>
        </is>
      </c>
      <c r="X4" t="inlineStr">
        <is>
          <t>历史导入:15地区微信及Reddit舆情监测_最终修正版.xlsx；来源类型:转载讨论（用户发帖）；复核:复核引述对象、原始声明和帖子评论。；重复:否；待核实:是</t>
        </is>
      </c>
    </row>
    <row r="5" ht="46" customHeight="1" s="23">
      <c r="A5" t="inlineStr">
        <is>
          <t>hist-0bed72469bb123b2</t>
        </is>
      </c>
      <c r="B5" s="82" t="n">
        <v>46252.9403587963</v>
      </c>
      <c r="C5" s="82" t="n">
        <v>46206</v>
      </c>
      <c r="D5" t="inlineStr">
        <is>
          <t>Reddit</t>
        </is>
      </c>
      <c r="E5" t="inlineStr">
        <is>
          <t>其他</t>
        </is>
      </c>
      <c r="F5" t="inlineStr">
        <is>
          <t>Reddit公开网页及搜索索引</t>
        </is>
      </c>
      <c r="G5" t="inlineStr">
        <is>
          <t>r/Taiwanese（发布者未抓取）</t>
        </is>
      </c>
      <c r="H5" t="inlineStr">
        <is>
          <t>为何引起台湾忧虑</t>
        </is>
      </c>
      <c r="I5" t="inlineStr">
        <is>
          <t>https://www.reddit.com/r/Taiwanese/comments/1um8dv3/%E4%B8%AD%E5%9C%8B%E5%AF%A6%E6%96%BD%E6%B0%91%E6%97%8F%E5%9C%98%E7%B5%90%E9%80%B2%E6%AD%A5%E4%BF%83%E9%80%B2%E6%B3%95%E7%82%BA%E4%BD%95%E5%BC%95%E8%B5%B7%E5%8F%B0%E7%81%A3%E6%86%82%E6%85%AE/</t>
        </is>
      </c>
      <c r="J5" t="inlineStr">
        <is>
          <t>台湾相关（境外平台）</t>
        </is>
      </c>
      <c r="L5" t="inlineStr">
        <is>
          <t>台湾</t>
        </is>
      </c>
      <c r="O5" t="inlineStr">
        <is>
          <t>繁体中文</t>
        </is>
      </c>
      <c r="P5" t="inlineStr">
        <is>
          <t>否</t>
        </is>
      </c>
      <c r="Q5" t="inlineStr">
        <is>
          <t>担忧影响</t>
        </is>
      </c>
      <c r="R5" t="inlineStr">
        <is>
          <t>台湾社会与政治影响</t>
        </is>
      </c>
      <c r="S5" t="n">
        <v>12</v>
      </c>
      <c r="T5" t="n">
        <v>8</v>
      </c>
      <c r="U5" t="n">
        <v>0</v>
      </c>
      <c r="V5" t="inlineStr">
        <is>
          <t>否</t>
        </is>
      </c>
      <c r="W5" t="inlineStr">
        <is>
          <t>是</t>
        </is>
      </c>
      <c r="X5" t="inlineStr">
        <is>
          <t>历史导入:15地区微信及Reddit舆情监测_最终修正版.xlsx；来源类型:转载讨论（用户发帖）；复核:复核正文所引资料、评论中是否存在反驳或支持意见。；重复:否；待核实:是</t>
        </is>
      </c>
    </row>
    <row r="6" ht="46" customHeight="1" s="23">
      <c r="A6" t="inlineStr">
        <is>
          <t>hist-cb76f43c5dcbd94e</t>
        </is>
      </c>
      <c r="B6" s="82" t="n">
        <v>46252.9403587963</v>
      </c>
      <c r="C6" s="82" t="n">
        <v>46206</v>
      </c>
      <c r="D6" t="inlineStr">
        <is>
          <t>Reddit</t>
        </is>
      </c>
      <c r="E6" t="inlineStr">
        <is>
          <t>其他</t>
        </is>
      </c>
      <c r="F6" t="inlineStr">
        <is>
          <t>Reddit公开网页及搜索索引</t>
        </is>
      </c>
      <c r="G6" t="inlineStr">
        <is>
          <t>r/Taiwanese（发布者未抓取）</t>
        </is>
      </c>
      <c r="H6" t="inlineStr">
        <is>
          <t>提案谴责</t>
        </is>
      </c>
      <c r="I6" t="inlineStr">
        <is>
          <t>https://www.reddit.com/r/Taiwanese/comments/1um8s48/%E6%B0%91%E9%80%B2%E9%BB%A8%E6%8F%90%E6%A1%88%E8%AD%B4%E8%B2%AC%E4%B8%AD%E5%9C%8B%E6%B0%91%E6%97%8F%E5%9C%98%E7%B5%90%E6%83%A1%E6%B3%95_60%E5%90%8D%E8%97%8D%E7%99%BD%E5%A7%94%E8%81%AF%E6%89%8B%E5%B0%81%E6%AE%BA/</t>
        </is>
      </c>
      <c r="J6" t="inlineStr">
        <is>
          <t>台湾相关（境外平台）</t>
        </is>
      </c>
      <c r="L6" t="inlineStr">
        <is>
          <t>台湾</t>
        </is>
      </c>
      <c r="O6" t="inlineStr">
        <is>
          <t>繁体中文</t>
        </is>
      </c>
      <c r="P6" t="inlineStr">
        <is>
          <t>否</t>
        </is>
      </c>
      <c r="Q6" t="inlineStr">
        <is>
          <t>明确批评</t>
        </is>
      </c>
      <c r="R6" t="inlineStr">
        <is>
          <t>台湾社会与政治影响</t>
        </is>
      </c>
      <c r="S6" t="n">
        <v>35</v>
      </c>
      <c r="T6" t="n">
        <v>4</v>
      </c>
      <c r="U6" t="n">
        <v>0</v>
      </c>
      <c r="V6" t="inlineStr">
        <is>
          <t>否</t>
        </is>
      </c>
      <c r="W6" t="inlineStr">
        <is>
          <t>是</t>
        </is>
      </c>
      <c r="X6" t="inlineStr">
        <is>
          <t>历史导入:15地区微信及Reddit舆情监测_最终修正版.xlsx；来源类型:转载讨论（用户发帖）；复核:复核政治程序事实、原新闻链接及评论区立场分布。；重复:否；待核实:是</t>
        </is>
      </c>
    </row>
    <row r="7" ht="46" customHeight="1" s="23">
      <c r="A7" t="inlineStr">
        <is>
          <t>hist-d59ab7f04e13009c</t>
        </is>
      </c>
      <c r="B7" s="82" t="n">
        <v>46252.9403587963</v>
      </c>
      <c r="C7" s="82" t="n">
        <v>46206</v>
      </c>
      <c r="D7" t="inlineStr">
        <is>
          <t>Reddit</t>
        </is>
      </c>
      <c r="E7" t="inlineStr">
        <is>
          <t>其他</t>
        </is>
      </c>
      <c r="F7" t="inlineStr">
        <is>
          <t>Reddit公开网页及搜索索引</t>
        </is>
      </c>
      <c r="G7" t="inlineStr">
        <is>
          <t>r/China（发布者未抓取）</t>
        </is>
      </c>
      <c r="H7" t="inlineStr">
        <is>
          <t>denounced as forced assimilation</t>
        </is>
      </c>
      <c r="I7" t="inlineStr">
        <is>
          <t>https://www.reddit.com/r/China/comments/1ulokp1/chinas_ethnic_unity_law_denounced_as_forced/</t>
        </is>
      </c>
      <c r="J7" t="inlineStr">
        <is>
          <t>全国议题（境外平台）</t>
        </is>
      </c>
      <c r="O7" t="inlineStr">
        <is>
          <t>英语</t>
        </is>
      </c>
      <c r="P7" t="inlineStr">
        <is>
          <t>否</t>
        </is>
      </c>
      <c r="Q7" t="inlineStr">
        <is>
          <t>明确批评</t>
        </is>
      </c>
      <c r="R7" t="inlineStr">
        <is>
          <t>强制同化与身份认同</t>
        </is>
      </c>
      <c r="S7" t="n">
        <v>169</v>
      </c>
      <c r="T7" t="n">
        <v>345</v>
      </c>
      <c r="U7" t="n">
        <v>0</v>
      </c>
      <c r="V7" t="inlineStr">
        <is>
          <t>否</t>
        </is>
      </c>
      <c r="W7" t="inlineStr">
        <is>
          <t>是</t>
        </is>
      </c>
      <c r="X7" t="inlineStr">
        <is>
          <t>历史导入:15地区微信及Reddit舆情监测_最终修正版.xlsx；来源类型:媒体链接转载讨论；复核:复核原媒体报道、帖文附加语和评论区观点。；重复:否；待核实:是</t>
        </is>
      </c>
    </row>
    <row r="8" ht="46" customHeight="1" s="23">
      <c r="A8" t="inlineStr">
        <is>
          <t>hist-67089a7a8f7f91c9</t>
        </is>
      </c>
      <c r="B8" s="82" t="n">
        <v>46252.9403587963</v>
      </c>
      <c r="C8" s="82" t="n">
        <v>46206</v>
      </c>
      <c r="D8" t="inlineStr">
        <is>
          <t>Reddit</t>
        </is>
      </c>
      <c r="E8" t="inlineStr">
        <is>
          <t>其他</t>
        </is>
      </c>
      <c r="F8" t="inlineStr">
        <is>
          <t>Reddit公开网页及搜索索引</t>
        </is>
      </c>
      <c r="G8" t="inlineStr">
        <is>
          <t>r/LOOK_CHINA（发布者未抓取）</t>
        </is>
      </c>
      <c r="H8" t="inlineStr">
        <is>
          <t>中国民族团结法</t>
        </is>
      </c>
      <c r="I8" t="inlineStr">
        <is>
          <t>https://www.reddit.com/r/LOOK_CHINA/comments/1umbxc5/%E4%B8%AD%E5%9C%8B%E6%B0%91%E6%97%8F%E5%9C%98%E7%B5%90%E6%B3%95/</t>
        </is>
      </c>
      <c r="J8" t="inlineStr">
        <is>
          <t>全国议题（境外平台）</t>
        </is>
      </c>
      <c r="O8" t="inlineStr">
        <is>
          <t>繁体中文</t>
        </is>
      </c>
      <c r="P8" t="inlineStr">
        <is>
          <t>否</t>
        </is>
      </c>
      <c r="Q8" t="inlineStr">
        <is>
          <t>明确批评</t>
        </is>
      </c>
      <c r="R8" t="inlineStr">
        <is>
          <t>强制同化与身份认同</t>
        </is>
      </c>
      <c r="S8" t="n">
        <v>6</v>
      </c>
      <c r="T8" t="n">
        <v>0</v>
      </c>
      <c r="U8" t="n">
        <v>0</v>
      </c>
      <c r="V8" t="inlineStr">
        <is>
          <t>否</t>
        </is>
      </c>
      <c r="W8" t="inlineStr">
        <is>
          <t>是</t>
        </is>
      </c>
      <c r="X8" t="inlineStr">
        <is>
          <t>历史导入:15地区微信及Reddit舆情监测_最终修正版.xlsx；来源类型:转载讨论（用户发帖）；复核:标题信息有限，需人工打开正文确认完整论点、来源和互动数据。；重复:否；待核实:是</t>
        </is>
      </c>
    </row>
    <row r="9" ht="46" customHeight="1" s="23">
      <c r="A9" t="inlineStr">
        <is>
          <t>hist-77f227e3c33df804</t>
        </is>
      </c>
      <c r="B9" s="82" t="n">
        <v>46252.9403587963</v>
      </c>
      <c r="C9" s="82" t="n">
        <v>46210</v>
      </c>
      <c r="D9" t="inlineStr">
        <is>
          <t>Reddit</t>
        </is>
      </c>
      <c r="E9" t="inlineStr">
        <is>
          <t>其他</t>
        </is>
      </c>
      <c r="F9" t="inlineStr">
        <is>
          <t>Reddit公开网页及搜索索引</t>
        </is>
      </c>
      <c r="G9" t="inlineStr">
        <is>
          <t>r/socialism（发布者未抓取）</t>
        </is>
      </c>
      <c r="H9" t="inlineStr">
        <is>
          <t>Thoughts on China's new law?</t>
        </is>
      </c>
      <c r="I9" t="inlineStr">
        <is>
          <t>https://www.reddit.com/r/socialism/comments/1upupdu/thoughts_on_chinas_new_ethnic_unity_law/</t>
        </is>
      </c>
      <c r="J9" t="inlineStr">
        <is>
          <t>全国议题（境外平台）</t>
        </is>
      </c>
      <c r="O9" t="inlineStr">
        <is>
          <t>英语</t>
        </is>
      </c>
      <c r="P9" t="inlineStr">
        <is>
          <t>否</t>
        </is>
      </c>
      <c r="Q9" t="inlineStr">
        <is>
          <t>咨询疑问</t>
        </is>
      </c>
      <c r="R9" t="inlineStr">
        <is>
          <t>法律目的与执法边界</t>
        </is>
      </c>
      <c r="S9" t="n">
        <v>504</v>
      </c>
      <c r="T9" t="n">
        <v>110</v>
      </c>
      <c r="U9" t="n">
        <v>0</v>
      </c>
      <c r="V9" t="inlineStr">
        <is>
          <t>否</t>
        </is>
      </c>
      <c r="W9" t="inlineStr">
        <is>
          <t>是</t>
        </is>
      </c>
      <c r="X9" t="inlineStr">
        <is>
          <t>历史导入:15地区微信及Reddit舆情监测_最终修正版.xlsx；来源类型:个人提问/讨论；复核:需逐条复核评论并分别编码；不得以社区名称推断发帖者身份。；重复:否；待核实:是</t>
        </is>
      </c>
    </row>
    <row r="10" ht="46" customHeight="1" s="23">
      <c r="A10" t="inlineStr">
        <is>
          <t>hist-1a9e6a8ba0076b05</t>
        </is>
      </c>
      <c r="B10" s="82" t="n">
        <v>46252.9403587963</v>
      </c>
      <c r="C10" s="82" t="n">
        <v>46211</v>
      </c>
      <c r="D10" t="inlineStr">
        <is>
          <t>Reddit</t>
        </is>
      </c>
      <c r="E10" t="inlineStr">
        <is>
          <t>其他</t>
        </is>
      </c>
      <c r="F10" t="inlineStr">
        <is>
          <t>Reddit公开网页及搜索索引</t>
        </is>
      </c>
      <c r="G10" t="inlineStr">
        <is>
          <t>r/China（发布者未抓取）</t>
        </is>
      </c>
      <c r="H10" t="inlineStr">
        <is>
          <t>a new tool to silence minorities</t>
        </is>
      </c>
      <c r="I10" t="inlineStr">
        <is>
          <t>https://www.reddit.com/r/China/comments/1uqak88/chinas_ethnic_unity_law_a_new_tool_to_silence/</t>
        </is>
      </c>
      <c r="J10" t="inlineStr">
        <is>
          <t>全国议题（境外平台）</t>
        </is>
      </c>
      <c r="O10" t="inlineStr">
        <is>
          <t>英语</t>
        </is>
      </c>
      <c r="P10" t="inlineStr">
        <is>
          <t>否</t>
        </is>
      </c>
      <c r="Q10" t="inlineStr">
        <is>
          <t>明确批评</t>
        </is>
      </c>
      <c r="R10" t="inlineStr">
        <is>
          <t>言论空间与少数群体权利</t>
        </is>
      </c>
      <c r="S10" t="n">
        <v>1</v>
      </c>
      <c r="T10" t="n">
        <v>126</v>
      </c>
      <c r="U10" t="n">
        <v>0</v>
      </c>
      <c r="V10" t="inlineStr">
        <is>
          <t>否</t>
        </is>
      </c>
      <c r="W10" t="inlineStr">
        <is>
          <t>是</t>
        </is>
      </c>
      <c r="X10" t="inlineStr">
        <is>
          <t>历史导入:15地区微信及Reddit舆情监测_最终修正版.xlsx；来源类型:视频报道转载讨论；复核:复核视频内容、帖文附加语和评论互动。；重复:否；待核实:是</t>
        </is>
      </c>
    </row>
    <row r="11" ht="46" customHeight="1" s="23">
      <c r="A11" t="inlineStr">
        <is>
          <t>hist-915d69165a475a83</t>
        </is>
      </c>
      <c r="B11" s="82" t="n">
        <v>46252.9403587963</v>
      </c>
      <c r="C11" s="82" t="n">
        <v>46238</v>
      </c>
      <c r="D11" t="inlineStr">
        <is>
          <t>Reddit</t>
        </is>
      </c>
      <c r="E11" t="inlineStr">
        <is>
          <t>其他</t>
        </is>
      </c>
      <c r="F11" t="inlineStr">
        <is>
          <t>Reddit公开网页及搜索索引</t>
        </is>
      </c>
      <c r="G11" t="inlineStr">
        <is>
          <t>r/China_irl（发布者未抓取）</t>
        </is>
      </c>
      <c r="H11" t="inlineStr">
        <is>
          <t>流亡藏人</t>
        </is>
      </c>
      <c r="I11" t="inlineStr">
        <is>
          <t>https://www.reddit.com/r/China_irl/comments/1vewi8l/%E6%B5%81%E4%BA%A1%E8%97%8F%E4%BA%BA%E8%AE%A9%E4%B8%AD%E5%9B%BD%E6%BB%9A_%E5%8D%B0%E5%BA%A6%E8%AD%A6%E5%AF%9F%E6%8B%89%E6%89%AF%E6%8D%95%E4%BA%BA/</t>
        </is>
      </c>
      <c r="J11" t="inlineStr">
        <is>
          <t>西藏相关（境外活动）</t>
        </is>
      </c>
      <c r="L11" t="inlineStr">
        <is>
          <t>西藏</t>
        </is>
      </c>
      <c r="O11" t="inlineStr">
        <is>
          <t>简体中文</t>
        </is>
      </c>
      <c r="P11" t="inlineStr">
        <is>
          <t>否</t>
        </is>
      </c>
      <c r="Q11" t="inlineStr">
        <is>
          <t>明确批评</t>
        </is>
      </c>
      <c r="R11" t="inlineStr">
        <is>
          <t>西藏语言文化与境外抗议</t>
        </is>
      </c>
      <c r="S11" t="n">
        <v>8</v>
      </c>
      <c r="T11" t="n">
        <v>15</v>
      </c>
      <c r="U11" t="n">
        <v>0</v>
      </c>
      <c r="V11" t="inlineStr">
        <is>
          <t>否</t>
        </is>
      </c>
      <c r="W11" t="inlineStr">
        <is>
          <t>是</t>
        </is>
      </c>
      <c r="X11" t="inlineStr">
        <is>
          <t>历史导入:15地区微信及Reddit舆情监测_最终修正版.xlsx；来源类型:事件视频/转载讨论；复核:优先核验事件日期、地点、视频原始来源以及正文是否明确提及本法。；重复:否；待核实:是</t>
        </is>
      </c>
    </row>
    <row r="12" ht="46" customHeight="1" s="23">
      <c r="A12" t="inlineStr">
        <is>
          <t>hist-998d1c0298ddb8cb</t>
        </is>
      </c>
      <c r="B12" s="82" t="n">
        <v>46252.9403587963</v>
      </c>
      <c r="C12" s="82" t="n">
        <v>46204</v>
      </c>
      <c r="D12" t="inlineStr">
        <is>
          <t>微信</t>
        </is>
      </c>
      <c r="E12" t="inlineStr">
        <is>
          <t>微信公众号/视频号</t>
        </is>
      </c>
      <c r="F12" t="inlineStr">
        <is>
          <t>微信公众号</t>
        </is>
      </c>
      <c r="G12" t="inlineStr">
        <is>
          <t>国家民委</t>
        </is>
      </c>
      <c r="H12" t="inlineStr">
        <is>
          <t>四川省阿坝藏族羌族自治州人大常委会主任李为国表示，民族团结进步促进法是一部构筑共有精神家园的“铸魂之法”、促进交往交流交融的“赋能之法”、推动共同繁荣发展的“惠民之法”，有效回应了各族群众在新时代的需求和期盼。新疆察布查尔锡伯自治县教育局招生与考试中心主任关芳芳表示：“民族团结进步促进法中关于构筑共有精神家园、促进交往交流交融等规定，契合基层需求，与校园‘铸牢’教育实践同频共振，为打造互嵌式校园环境、增进各族学生情谊提供了法治遵循。”</t>
        </is>
      </c>
      <c r="I12" t="inlineStr">
        <is>
          <t>https://mp.weixin.qq.com/s/iYcRJKV5AuQvU3idKMbEaQ</t>
        </is>
      </c>
      <c r="J12" t="inlineStr">
        <is>
          <t>全国</t>
        </is>
      </c>
      <c r="O12" t="inlineStr">
        <is>
          <t>中文</t>
        </is>
      </c>
      <c r="P12" t="inlineStr">
        <is>
          <t>否</t>
        </is>
      </c>
      <c r="Q12" t="inlineStr">
        <is>
          <t>支持认可</t>
        </is>
      </c>
      <c r="R12" t="inlineStr">
        <is>
          <t>法律实施意义</t>
        </is>
      </c>
      <c r="S12" t="n">
        <v>66</v>
      </c>
      <c r="T12" t="n">
        <v>0</v>
      </c>
      <c r="U12" t="n">
        <v>433</v>
      </c>
      <c r="V12" t="inlineStr">
        <is>
          <t>否</t>
        </is>
      </c>
      <c r="W12" t="inlineStr">
        <is>
          <t>是</t>
        </is>
      </c>
      <c r="X12" t="inlineStr">
        <is>
          <t>历史导入:15地区微信及Reddit舆情监测_最终修正版.xlsx；来源类型:公众号文章；重复:否；待核实:否</t>
        </is>
      </c>
    </row>
    <row r="13" ht="46" customHeight="1" s="23">
      <c r="A13" t="inlineStr">
        <is>
          <t>hist-8063caffe3dcdd8c</t>
        </is>
      </c>
      <c r="B13" s="82" t="n">
        <v>46252.9403587963</v>
      </c>
      <c r="C13" s="82" t="n">
        <v>46223</v>
      </c>
      <c r="D13" t="inlineStr">
        <is>
          <t>微信</t>
        </is>
      </c>
      <c r="E13" t="inlineStr">
        <is>
          <t>微信公众号/视频号</t>
        </is>
      </c>
      <c r="F13" t="inlineStr">
        <is>
          <t>微信公众号</t>
        </is>
      </c>
      <c r="G13" t="inlineStr">
        <is>
          <t>广西民宗委</t>
        </is>
      </c>
      <c r="H13" t="inlineStr">
        <is>
          <t>西藏“十四五”GDP连跨千亿台阶、62.8万人脱贫，人均寿命从35.5岁升至72.5岁；广州宝汉社区商铺由百余家增至238家，各族群众曾自发为患病邻居捐款2万元；内蒙古达茂旗七成农牧民参与“统种统养共富”，单村年分红达160万元；新疆喀什实现适龄儿童入园率100%……</t>
        </is>
      </c>
      <c r="I13" t="inlineStr">
        <is>
          <t>https://mp.weixin.qq.com/s/sfoSvzs2Eu62BBLffOYYIg</t>
        </is>
      </c>
      <c r="J13" t="inlineStr">
        <is>
          <t>广西</t>
        </is>
      </c>
      <c r="L13" t="inlineStr">
        <is>
          <t>广西</t>
        </is>
      </c>
      <c r="O13" t="inlineStr">
        <is>
          <t>中文</t>
        </is>
      </c>
      <c r="P13" t="inlineStr">
        <is>
          <t>否</t>
        </is>
      </c>
      <c r="Q13" t="inlineStr">
        <is>
          <t>支持认可</t>
        </is>
      </c>
      <c r="R13" t="inlineStr">
        <is>
          <t>面对境外抹黑，表达对该法的支持</t>
        </is>
      </c>
      <c r="S13" t="n">
        <v>1</v>
      </c>
      <c r="T13" t="n">
        <v>0</v>
      </c>
      <c r="U13" t="n">
        <v>5</v>
      </c>
      <c r="V13" t="inlineStr">
        <is>
          <t>否</t>
        </is>
      </c>
      <c r="W13" t="inlineStr">
        <is>
          <t>是</t>
        </is>
      </c>
      <c r="X13" t="inlineStr">
        <is>
          <t>历史导入:15地区微信及Reddit舆情监测_最终修正版.xlsx；来源类型:公众号文章；重复:否；待核实:否</t>
        </is>
      </c>
    </row>
    <row r="14">
      <c r="A14" t="inlineStr">
        <is>
          <t>hist-d7b61a381c00e31f</t>
        </is>
      </c>
      <c r="B14" s="82" t="n">
        <v>46252.9403587963</v>
      </c>
      <c r="C14" s="82" t="n">
        <v>46233</v>
      </c>
      <c r="D14" t="inlineStr">
        <is>
          <t>微信</t>
        </is>
      </c>
      <c r="E14" t="inlineStr">
        <is>
          <t>微信公众号/视频号</t>
        </is>
      </c>
      <c r="F14" t="inlineStr">
        <is>
          <t>微信视频号</t>
        </is>
      </c>
      <c r="G14" t="inlineStr">
        <is>
          <t>广西民宗委</t>
        </is>
      </c>
      <c r="H14" t="inlineStr">
        <is>
          <t>为贯彻落实民族团结进步促进法，广西将举办100场专题宣讲活动。</t>
        </is>
      </c>
      <c r="I14" t="inlineStr">
        <is>
          <t>https://weixin.qq.com/sph/AtiR1b5ZSO</t>
        </is>
      </c>
      <c r="J14" t="inlineStr">
        <is>
          <t>广西</t>
        </is>
      </c>
      <c r="L14" t="inlineStr">
        <is>
          <t>广西</t>
        </is>
      </c>
      <c r="O14" t="inlineStr">
        <is>
          <t>中文</t>
        </is>
      </c>
      <c r="P14" t="inlineStr">
        <is>
          <t>否</t>
        </is>
      </c>
      <c r="Q14" t="inlineStr">
        <is>
          <t>支持认可</t>
        </is>
      </c>
      <c r="R14" t="inlineStr">
        <is>
          <t>法律的贯彻落实</t>
        </is>
      </c>
      <c r="S14" t="n">
        <v>8</v>
      </c>
      <c r="T14" t="n">
        <v>1</v>
      </c>
      <c r="U14" t="n">
        <v>10</v>
      </c>
      <c r="V14" t="inlineStr">
        <is>
          <t>否</t>
        </is>
      </c>
      <c r="W14" t="inlineStr">
        <is>
          <t>是</t>
        </is>
      </c>
      <c r="X14" t="inlineStr">
        <is>
          <t>历史导入:15地区微信及Reddit舆情监测_最终修正版.xlsx；来源类型:视频号；复核:评论为支持认可；重复:否；待核实:否</t>
        </is>
      </c>
    </row>
    <row r="15">
      <c r="A15" t="inlineStr">
        <is>
          <t>hist-23ba9fef1d85db8f</t>
        </is>
      </c>
      <c r="B15" s="82" t="n">
        <v>46252.9403587963</v>
      </c>
      <c r="C15" s="82" t="n">
        <v>46221</v>
      </c>
      <c r="D15" t="inlineStr">
        <is>
          <t>微信</t>
        </is>
      </c>
      <c r="E15" t="inlineStr">
        <is>
          <t>微信公众号/视频号</t>
        </is>
      </c>
      <c r="F15" t="inlineStr">
        <is>
          <t>微信公众号</t>
        </is>
      </c>
      <c r="G15" t="inlineStr">
        <is>
          <t>海南省民族通</t>
        </is>
      </c>
      <c r="H15" t="inlineStr">
        <is>
          <t>民族团结进步促进法明确了各族互嵌式发展，其实写的就是我们每天经历的日子。法律的施行，让民族团结工作从以往“干部的宣教”变成了更加具体的“每家每户的法定义务”，民族团结工作有了更加具体的法律硬标尺，我们干事的底气更足、抓手更实，群众的参与度也是越来越高。</t>
        </is>
      </c>
      <c r="I15" t="inlineStr">
        <is>
          <t>https://mp.weixin.qq.com/s/pAMGCTtFG8LUQf4B_s1lDQ</t>
        </is>
      </c>
      <c r="J15" t="inlineStr">
        <is>
          <t>海南</t>
        </is>
      </c>
      <c r="L15" t="inlineStr">
        <is>
          <t>海南</t>
        </is>
      </c>
      <c r="O15" t="inlineStr">
        <is>
          <t>中文</t>
        </is>
      </c>
      <c r="P15" t="inlineStr">
        <is>
          <t>否</t>
        </is>
      </c>
      <c r="Q15" t="inlineStr">
        <is>
          <t>支持认可</t>
        </is>
      </c>
      <c r="R15" t="inlineStr">
        <is>
          <t>面对境外负面叙事，基层代表从实际出发表达对该法的认可</t>
        </is>
      </c>
      <c r="S15" t="n">
        <v>1</v>
      </c>
      <c r="T15" t="n">
        <v>0</v>
      </c>
      <c r="U15" t="n">
        <v>0</v>
      </c>
      <c r="V15" t="inlineStr">
        <is>
          <t>否</t>
        </is>
      </c>
      <c r="W15" t="inlineStr">
        <is>
          <t>是</t>
        </is>
      </c>
      <c r="X15" t="inlineStr">
        <is>
          <t>历史导入:15地区微信及Reddit舆情监测_最终修正版.xlsx；来源类型:公众号文章；重复:否；待核实:否</t>
        </is>
      </c>
    </row>
    <row r="16">
      <c r="A16" t="inlineStr">
        <is>
          <t>hist-8ee1cbd274cf64fa</t>
        </is>
      </c>
      <c r="B16" s="82" t="n">
        <v>46252.9403587963</v>
      </c>
      <c r="C16" s="82" t="n">
        <v>46206</v>
      </c>
      <c r="D16" t="inlineStr">
        <is>
          <t>微信</t>
        </is>
      </c>
      <c r="E16" t="inlineStr">
        <is>
          <t>微信公众号/视频号</t>
        </is>
      </c>
      <c r="F16" t="inlineStr">
        <is>
          <t>微信公众号</t>
        </is>
      </c>
      <c r="G16" t="inlineStr">
        <is>
          <t>四川民族宗教</t>
        </is>
      </c>
      <c r="H16" t="inlineStr">
        <is>
          <t>以前总觉得民族工作离自己的生活很远，今天看了展板、听了讲解才明白，民族团结和我们每个人都息息相关。法条讲得通俗易懂，我回去还要跟老伙计们分享分享，大家一起学法、懂法。</t>
        </is>
      </c>
      <c r="I16" t="inlineStr">
        <is>
          <t>https://mp.weixin.qq.com/s/pP4Dntba0qalnYDoIPhuCA</t>
        </is>
      </c>
      <c r="J16" t="inlineStr">
        <is>
          <t>四川</t>
        </is>
      </c>
      <c r="L16" t="inlineStr">
        <is>
          <t>四川</t>
        </is>
      </c>
      <c r="O16" t="inlineStr">
        <is>
          <t>中文</t>
        </is>
      </c>
      <c r="P16" t="inlineStr">
        <is>
          <t>否</t>
        </is>
      </c>
      <c r="Q16" t="inlineStr">
        <is>
          <t>支持认可</t>
        </is>
      </c>
      <c r="R16" t="inlineStr">
        <is>
          <t>法条</t>
        </is>
      </c>
      <c r="S16" t="n">
        <v>3</v>
      </c>
      <c r="T16" t="n">
        <v>0</v>
      </c>
      <c r="U16" t="n">
        <v>5</v>
      </c>
      <c r="V16" t="inlineStr">
        <is>
          <t>否</t>
        </is>
      </c>
      <c r="W16" t="inlineStr">
        <is>
          <t>是</t>
        </is>
      </c>
      <c r="X16" t="inlineStr">
        <is>
          <t>历史导入:15地区微信及Reddit舆情监测_最终修正版.xlsx；来源类型:公众号文章；重复:否；待核实:否</t>
        </is>
      </c>
    </row>
    <row r="17">
      <c r="A17" t="inlineStr">
        <is>
          <t>hist-fdc90dd5147c7e91</t>
        </is>
      </c>
      <c r="B17" s="82" t="n">
        <v>46252.9403587963</v>
      </c>
      <c r="C17" s="82" t="n">
        <v>46205</v>
      </c>
      <c r="D17" t="inlineStr">
        <is>
          <t>微信</t>
        </is>
      </c>
      <c r="E17" t="inlineStr">
        <is>
          <t>微信公众号/视频号</t>
        </is>
      </c>
      <c r="F17" t="inlineStr">
        <is>
          <t>微信公众号</t>
        </is>
      </c>
      <c r="G17" t="inlineStr">
        <is>
          <t>良辰微风浅入眠</t>
        </is>
      </c>
      <c r="H17" t="inlineStr">
        <is>
          <t>新法落地后，所有破坏民族团结、危害国家稳定的行为，从此有了清晰的法律边界。</t>
        </is>
      </c>
      <c r="I17" t="inlineStr">
        <is>
          <t>https://mp.weixin.qq.com/s/ZMGErwUCI0aOkZmNK_vG5Q</t>
        </is>
      </c>
      <c r="J17" t="inlineStr">
        <is>
          <t>全国</t>
        </is>
      </c>
      <c r="O17" t="inlineStr">
        <is>
          <t>中文</t>
        </is>
      </c>
      <c r="P17" t="inlineStr">
        <is>
          <t>否</t>
        </is>
      </c>
      <c r="Q17" t="inlineStr">
        <is>
          <t>支持认可</t>
        </is>
      </c>
      <c r="R17" t="inlineStr">
        <is>
          <t>怎么看待国外反对民族团结促进法？</t>
        </is>
      </c>
      <c r="S17" t="n">
        <v>454</v>
      </c>
      <c r="T17" t="n">
        <v>108</v>
      </c>
      <c r="U17" t="n">
        <v>429</v>
      </c>
      <c r="V17" t="inlineStr">
        <is>
          <t>否</t>
        </is>
      </c>
      <c r="W17" t="inlineStr">
        <is>
          <t>是</t>
        </is>
      </c>
      <c r="X17" t="inlineStr">
        <is>
          <t>历史导入:15地区微信及Reddit舆情监测_最终修正版.xlsx；来源类型:公众号文章；复核:经最终复核：该贴共454点赞、429转发、108评论。与本法明确相关的有效评论共75条：支持69条、公平争议3条、明确反对1条、不了解1条、咨询疑问1条；另1条“新疆高中免费……”与本法无直接关系，已排除。；重复:否；待核实:否</t>
        </is>
      </c>
    </row>
    <row r="18">
      <c r="A18" t="inlineStr">
        <is>
          <t>hist-aa2cd53f6b179ccd</t>
        </is>
      </c>
      <c r="B18" s="82" t="n">
        <v>46252.9403587963</v>
      </c>
      <c r="C18" s="82" t="n">
        <v>46206</v>
      </c>
      <c r="D18" t="inlineStr">
        <is>
          <t>微信</t>
        </is>
      </c>
      <c r="E18" t="inlineStr">
        <is>
          <t>微信公众号/视频号</t>
        </is>
      </c>
      <c r="F18" t="inlineStr">
        <is>
          <t>微信视频号</t>
        </is>
      </c>
      <c r="G18" t="inlineStr">
        <is>
          <t>中国日报</t>
        </is>
      </c>
      <c r="H18" t="inlineStr">
        <is>
          <t>有关国家抱守意识形态偏见，出于政治操弄，对中国经济社会发展和人权治理成就视而不见，以偏概全，恶意诋毁中国民族政策，炮制散播虚假信息，粗暴干涉中国内政，破坏中国民族团结，中方对此坚决反对。中方敦促有关国家尊重基本事实，停止散布谎言，停止炒作所谓民族问题、干涉中国内政。</t>
        </is>
      </c>
      <c r="I18" t="inlineStr">
        <is>
          <t>https://weixin.qq.com/sph/AMuyz0xtBL</t>
        </is>
      </c>
      <c r="J18" t="inlineStr">
        <is>
          <t>全国</t>
        </is>
      </c>
      <c r="O18" t="inlineStr">
        <is>
          <t>中文</t>
        </is>
      </c>
      <c r="P18" t="inlineStr">
        <is>
          <t>否</t>
        </is>
      </c>
      <c r="Q18" t="inlineStr">
        <is>
          <t>支持认可法律</t>
        </is>
      </c>
      <c r="R18" t="inlineStr">
        <is>
          <t>对国外的干涉表示反对</t>
        </is>
      </c>
      <c r="S18" t="n">
        <v>3523</v>
      </c>
      <c r="T18" t="n">
        <v>44</v>
      </c>
      <c r="U18" t="n">
        <v>1766</v>
      </c>
      <c r="V18" t="inlineStr">
        <is>
          <t>否</t>
        </is>
      </c>
      <c r="W18" t="inlineStr">
        <is>
          <t>是</t>
        </is>
      </c>
      <c r="X18" t="inlineStr">
        <is>
          <t>历史导入:15地区微信及Reddit舆情监测_最终修正版.xlsx；来源类型:视频号；复核:经核对，44条评论均为支持外交部发言人观点，支持该法；重复:否；待核实:否</t>
        </is>
      </c>
    </row>
    <row r="19">
      <c r="A19" t="inlineStr">
        <is>
          <t>hist-a03325624bf8971c</t>
        </is>
      </c>
      <c r="B19" s="82" t="n">
        <v>46252.9403587963</v>
      </c>
      <c r="C19" s="82" t="n">
        <v>46205</v>
      </c>
      <c r="D19" t="inlineStr">
        <is>
          <t>微信</t>
        </is>
      </c>
      <c r="E19" t="inlineStr">
        <is>
          <t>微信公众号/视频号</t>
        </is>
      </c>
      <c r="F19" t="inlineStr">
        <is>
          <t>微信视频号</t>
        </is>
      </c>
      <c r="G19" t="inlineStr">
        <is>
          <t>浙台微讯</t>
        </is>
      </c>
      <c r="H19" t="inlineStr">
        <is>
          <t>国台办：民进党当局煽动两岸对立对抗，恐吓台湾民众，居心叵测，不会得逞</t>
        </is>
      </c>
      <c r="I19" t="inlineStr">
        <is>
          <t>https://weixin.qq.com/sph/ARSvcuFM2V</t>
        </is>
      </c>
      <c r="J19" t="inlineStr">
        <is>
          <t>台湾相关（境外平台）</t>
        </is>
      </c>
      <c r="L19" t="inlineStr">
        <is>
          <t>台湾</t>
        </is>
      </c>
      <c r="O19" t="inlineStr">
        <is>
          <t>中文</t>
        </is>
      </c>
      <c r="P19" t="inlineStr">
        <is>
          <t>否</t>
        </is>
      </c>
      <c r="Q19" t="inlineStr">
        <is>
          <t>支持认可法律</t>
        </is>
      </c>
      <c r="R19" t="inlineStr">
        <is>
          <t>对台政客的看法表示反对</t>
        </is>
      </c>
      <c r="S19" t="n">
        <v>509</v>
      </c>
      <c r="T19" t="n">
        <v>4</v>
      </c>
      <c r="U19" t="n">
        <v>262</v>
      </c>
      <c r="V19" t="inlineStr">
        <is>
          <t>否</t>
        </is>
      </c>
      <c r="W19" t="inlineStr">
        <is>
          <t>是</t>
        </is>
      </c>
      <c r="X19" t="inlineStr">
        <is>
          <t>历史导入:15地区微信及Reddit舆情监测_最终修正版.xlsx；来源类型:视频号；复核:经核对，4条评论均支持法律；重复:否；待核实:否</t>
        </is>
      </c>
    </row>
    <row r="20">
      <c r="A20" t="inlineStr">
        <is>
          <t>hist-492ef610d56be1ea</t>
        </is>
      </c>
      <c r="B20" s="82" t="n">
        <v>46252.9403587963</v>
      </c>
      <c r="C20" s="82" t="n">
        <v>46232</v>
      </c>
      <c r="D20" t="inlineStr">
        <is>
          <t>微信</t>
        </is>
      </c>
      <c r="E20" t="inlineStr">
        <is>
          <t>微信公众号/视频号</t>
        </is>
      </c>
      <c r="F20" t="inlineStr">
        <is>
          <t>微信视频号</t>
        </is>
      </c>
      <c r="G20" t="inlineStr">
        <is>
          <t>银川市西夏区人民检察院</t>
        </is>
      </c>
      <c r="H20" t="inlineStr">
        <is>
          <t>任何组织和个人不得以文字、图片和音视频等方式，制作和传播含有民族仇恨民族歧视等破坏民族团结进步内容的信息。</t>
        </is>
      </c>
      <c r="I20" t="inlineStr">
        <is>
          <t>https://weixin.qq.com/sph/ALHSeULpgg</t>
        </is>
      </c>
      <c r="J20" t="inlineStr">
        <is>
          <t>宁夏</t>
        </is>
      </c>
      <c r="L20" t="inlineStr">
        <is>
          <t>宁夏</t>
        </is>
      </c>
      <c r="O20" t="inlineStr">
        <is>
          <t>中文</t>
        </is>
      </c>
      <c r="P20" t="inlineStr">
        <is>
          <t>否</t>
        </is>
      </c>
      <c r="Q20" t="inlineStr">
        <is>
          <t>支持认可</t>
        </is>
      </c>
      <c r="R20" t="inlineStr">
        <is>
          <t>普法</t>
        </is>
      </c>
      <c r="S20" t="n">
        <v>129</v>
      </c>
      <c r="T20" t="n">
        <v>3</v>
      </c>
      <c r="U20" t="n">
        <v>124</v>
      </c>
      <c r="V20" t="inlineStr">
        <is>
          <t>否</t>
        </is>
      </c>
      <c r="W20" t="inlineStr">
        <is>
          <t>是</t>
        </is>
      </c>
      <c r="X20" t="inlineStr">
        <is>
          <t>历史导入:15地区微信及Reddit舆情监测_最终修正版.xlsx；来源类型:视频号；复核:经核对，3条评论均支持该法律；重复:否；待核实:否</t>
        </is>
      </c>
    </row>
    <row r="21">
      <c r="A21" t="inlineStr">
        <is>
          <t>hist-4849ec256fa9e2dc</t>
        </is>
      </c>
      <c r="B21" s="82" t="n">
        <v>46252.9403587963</v>
      </c>
      <c r="C21" s="82" t="n">
        <v>46220</v>
      </c>
      <c r="D21" t="inlineStr">
        <is>
          <t>微信</t>
        </is>
      </c>
      <c r="E21" t="inlineStr">
        <is>
          <t>微信公众号/视频号</t>
        </is>
      </c>
      <c r="F21" t="inlineStr">
        <is>
          <t>微信视频号</t>
        </is>
      </c>
      <c r="G21" t="inlineStr">
        <is>
          <t>统战新语</t>
        </is>
      </c>
      <c r="H21" t="inlineStr">
        <is>
          <t>严格落实民族团结促进法</t>
        </is>
      </c>
      <c r="I21" t="inlineStr">
        <is>
          <t>https://weixin.qq.com/sph/AYOHDtQ5Vp</t>
        </is>
      </c>
      <c r="J21" t="inlineStr">
        <is>
          <t>全国</t>
        </is>
      </c>
      <c r="O21" t="inlineStr">
        <is>
          <t>中文</t>
        </is>
      </c>
      <c r="P21" t="inlineStr">
        <is>
          <t>否</t>
        </is>
      </c>
      <c r="Q21" t="inlineStr">
        <is>
          <t>支持认可</t>
        </is>
      </c>
      <c r="R21" t="inlineStr">
        <is>
          <t>新闻报道</t>
        </is>
      </c>
      <c r="S21" t="n">
        <v>285</v>
      </c>
      <c r="T21" t="n">
        <v>7</v>
      </c>
      <c r="U21" t="n">
        <v>449</v>
      </c>
      <c r="V21" t="inlineStr">
        <is>
          <t>否</t>
        </is>
      </c>
      <c r="W21" t="inlineStr">
        <is>
          <t>是</t>
        </is>
      </c>
      <c r="X21" t="inlineStr">
        <is>
          <t>历史导入:15地区微信及Reddit舆情监测_最终修正版.xlsx；来源类型:视频号；复核:7条评论均支持该法律；重复:否；待核实:否</t>
        </is>
      </c>
    </row>
    <row r="22">
      <c r="A22" t="inlineStr">
        <is>
          <t>hist-ab85954fa5530727</t>
        </is>
      </c>
      <c r="B22" s="82" t="n">
        <v>46252.9403587963</v>
      </c>
      <c r="C22" s="82" t="n">
        <v>46220</v>
      </c>
      <c r="D22" t="inlineStr">
        <is>
          <t>微信</t>
        </is>
      </c>
      <c r="E22" t="inlineStr">
        <is>
          <t>微信公众号/视频号</t>
        </is>
      </c>
      <c r="F22" t="inlineStr">
        <is>
          <t>微信视频号</t>
        </is>
      </c>
      <c r="G22" t="inlineStr">
        <is>
          <t>青海石榴籽家园</t>
        </is>
      </c>
      <c r="H22" t="inlineStr">
        <is>
          <t>僳僳族多声部无伴奏合唱登上维也纳国际音乐节的殿堂，怒族与僳僳族乐手组成的乐团走进国家大剧院……</t>
        </is>
      </c>
      <c r="I22" t="inlineStr">
        <is>
          <t>https://weixin.qq.com/sph/AGIJ2w7cYO</t>
        </is>
      </c>
      <c r="J22" t="inlineStr">
        <is>
          <t>青海</t>
        </is>
      </c>
      <c r="L22" t="inlineStr">
        <is>
          <t>青海</t>
        </is>
      </c>
      <c r="O22" t="inlineStr">
        <is>
          <t>中文</t>
        </is>
      </c>
      <c r="P22" t="inlineStr">
        <is>
          <t>否</t>
        </is>
      </c>
      <c r="Q22" t="inlineStr">
        <is>
          <t>支持认可</t>
        </is>
      </c>
      <c r="R22" t="inlineStr">
        <is>
          <t>反击西方炒作</t>
        </is>
      </c>
      <c r="S22" t="n">
        <v>1037</v>
      </c>
      <c r="T22" t="n">
        <v>322</v>
      </c>
      <c r="U22" t="n">
        <v>542</v>
      </c>
      <c r="V22" t="inlineStr">
        <is>
          <t>否</t>
        </is>
      </c>
      <c r="W22" t="inlineStr">
        <is>
          <t>是</t>
        </is>
      </c>
      <c r="X22" t="inlineStr">
        <is>
          <t>历史导入:15地区微信及Reddit舆情监测_最终修正版.xlsx；来源类型:视频号；复核:评论区核心讨论为国家通用语言推广与少数民族语言文字传承之间的关系。视频页面显示322条评论；与本法明确有关的评论共188条：担忧影响24条、参与建议58条、明确反对/批评10条、公平争议1条、中立/观点不明/观点对立39条、支持56条；待复核0条。；重复:否；待核实:否</t>
        </is>
      </c>
    </row>
    <row r="23">
      <c r="A23" t="inlineStr">
        <is>
          <t>hist-c4c10331b1bcac30</t>
        </is>
      </c>
      <c r="B23" s="82" t="n">
        <v>46252.9403587963</v>
      </c>
      <c r="C23" s="82" t="n">
        <v>46206</v>
      </c>
      <c r="D23" t="inlineStr">
        <is>
          <t>微信</t>
        </is>
      </c>
      <c r="E23" t="inlineStr">
        <is>
          <t>微信公众号/视频号</t>
        </is>
      </c>
      <c r="F23" t="inlineStr">
        <is>
          <t>微信视频号</t>
        </is>
      </c>
      <c r="G23" t="inlineStr">
        <is>
          <t>喀什说法</t>
        </is>
      </c>
      <c r="H23" t="inlineStr">
        <is>
          <t>报道该法律施行</t>
        </is>
      </c>
      <c r="I23" t="inlineStr">
        <is>
          <t>https://weixin.qq.com/sph/Am67jDMuyj</t>
        </is>
      </c>
      <c r="J23" t="inlineStr">
        <is>
          <t>新疆</t>
        </is>
      </c>
      <c r="L23" t="inlineStr">
        <is>
          <t>新疆</t>
        </is>
      </c>
      <c r="O23" t="inlineStr">
        <is>
          <t>维吾尔语</t>
        </is>
      </c>
      <c r="P23" t="inlineStr">
        <is>
          <t>是</t>
        </is>
      </c>
      <c r="Q23" t="inlineStr">
        <is>
          <t>支持认可</t>
        </is>
      </c>
      <c r="R23" t="inlineStr">
        <is>
          <t>报道施行法律</t>
        </is>
      </c>
      <c r="S23" t="n">
        <v>924</v>
      </c>
      <c r="T23" t="n">
        <v>89</v>
      </c>
      <c r="U23" t="n">
        <v>660</v>
      </c>
      <c r="V23" t="inlineStr">
        <is>
          <t>否</t>
        </is>
      </c>
      <c r="W23" t="inlineStr">
        <is>
          <t>是</t>
        </is>
      </c>
      <c r="X23" t="inlineStr">
        <is>
          <t>历史导入:15地区微信及Reddit舆情监测_最终修正版.xlsx；来源类型:视频号；复核:经核实，89条评论均表达支持；重复:否；待核实:否</t>
        </is>
      </c>
    </row>
    <row r="24">
      <c r="A24" t="inlineStr">
        <is>
          <t>hist-a0a24df091c87002</t>
        </is>
      </c>
      <c r="B24" s="82" t="n">
        <v>46252.9403587963</v>
      </c>
      <c r="C24" s="82" t="n">
        <v>46204</v>
      </c>
      <c r="D24" t="inlineStr">
        <is>
          <t>微信</t>
        </is>
      </c>
      <c r="E24" t="inlineStr">
        <is>
          <t>微信公众号/视频号</t>
        </is>
      </c>
      <c r="F24" t="inlineStr">
        <is>
          <t>微信视频号</t>
        </is>
      </c>
      <c r="G24" t="inlineStr">
        <is>
          <t>青海法治报</t>
        </is>
      </c>
      <c r="H24" t="inlineStr">
        <is>
          <t>普法</t>
        </is>
      </c>
      <c r="I24" t="inlineStr">
        <is>
          <t>https://weixin.qq.com/sph/AkJLkhfUdM</t>
        </is>
      </c>
      <c r="J24" t="inlineStr">
        <is>
          <t>青海</t>
        </is>
      </c>
      <c r="L24" t="inlineStr">
        <is>
          <t>青海</t>
        </is>
      </c>
      <c r="O24" t="inlineStr">
        <is>
          <t>中文</t>
        </is>
      </c>
      <c r="P24" t="inlineStr">
        <is>
          <t>否</t>
        </is>
      </c>
      <c r="Q24" t="inlineStr">
        <is>
          <t>支持认可</t>
        </is>
      </c>
      <c r="R24" t="inlineStr">
        <is>
          <t>报道施行法律</t>
        </is>
      </c>
      <c r="S24" t="n">
        <v>3094</v>
      </c>
      <c r="T24" t="n">
        <v>251</v>
      </c>
      <c r="U24" t="n">
        <v>7773</v>
      </c>
      <c r="V24" t="inlineStr">
        <is>
          <t>否</t>
        </is>
      </c>
      <c r="W24" t="inlineStr">
        <is>
          <t>是</t>
        </is>
      </c>
      <c r="X24" t="inlineStr">
        <is>
          <t>历史导入:15地区微信及Reddit舆情监测_最终修正版.xlsx；来源类型:视频号；复核:经复核：该视频共计3094点赞，7773转发，251评论。其中，与该法律有关的评论共计249条。3条参与建议。其他246条评论均支持该法。；重复:否；待核实:否</t>
        </is>
      </c>
    </row>
    <row r="25">
      <c r="A25" t="inlineStr">
        <is>
          <t>hist-1ece49c09f8902e2</t>
        </is>
      </c>
      <c r="B25" s="82" t="n">
        <v>46239.45902777778</v>
      </c>
      <c r="C25" s="82" t="n">
        <v>46204</v>
      </c>
      <c r="D25" t="inlineStr">
        <is>
          <t>甘肃经济日报</t>
        </is>
      </c>
      <c r="E25" t="inlineStr">
        <is>
          <t>其他</t>
        </is>
      </c>
      <c r="F25" t="inlineStr">
        <is>
          <t>甘肃地方媒体</t>
        </is>
      </c>
      <c r="G25" t="inlineStr">
        <is>
          <t>甘肃经济日报</t>
        </is>
      </c>
      <c r="H25" t="inlineStr">
        <is>
          <t>在积石山县村社广场、天祝县民族广场等地开展民族团结进步促进法宣传。</t>
        </is>
      </c>
      <c r="I25" t="inlineStr">
        <is>
          <t>https://www.gsjb.com/system/2026/07/01/031393540.shtml</t>
        </is>
      </c>
      <c r="J25" t="inlineStr">
        <is>
          <t>积石山县、天祝县及甘南州夏河县等</t>
        </is>
      </c>
      <c r="L25" t="inlineStr">
        <is>
          <t>甘肃</t>
        </is>
      </c>
      <c r="O25" t="inlineStr">
        <is>
          <t>普通话</t>
        </is>
      </c>
      <c r="P25" t="inlineStr">
        <is>
          <t>否</t>
        </is>
      </c>
      <c r="Q25" t="inlineStr">
        <is>
          <t>中性信息</t>
        </is>
      </c>
      <c r="R25" t="inlineStr">
        <is>
          <t>基层普法；企业参与；公共场所宣传</t>
        </is>
      </c>
      <c r="S25" t="n">
        <v>0</v>
      </c>
      <c r="T25" t="n">
        <v>0</v>
      </c>
      <c r="U25" t="n">
        <v>0</v>
      </c>
      <c r="V25" t="inlineStr">
        <is>
          <t>否</t>
        </is>
      </c>
      <c r="W25" t="inlineStr">
        <is>
          <t>否</t>
        </is>
      </c>
      <c r="X25" t="inlineStr">
        <is>
          <t>历史导入:中华人民共和国民族团结进步促进法_四川甘肃民族地区舆情监测汇总_复核完成.xlsx；来源类型:媒体报道；复核:已打开地方媒体原始页面核验；属于地方实施报道，不是公众支持意见。；重复:否；待核实:否</t>
        </is>
      </c>
    </row>
    <row r="26">
      <c r="A26" t="inlineStr">
        <is>
          <t>hist-f3c38f0dd7889ac5</t>
        </is>
      </c>
      <c r="B26" s="82" t="n">
        <v>46239.45902777778</v>
      </c>
      <c r="C26" s="82" t="n">
        <v>46205</v>
      </c>
      <c r="D26" t="inlineStr">
        <is>
          <t>张掖市人民政府/民族宗教事务委员会</t>
        </is>
      </c>
      <c r="E26" t="inlineStr">
        <is>
          <t>其他</t>
        </is>
      </c>
      <c r="F26" t="inlineStr">
        <is>
          <t>地方政府官方网站</t>
        </is>
      </c>
      <c r="G26" t="inlineStr">
        <is>
          <t>张掖市民族宗教事务委员会</t>
        </is>
      </c>
      <c r="H26" t="inlineStr">
        <is>
          <t>肃南县开展“马背普法”，推动法律进学校、宗教活动场所、景区和企业。</t>
        </is>
      </c>
      <c r="I26" t="inlineStr">
        <is>
          <t>https://www.zhangye.gov.cn/mzw/dzdt/gzdt/202607/t20260702_1560021_ghb.html</t>
        </is>
      </c>
      <c r="J26" t="inlineStr">
        <is>
          <t>肃南裕固族自治县</t>
        </is>
      </c>
      <c r="L26" t="inlineStr">
        <is>
          <t>甘肃</t>
        </is>
      </c>
      <c r="O26" t="inlineStr">
        <is>
          <t>普通话</t>
        </is>
      </c>
      <c r="P26" t="inlineStr">
        <is>
          <t>否</t>
        </is>
      </c>
      <c r="Q26" t="inlineStr">
        <is>
          <t>官方政策信息</t>
        </is>
      </c>
      <c r="R26" t="inlineStr">
        <is>
          <t>基层普法；法律进学校；宗教场所；文化旅游</t>
        </is>
      </c>
      <c r="S26" t="n">
        <v>0</v>
      </c>
      <c r="T26" t="n">
        <v>0</v>
      </c>
      <c r="U26" t="n">
        <v>0</v>
      </c>
      <c r="V26" t="inlineStr">
        <is>
          <t>否</t>
        </is>
      </c>
      <c r="W26" t="inlineStr">
        <is>
          <t>否</t>
        </is>
      </c>
      <c r="X26" t="inlineStr">
        <is>
          <t>历史导入:中华人民共和国民族团结进步促进法_四川甘肃民族地区舆情监测汇总_复核完成.xlsx；来源类型:官方实施信息；复核:已打开张掖市政府原始页面核验；属于肃南县相关的上级部门公开信息。；重复:否；待核实:否</t>
        </is>
      </c>
    </row>
    <row r="27">
      <c r="A27" t="inlineStr">
        <is>
          <t>hist-bdda6cd3bb01e4b8</t>
        </is>
      </c>
      <c r="B27" s="82" t="n">
        <v>46239.45902777778</v>
      </c>
      <c r="C27" s="82" t="n">
        <v>46206</v>
      </c>
      <c r="D27" t="inlineStr">
        <is>
          <t>甘南州人民政府</t>
        </is>
      </c>
      <c r="E27" t="inlineStr">
        <is>
          <t>其他</t>
        </is>
      </c>
      <c r="F27" t="inlineStr">
        <is>
          <t>地方政府官方网站</t>
        </is>
      </c>
      <c r="G27" t="inlineStr">
        <is>
          <t>临潭县人民政府办公室</t>
        </is>
      </c>
      <c r="H27" t="inlineStr">
        <is>
          <t>要完整准确学习贯彻民族团结进步促进法，依法规范宗教事务管理，推动寺庙管理法治化、规范化、制度化。</t>
        </is>
      </c>
      <c r="I27" t="inlineStr">
        <is>
          <t>https://www.gnzrmzf.gov.cn/info/1052/81761.htm</t>
        </is>
      </c>
      <c r="J27" t="inlineStr">
        <is>
          <t>甘南州临潭县</t>
        </is>
      </c>
      <c r="L27" t="inlineStr">
        <is>
          <t>甘肃</t>
        </is>
      </c>
      <c r="O27" t="inlineStr">
        <is>
          <t>普通话</t>
        </is>
      </c>
      <c r="P27" t="inlineStr">
        <is>
          <t>否</t>
        </is>
      </c>
      <c r="Q27" t="inlineStr">
        <is>
          <t>官方政策信息</t>
        </is>
      </c>
      <c r="R27" t="inlineStr">
        <is>
          <t>地方调研；基层落实；依法治理</t>
        </is>
      </c>
      <c r="S27" t="n">
        <v>0</v>
      </c>
      <c r="T27" t="n">
        <v>0</v>
      </c>
      <c r="U27" t="n">
        <v>0</v>
      </c>
      <c r="V27" t="inlineStr">
        <is>
          <t>否</t>
        </is>
      </c>
      <c r="W27" t="inlineStr">
        <is>
          <t>否</t>
        </is>
      </c>
      <c r="X27" t="inlineStr">
        <is>
          <t>历史导入:中华人民共和国民族团结进步促进法_四川甘肃民族地区舆情监测汇总_复核完成.xlsx；来源类型:官方实施信息；复核:2026-08-05人工核验：页面已打开，发布时间为2026-07-03 10:42:58，发布单位为临潭县人民政府办公室；正文明确提到完整准确学习贯彻该法，核验通过。；重复:否；待核实:否</t>
        </is>
      </c>
    </row>
    <row r="28">
      <c r="A28" t="inlineStr">
        <is>
          <t>hist-4d1083f83f251d41</t>
        </is>
      </c>
      <c r="B28" s="82" t="n">
        <v>46239.45902777778</v>
      </c>
      <c r="C28" s="82" t="n">
        <v>46208</v>
      </c>
      <c r="D28" t="inlineStr">
        <is>
          <t>甘南州人民政府</t>
        </is>
      </c>
      <c r="E28" t="inlineStr">
        <is>
          <t>其他</t>
        </is>
      </c>
      <c r="F28" t="inlineStr">
        <is>
          <t>地方政府官方网站</t>
        </is>
      </c>
      <c r="G28" t="inlineStr">
        <is>
          <t>甘南州人民政府</t>
        </is>
      </c>
      <c r="H28" t="inlineStr">
        <is>
          <t>要深入学习贯彻民族团结进步促进法，以铸牢中华民族共同体意识为主线，强化思想政治引领。</t>
        </is>
      </c>
      <c r="I28" t="inlineStr">
        <is>
          <t>https://www.gnzrmzf.gov.cn/info/1052/81781.htm</t>
        </is>
      </c>
      <c r="J28" t="inlineStr">
        <is>
          <t>甘南州夏河县</t>
        </is>
      </c>
      <c r="L28" t="inlineStr">
        <is>
          <t>甘肃</t>
        </is>
      </c>
      <c r="O28" t="inlineStr">
        <is>
          <t>普通话</t>
        </is>
      </c>
      <c r="P28" t="inlineStr">
        <is>
          <t>否</t>
        </is>
      </c>
      <c r="Q28" t="inlineStr">
        <is>
          <t>官方政策信息</t>
        </is>
      </c>
      <c r="R28" t="inlineStr">
        <is>
          <t>地方调研；基层治理；贯彻落实</t>
        </is>
      </c>
      <c r="S28" t="n">
        <v>0</v>
      </c>
      <c r="T28" t="n">
        <v>0</v>
      </c>
      <c r="U28" t="n">
        <v>0</v>
      </c>
      <c r="V28" t="inlineStr">
        <is>
          <t>否</t>
        </is>
      </c>
      <c r="W28" t="inlineStr">
        <is>
          <t>否</t>
        </is>
      </c>
      <c r="X28" t="inlineStr">
        <is>
          <t>历史导入:中华人民共和国民族团结进步促进法_四川甘肃民族地区舆情监测汇总_复核完成.xlsx；来源类型:官方实施信息；复核:2026-08-05人工核验：页面已打开，发布时间为2026-07-05 09:36:48，正文明确要求深入学习贯彻该法；访问量268，核验通过。；重复:否；待核实:否</t>
        </is>
      </c>
    </row>
    <row r="29">
      <c r="A29" t="inlineStr">
        <is>
          <t>hist-ef6ced28b8470e8c</t>
        </is>
      </c>
      <c r="B29" s="82" t="n">
        <v>46239.45902777778</v>
      </c>
      <c r="C29" s="82" t="n">
        <v>46208</v>
      </c>
      <c r="D29" t="inlineStr">
        <is>
          <t>甘南州人民政府</t>
        </is>
      </c>
      <c r="E29" t="inlineStr">
        <is>
          <t>其他</t>
        </is>
      </c>
      <c r="F29" t="inlineStr">
        <is>
          <t>地方政府官方网站</t>
        </is>
      </c>
      <c r="G29" t="inlineStr">
        <is>
          <t>甘南州人民政府</t>
        </is>
      </c>
      <c r="H29" t="inlineStr">
        <is>
          <t>学习贯彻《中华人民共和国民族团结进步促进法》。</t>
        </is>
      </c>
      <c r="I29" t="inlineStr">
        <is>
          <t>https://www.gnzrmzf.gov.cn/info/1052/81782.htm</t>
        </is>
      </c>
      <c r="J29" t="inlineStr">
        <is>
          <t>甘南州玛曲县、迭部县、舟曲县</t>
        </is>
      </c>
      <c r="L29" t="inlineStr">
        <is>
          <t>甘肃</t>
        </is>
      </c>
      <c r="O29" t="inlineStr">
        <is>
          <t>普通话</t>
        </is>
      </c>
      <c r="P29" t="inlineStr">
        <is>
          <t>否</t>
        </is>
      </c>
      <c r="Q29" t="inlineStr">
        <is>
          <t>官方政策信息</t>
        </is>
      </c>
      <c r="R29" t="inlineStr">
        <is>
          <t>监督检查；基层落实；干部学习</t>
        </is>
      </c>
      <c r="S29" t="n">
        <v>0</v>
      </c>
      <c r="T29" t="n">
        <v>0</v>
      </c>
      <c r="U29" t="n">
        <v>0</v>
      </c>
      <c r="V29" t="inlineStr">
        <is>
          <t>否</t>
        </is>
      </c>
      <c r="W29" t="inlineStr">
        <is>
          <t>否</t>
        </is>
      </c>
      <c r="X29" t="inlineStr">
        <is>
          <t>历史导入:中华人民共和国民族团结进步促进法_四川甘肃民族地区舆情监测汇总_复核完成.xlsx；来源类型:官方实施信息；复核:2026-08-05人工补查：原始页面仍提示 NET::ERR_CERT_COMMON_NAME_INVALID，无法安全打开正文；暂仅依据标题和搜索索引保留，继续寻找官方转载。；重复:否；待核实:是</t>
        </is>
      </c>
    </row>
    <row r="30">
      <c r="A30" t="inlineStr">
        <is>
          <t>hist-f2a8ccb78988d9d8</t>
        </is>
      </c>
      <c r="B30" s="82" t="n">
        <v>46239.45902777778</v>
      </c>
      <c r="C30" s="82" t="n">
        <v>46210</v>
      </c>
      <c r="D30" t="inlineStr">
        <is>
          <t>甘南州农业农村局</t>
        </is>
      </c>
      <c r="E30" t="inlineStr">
        <is>
          <t>其他</t>
        </is>
      </c>
      <c r="F30" t="inlineStr">
        <is>
          <t>地方政府部门网站</t>
        </is>
      </c>
      <c r="G30" t="inlineStr">
        <is>
          <t>甘南州农业农村局（来源：局机关党委）</t>
        </is>
      </c>
      <c r="H30" t="inlineStr">
        <is>
          <t>深入学习贯彻习近平总书记关于铸牢中华民族共同体意识重要论述精神和《中华人民共和国民族团结进步促进法》。</t>
        </is>
      </c>
      <c r="I30" t="inlineStr">
        <is>
          <t>https://nync.gnzrmzf.gov.cn/info/1105/23100.htm</t>
        </is>
      </c>
      <c r="J30" t="inlineStr">
        <is>
          <t>甘南藏族自治州</t>
        </is>
      </c>
      <c r="L30" t="inlineStr">
        <is>
          <t>甘肃</t>
        </is>
      </c>
      <c r="O30" t="inlineStr">
        <is>
          <t>普通话</t>
        </is>
      </c>
      <c r="P30" t="inlineStr">
        <is>
          <t>否</t>
        </is>
      </c>
      <c r="Q30" t="inlineStr">
        <is>
          <t>官方政策信息</t>
        </is>
      </c>
      <c r="R30" t="inlineStr">
        <is>
          <t>部门学习；干部培训；普法宣传</t>
        </is>
      </c>
      <c r="S30" t="n">
        <v>0</v>
      </c>
      <c r="T30" t="n">
        <v>0</v>
      </c>
      <c r="U30" t="n">
        <v>0</v>
      </c>
      <c r="V30" t="inlineStr">
        <is>
          <t>否</t>
        </is>
      </c>
      <c r="W30" t="inlineStr">
        <is>
          <t>否</t>
        </is>
      </c>
      <c r="X30" t="inlineStr">
        <is>
          <t>历史导入:中华人民共和国民族团结进步促进法_四川甘肃民族地区舆情监测汇总_复核完成.xlsx；来源类型:官方实施信息；复核:2026-08-05人工核验：页面截图和正文已保存，发布时间2026-07-07，作者为州农业农村局、来源为局机关党委；正文明确学习贯彻该法，核验通过。；重复:否；待核实:否</t>
        </is>
      </c>
    </row>
    <row r="31">
      <c r="A31" t="inlineStr">
        <is>
          <t>hist-b743783e342547c9</t>
        </is>
      </c>
      <c r="B31" s="82" t="n">
        <v>46239.45902777778</v>
      </c>
      <c r="C31" s="82" t="n">
        <v>46210</v>
      </c>
      <c r="D31" t="inlineStr">
        <is>
          <t>张掖市委统战部</t>
        </is>
      </c>
      <c r="E31" t="inlineStr">
        <is>
          <t>其他</t>
        </is>
      </c>
      <c r="F31" t="inlineStr">
        <is>
          <t>地方党委部门网站</t>
        </is>
      </c>
      <c r="G31" t="inlineStr">
        <is>
          <t>张掖市委统战部</t>
        </is>
      </c>
      <c r="H31" t="inlineStr">
        <is>
          <t>引导宗教界人士学习民族团结进步促进法。</t>
        </is>
      </c>
      <c r="I31" t="inlineStr">
        <is>
          <t>https://tzb.zhangye.gov.cn/tzyw/202607/t20260707_1560934.html</t>
        </is>
      </c>
      <c r="J31" t="inlineStr">
        <is>
          <t>肃南裕固族自治县</t>
        </is>
      </c>
      <c r="L31" t="inlineStr">
        <is>
          <t>甘肃</t>
        </is>
      </c>
      <c r="O31" t="inlineStr">
        <is>
          <t>普通话</t>
        </is>
      </c>
      <c r="P31" t="inlineStr">
        <is>
          <t>否</t>
        </is>
      </c>
      <c r="Q31" t="inlineStr">
        <is>
          <t>官方政策信息</t>
        </is>
      </c>
      <c r="R31" t="inlineStr">
        <is>
          <t>宗教界学法；基层治理；调研部署</t>
        </is>
      </c>
      <c r="S31" t="n">
        <v>0</v>
      </c>
      <c r="T31" t="n">
        <v>0</v>
      </c>
      <c r="U31" t="n">
        <v>0</v>
      </c>
      <c r="V31" t="inlineStr">
        <is>
          <t>否</t>
        </is>
      </c>
      <c r="W31" t="inlineStr">
        <is>
          <t>否</t>
        </is>
      </c>
      <c r="X31" t="inlineStr">
        <is>
          <t>历史导入:中华人民共和国民族团结进步促进法_四川甘肃民族地区舆情监测汇总_复核完成.xlsx；来源类型:官方实施信息；复核:2026-08-05人工补查：原始页面仍提示 NET::ERR_CERT_COMMON_NAME_INVALID，无法安全打开全文；继续寻找肃南发布、肃南融媒或其他官方转载。；重复:否；待核实:是</t>
        </is>
      </c>
    </row>
    <row r="32">
      <c r="A32" t="inlineStr">
        <is>
          <t>hist-f772c76e80a98cf5</t>
        </is>
      </c>
      <c r="B32" s="82" t="n">
        <v>46239.45902777778</v>
      </c>
      <c r="C32" s="82" t="n">
        <v>46212.72986111111</v>
      </c>
      <c r="D32" t="inlineStr">
        <is>
          <t>甘孜州经济和信息化局</t>
        </is>
      </c>
      <c r="E32" t="inlineStr">
        <is>
          <t>其他</t>
        </is>
      </c>
      <c r="F32" t="inlineStr">
        <is>
          <t>地方政府部门网站</t>
        </is>
      </c>
      <c r="G32" t="inlineStr">
        <is>
          <t>甘孜州经济和信息化局；中国甘孜（来源：康巴传媒）</t>
        </is>
      </c>
      <c r="H32" t="inlineStr">
        <is>
          <t>学习贯彻好《宗教事务条例》《中华人民共和国民族团结进步促进法》等法律法规；面对面向寺管会干部、寺庙僧尼宣讲该法核心要义。</t>
        </is>
      </c>
      <c r="I32" t="inlineStr">
        <is>
          <t>https://jxj.gzz.gov.cn/jxyw/article/722092</t>
        </is>
      </c>
      <c r="J32" t="inlineStr">
        <is>
          <t>甘孜藏族自治州（康定市、道孚县）</t>
        </is>
      </c>
      <c r="L32" t="inlineStr">
        <is>
          <t>四川</t>
        </is>
      </c>
      <c r="O32" t="inlineStr">
        <is>
          <t>普通话</t>
        </is>
      </c>
      <c r="P32" t="inlineStr">
        <is>
          <t>否</t>
        </is>
      </c>
      <c r="Q32" t="inlineStr">
        <is>
          <t>官方政策信息</t>
        </is>
      </c>
      <c r="R32" t="inlineStr">
        <is>
          <t>地方贯彻；基层治理；干部学习</t>
        </is>
      </c>
      <c r="S32" t="n">
        <v>0</v>
      </c>
      <c r="T32" t="n">
        <v>0</v>
      </c>
      <c r="U32" t="n">
        <v>0</v>
      </c>
      <c r="V32" t="inlineStr">
        <is>
          <t>否</t>
        </is>
      </c>
      <c r="W32" t="inlineStr">
        <is>
          <t>否</t>
        </is>
      </c>
      <c r="X32" t="inlineStr">
        <is>
          <t>历史导入:中华人民共和国民族团结进步促进法_四川甘肃民族地区舆情监测汇总_复核完成.xlsx；来源类型:官方实施信息；复核:2026-08-05人工核验：政府网页及微信公众号“中国甘孜”同文内容均已核对。公众号发布时间为2026-07-09 17:31，来源为康巴传媒，页面显示阅读820、无留言；正文明确要求学习贯彻该法并在道孚县寺庙宣讲核心要义。；重复:否；待核实:否</t>
        </is>
      </c>
    </row>
    <row r="33">
      <c r="A33" t="inlineStr">
        <is>
          <t>hist-a1077995eed9a1f7</t>
        </is>
      </c>
      <c r="B33" s="82" t="n">
        <v>46239.45902777778</v>
      </c>
      <c r="C33" s="82" t="n">
        <v>46218</v>
      </c>
      <c r="D33" t="inlineStr">
        <is>
          <t>阿坝州人民政府</t>
        </is>
      </c>
      <c r="E33" t="inlineStr">
        <is>
          <t>其他</t>
        </is>
      </c>
      <c r="F33" t="inlineStr">
        <is>
          <t>地方政府官方网站</t>
        </is>
      </c>
      <c r="G33" t="inlineStr">
        <is>
          <t>阿坝州民族宗教事务委员会</t>
        </is>
      </c>
      <c r="H33" t="inlineStr">
        <is>
          <t>为贯彻实施《中华人民共和国民族团结进步促进法》……现向社会公开征求意见。</t>
        </is>
      </c>
      <c r="I33" t="inlineStr">
        <is>
          <t>https://www.abazhou.gov.cn/abazhou/c101961/202608/adffe3b9ac4c46e0a0cd36167b5f6890.shtml</t>
        </is>
      </c>
      <c r="J33" t="inlineStr">
        <is>
          <t>阿坝藏族羌族自治州</t>
        </is>
      </c>
      <c r="L33" t="inlineStr">
        <is>
          <t>四川</t>
        </is>
      </c>
      <c r="O33" t="inlineStr">
        <is>
          <t>普通话</t>
        </is>
      </c>
      <c r="P33" t="inlineStr">
        <is>
          <t>否</t>
        </is>
      </c>
      <c r="Q33" t="inlineStr">
        <is>
          <t>官方政策信息</t>
        </is>
      </c>
      <c r="R33" t="inlineStr">
        <is>
          <t>地方配套法规；民族语言文字；公众参与；意见征集</t>
        </is>
      </c>
      <c r="S33" t="n">
        <v>0</v>
      </c>
      <c r="T33" t="n">
        <v>0</v>
      </c>
      <c r="U33" t="n">
        <v>0</v>
      </c>
      <c r="V33" t="inlineStr">
        <is>
          <t>否</t>
        </is>
      </c>
      <c r="W33" t="inlineStr">
        <is>
          <t>否</t>
        </is>
      </c>
      <c r="X33" t="inlineStr">
        <is>
          <t>历史导入:中华人民共和国民族团结进步促进法_四川甘肃民族地区舆情监测汇总_复核完成.xlsx；来源类型:官方实施信息；复核:已打开原始页面，标题、时间、发布单位和征求意见渠道可核验。；重复:否；待核实:否</t>
        </is>
      </c>
    </row>
    <row r="34">
      <c r="A34" t="inlineStr">
        <is>
          <t>hist-724317b321b6f40d</t>
        </is>
      </c>
      <c r="B34" s="82" t="n">
        <v>46239.45902777778</v>
      </c>
      <c r="C34" s="82" t="n">
        <v>46226</v>
      </c>
      <c r="D34" t="inlineStr">
        <is>
          <t>临夏州人大常委会</t>
        </is>
      </c>
      <c r="E34" t="inlineStr">
        <is>
          <t>其他</t>
        </is>
      </c>
      <c r="F34" t="inlineStr">
        <is>
          <t>地方人大官方网站（官方转载）</t>
        </is>
      </c>
      <c r="G34" t="inlineStr">
        <is>
          <t>甘肃人大网（临夏州人大转载）</t>
        </is>
      </c>
      <c r="H34" t="inlineStr">
        <is>
          <t>发布时间为2026年7月23日，页面标注来源为甘肃人大网；正文写明“7月1日，《中华人民共和国民族团结进步促进法》正式实施”。</t>
        </is>
      </c>
      <c r="I34" t="inlineStr">
        <is>
          <t>https://www.lxzrdw.gov.cn/Article/Content?ItemID=2ee4fdeb-59c9-4478-b4bb-6b22e506e465</t>
        </is>
      </c>
      <c r="J34" t="inlineStr">
        <is>
          <t>临夏回族自治州（含积石山县）</t>
        </is>
      </c>
      <c r="L34" t="inlineStr">
        <is>
          <t>甘肃</t>
        </is>
      </c>
      <c r="O34" t="inlineStr">
        <is>
          <t>普通话</t>
        </is>
      </c>
      <c r="P34" t="inlineStr">
        <is>
          <t>否</t>
        </is>
      </c>
      <c r="Q34" t="inlineStr">
        <is>
          <t>中性信息</t>
        </is>
      </c>
      <c r="R34" t="inlineStr">
        <is>
          <t>典型案例；地方实施；示范创建</t>
        </is>
      </c>
      <c r="S34" t="n">
        <v>0</v>
      </c>
      <c r="T34" t="n">
        <v>0</v>
      </c>
      <c r="U34" t="n">
        <v>0</v>
      </c>
      <c r="V34" t="inlineStr">
        <is>
          <t>否</t>
        </is>
      </c>
      <c r="W34" t="inlineStr">
        <is>
          <t>否</t>
        </is>
      </c>
      <c r="X34" t="inlineStr">
        <is>
          <t>历史导入:中华人民共和国民族团结进步促进法_四川甘肃民族地区舆情监测汇总_复核完成.xlsx；来源类型:官方转载/实施信息；复核:2026-08-05人工核验：页面已成功打开；发布时间2026-07-23，页面标注来源为甘肃人大网；正文明确以7月1日该法正式实施为时间节点。属于官方转载/实施案例，不计入公众意见。；重复:是（官方转载）；待核实:否</t>
        </is>
      </c>
    </row>
    <row r="35">
      <c r="A35" t="inlineStr">
        <is>
          <t>hist-037f55767d98194c</t>
        </is>
      </c>
      <c r="B35" s="82" t="n">
        <v>46239.51666666667</v>
      </c>
      <c r="C35" s="82" t="n">
        <v>46226.7</v>
      </c>
      <c r="D35" t="inlineStr">
        <is>
          <t>微信公众号“微阿坝”</t>
        </is>
      </c>
      <c r="E35" t="inlineStr">
        <is>
          <t>微信公众号/视频号</t>
        </is>
      </c>
      <c r="F35" t="inlineStr">
        <is>
          <t>微信公众号人工核验</t>
        </is>
      </c>
      <c r="G35" t="inlineStr">
        <is>
          <t>微阿坝；阿坝州民族团结进步创建工作领导小组办公室</t>
        </is>
      </c>
      <c r="H35" t="inlineStr">
        <is>
          <t>以漫读学习会形式连续图解构筑共有精神家园、促进交往交流交融、推动共同繁荣发展、保障与监督等内容。</t>
        </is>
      </c>
      <c r="I35" t="inlineStr">
        <is>
          <t>待从微信客户端复制原始链接（已保存截图）</t>
        </is>
      </c>
      <c r="J35" t="inlineStr">
        <is>
          <t>阿坝藏族羌族自治州</t>
        </is>
      </c>
      <c r="L35" t="inlineStr">
        <is>
          <t>四川</t>
        </is>
      </c>
      <c r="O35" t="inlineStr">
        <is>
          <t>普通话</t>
        </is>
      </c>
      <c r="P35" t="inlineStr">
        <is>
          <t>否</t>
        </is>
      </c>
      <c r="Q35" t="inlineStr">
        <is>
          <t>官方政策信息</t>
        </is>
      </c>
      <c r="R35" t="inlineStr">
        <is>
          <t>图解普法；系列宣传；交往交流交融；共同繁荣；保障监督</t>
        </is>
      </c>
      <c r="S35" t="n">
        <v>0</v>
      </c>
      <c r="T35" t="n">
        <v>0</v>
      </c>
      <c r="U35" t="n">
        <v>0</v>
      </c>
      <c r="V35" t="inlineStr">
        <is>
          <t>否</t>
        </is>
      </c>
      <c r="W35" t="inlineStr">
        <is>
          <t>否</t>
        </is>
      </c>
      <c r="X35" t="inlineStr">
        <is>
          <t>历史导入:中华人民共和国民族团结进步促进法_四川甘肃民族地区舆情监测汇总_复核完成.xlsx；来源类型:官方实施信息；复核:账号、标题和发布时间已通过截图核验；页面标注来源为阿坝州民族团结进步创建工作领导小组办公室、无评论。仍需补复制原始文章链接。；重复:是（系列内容合并记录）；待核实:是</t>
        </is>
      </c>
    </row>
    <row r="36">
      <c r="A36" t="inlineStr">
        <is>
          <t>hist-01b80bbc8e920d7d</t>
        </is>
      </c>
      <c r="B36" s="82" t="n">
        <v>46239.51666666667</v>
      </c>
      <c r="C36" s="82" t="n">
        <v>46227.69930555556</v>
      </c>
      <c r="D36" t="inlineStr">
        <is>
          <t>微信公众号“临夏州民委”</t>
        </is>
      </c>
      <c r="E36" t="inlineStr">
        <is>
          <t>微信公众号/视频号</t>
        </is>
      </c>
      <c r="F36" t="inlineStr">
        <is>
          <t>微信公众号人工核验</t>
        </is>
      </c>
      <c r="G36" t="inlineStr">
        <is>
          <t>临夏州民委</t>
        </is>
      </c>
      <c r="H36" t="inlineStr">
        <is>
          <t>以“每日一学”形式解读促进交往交流交融等法律内容。</t>
        </is>
      </c>
      <c r="I36" t="inlineStr">
        <is>
          <t>待从微信客户端复制原始链接（已保存截图）</t>
        </is>
      </c>
      <c r="J36" t="inlineStr">
        <is>
          <t>临夏回族自治州</t>
        </is>
      </c>
      <c r="L36" t="inlineStr">
        <is>
          <t>甘肃</t>
        </is>
      </c>
      <c r="O36" t="inlineStr">
        <is>
          <t>普通话</t>
        </is>
      </c>
      <c r="P36" t="inlineStr">
        <is>
          <t>否</t>
        </is>
      </c>
      <c r="Q36" t="inlineStr">
        <is>
          <t>官方政策信息</t>
        </is>
      </c>
      <c r="R36" t="inlineStr">
        <is>
          <t>每日一学；系列普法；交往交流交融</t>
        </is>
      </c>
      <c r="S36" t="n">
        <v>0</v>
      </c>
      <c r="T36" t="n">
        <v>0</v>
      </c>
      <c r="U36" t="n">
        <v>0</v>
      </c>
      <c r="V36" t="inlineStr">
        <is>
          <t>否</t>
        </is>
      </c>
      <c r="W36" t="inlineStr">
        <is>
          <t>否</t>
        </is>
      </c>
      <c r="X36" t="inlineStr">
        <is>
          <t>历史导入:中华人民共和国民族团结进步促进法_四川甘肃民族地区舆情监测汇总_复核完成.xlsx；来源类型:官方实施信息；复核:账号、标题和发布时间已通过截图核验，页面显示无留言；仍需补复制原始文章链接。；重复:是（系列代表记录）；待核实:是</t>
        </is>
      </c>
    </row>
    <row r="37">
      <c r="A37" t="inlineStr">
        <is>
          <t>hist-dac8b8ee2b991708</t>
        </is>
      </c>
      <c r="B37" s="82" t="n">
        <v>46239.45902777778</v>
      </c>
      <c r="C37" s="82" t="n">
        <v>46231</v>
      </c>
      <c r="D37" t="inlineStr">
        <is>
          <t>阿坝州人民政府</t>
        </is>
      </c>
      <c r="E37" t="inlineStr">
        <is>
          <t>其他</t>
        </is>
      </c>
      <c r="F37" t="inlineStr">
        <is>
          <t>地方政府官方网站</t>
        </is>
      </c>
      <c r="G37" t="inlineStr">
        <is>
          <t>阿坝州人民政府办公室</t>
        </is>
      </c>
      <c r="H37" t="inlineStr">
        <is>
          <t>认真贯彻民族团结进步促进法。</t>
        </is>
      </c>
      <c r="I37" t="inlineStr">
        <is>
          <t>https://www.abazhou.gov.cn/abazhou/c101955/202607/87b0523ffc934c629281d33b8c569fb2.shtml</t>
        </is>
      </c>
      <c r="J37" t="inlineStr">
        <is>
          <t>阿坝藏族羌族自治州</t>
        </is>
      </c>
      <c r="L37" t="inlineStr">
        <is>
          <t>四川</t>
        </is>
      </c>
      <c r="O37" t="inlineStr">
        <is>
          <t>普通话</t>
        </is>
      </c>
      <c r="P37" t="inlineStr">
        <is>
          <t>否</t>
        </is>
      </c>
      <c r="Q37" t="inlineStr">
        <is>
          <t>官方政策信息</t>
        </is>
      </c>
      <c r="R37" t="inlineStr">
        <is>
          <t>司法落实；依法治理民族事务</t>
        </is>
      </c>
      <c r="S37" t="n">
        <v>0</v>
      </c>
      <c r="T37" t="n">
        <v>0</v>
      </c>
      <c r="U37" t="n">
        <v>0</v>
      </c>
      <c r="V37" t="inlineStr">
        <is>
          <t>否</t>
        </is>
      </c>
      <c r="W37" t="inlineStr">
        <is>
          <t>否</t>
        </is>
      </c>
      <c r="X37" t="inlineStr">
        <is>
          <t>历史导入:中华人民共和国民族团结进步促进法_四川甘肃民族地区舆情监测汇总_复核完成.xlsx；来源类型:官方实施信息；复核:已打开阿坝州政府原始页面核验。；重复:否；待核实:否</t>
        </is>
      </c>
    </row>
    <row r="38">
      <c r="A38" t="inlineStr">
        <is>
          <t>hist-b4c28ec70d01b41e</t>
        </is>
      </c>
      <c r="B38" s="82" t="n">
        <v>46239.45902777778</v>
      </c>
      <c r="C38" s="82" t="n">
        <v>46232</v>
      </c>
      <c r="D38" t="inlineStr">
        <is>
          <t>甘肃省民族事务委员会</t>
        </is>
      </c>
      <c r="E38" t="inlineStr">
        <is>
          <t>其他</t>
        </is>
      </c>
      <c r="F38" t="inlineStr">
        <is>
          <t>省级民族事务部门网站（地方稿源）</t>
        </is>
      </c>
      <c r="G38" t="inlineStr">
        <is>
          <t>肃北县委统战部</t>
        </is>
      </c>
      <c r="H38" t="inlineStr">
        <is>
          <t>页面显示日期2026-07-29、来源为肃北县委统战部；正文介绍制定学习宣传贯彻该法工作方案，并依托“肃北发布”“肃北统一战线”“看这里是肃北”推送“法促团结·每日一学”等内容。</t>
        </is>
      </c>
      <c r="I38" t="inlineStr">
        <is>
          <t>https://mzsw.gansu.gov.cn/mzsw/c109565/202607/174372364.shtml</t>
        </is>
      </c>
      <c r="J38" t="inlineStr">
        <is>
          <t>肃北蒙古族自治县</t>
        </is>
      </c>
      <c r="L38" t="inlineStr">
        <is>
          <t>甘肃</t>
        </is>
      </c>
      <c r="O38" t="inlineStr">
        <is>
          <t>普通话</t>
        </is>
      </c>
      <c r="P38" t="inlineStr">
        <is>
          <t>否</t>
        </is>
      </c>
      <c r="Q38" t="inlineStr">
        <is>
          <t>官方政策信息</t>
        </is>
      </c>
      <c r="R38" t="inlineStr">
        <is>
          <t>县级综合落实；基层治理；宣传教育</t>
        </is>
      </c>
      <c r="S38" t="n">
        <v>0</v>
      </c>
      <c r="T38" t="n">
        <v>0</v>
      </c>
      <c r="U38" t="n">
        <v>0</v>
      </c>
      <c r="V38" t="inlineStr">
        <is>
          <t>否</t>
        </is>
      </c>
      <c r="W38" t="inlineStr">
        <is>
          <t>否</t>
        </is>
      </c>
      <c r="X38" t="inlineStr">
        <is>
          <t>历史导入:中华人民共和国民族团结进步促进法_四川甘肃民族地区舆情监测汇总_复核完成.xlsx；来源类型:官方实施信息；复核:2026-08-05人工核验：原始页面已成功打开；标题、日期（2026-07-29）、来源（肃北县委统战部）和正文均可核验，明确讨论该法施行后的地方落实，核验通过；未发现可单独统计的公众原创意见。；重复:否；待核实:否</t>
        </is>
      </c>
    </row>
    <row r="39">
      <c r="A39" t="inlineStr">
        <is>
          <t>hist-1b8dd159f7226709</t>
        </is>
      </c>
      <c r="B39" s="82" t="n">
        <v>46239.51666666667</v>
      </c>
      <c r="C39" s="82" t="n">
        <v>46233.68263888889</v>
      </c>
      <c r="D39" t="inlineStr">
        <is>
          <t>微信公众号“中国甘孜”</t>
        </is>
      </c>
      <c r="E39" t="inlineStr">
        <is>
          <t>微信公众号/视频号</t>
        </is>
      </c>
      <c r="F39" t="inlineStr">
        <is>
          <t>微信公众号人工核验</t>
        </is>
      </c>
      <c r="G39" t="inlineStr">
        <is>
          <t>中国甘孜（来源：康巴传媒）</t>
        </is>
      </c>
      <c r="H39" t="inlineStr">
        <is>
          <t>在更庆寺详细了解学习宣传贯彻《中华人民共和国民族团结进步促进法》等情况。</t>
        </is>
      </c>
      <c r="I39" t="inlineStr">
        <is>
          <t>待从微信客户端复制原始链接（已保存截图）</t>
        </is>
      </c>
      <c r="J39" t="inlineStr">
        <is>
          <t>甘孜藏族自治州德格县</t>
        </is>
      </c>
      <c r="L39" t="inlineStr">
        <is>
          <t>四川</t>
        </is>
      </c>
      <c r="O39" t="inlineStr">
        <is>
          <t>普通话</t>
        </is>
      </c>
      <c r="P39" t="inlineStr">
        <is>
          <t>否</t>
        </is>
      </c>
      <c r="Q39" t="inlineStr">
        <is>
          <t>官方政策信息</t>
        </is>
      </c>
      <c r="R39" t="inlineStr">
        <is>
          <t>寺庙依法管理；宗教界学法；国家通用语言文字；基层治理</t>
        </is>
      </c>
      <c r="S39" t="n">
        <v>0</v>
      </c>
      <c r="T39" t="n">
        <v>0</v>
      </c>
      <c r="U39" t="n">
        <v>0</v>
      </c>
      <c r="V39" t="inlineStr">
        <is>
          <t>否</t>
        </is>
      </c>
      <c r="W39" t="inlineStr">
        <is>
          <t>否</t>
        </is>
      </c>
      <c r="X39" t="inlineStr">
        <is>
          <t>历史导入:中华人民共和国民族团结进步促进法_四川甘肃民族地区舆情监测汇总_复核完成.xlsx；来源类型:官方实施信息；复核:文章标题、账号、发布时间、来源和正文已通过截图核验；页面显示阅读798、无留言。仍需从微信客户端复制可核验原始链接。；重复:否；待核实:是</t>
        </is>
      </c>
    </row>
    <row r="40">
      <c r="A40" t="inlineStr">
        <is>
          <t>hist-b3116b8f211ff2f8</t>
        </is>
      </c>
      <c r="B40" s="82" t="n">
        <v>46239.51666666667</v>
      </c>
      <c r="D40" t="inlineStr">
        <is>
          <t>微信公众号“临夏州民委”</t>
        </is>
      </c>
      <c r="E40" t="inlineStr">
        <is>
          <t>微信公众号/视频号</t>
        </is>
      </c>
      <c r="F40" t="inlineStr">
        <is>
          <t>微信公众号人工核验</t>
        </is>
      </c>
      <c r="G40" t="inlineStr">
        <is>
          <t>临夏州民委</t>
        </is>
      </c>
      <c r="H40" t="inlineStr">
        <is>
          <t>制定印发实施方案，明确19项具体任务；开展百场次4万余人宣讲，并在8县市32个场所开展法治集中宣讲。</t>
        </is>
      </c>
      <c r="I40" t="inlineStr">
        <is>
          <t>待从微信客户端复制原始链接（已保存截图）</t>
        </is>
      </c>
      <c r="J40" t="inlineStr">
        <is>
          <t>临夏回族自治州</t>
        </is>
      </c>
      <c r="L40" t="inlineStr">
        <is>
          <t>甘肃</t>
        </is>
      </c>
      <c r="O40" t="inlineStr">
        <is>
          <t>普通话</t>
        </is>
      </c>
      <c r="P40" t="inlineStr">
        <is>
          <t>否</t>
        </is>
      </c>
      <c r="Q40" t="inlineStr">
        <is>
          <t>官方政策信息</t>
        </is>
      </c>
      <c r="R40" t="inlineStr">
        <is>
          <t>实施方案；19项任务；融媒宣传；百场万人宣讲；学校教育；基层治理</t>
        </is>
      </c>
      <c r="S40" t="n">
        <v>0</v>
      </c>
      <c r="T40" t="n">
        <v>0</v>
      </c>
      <c r="U40" t="n">
        <v>0</v>
      </c>
      <c r="V40" t="inlineStr">
        <is>
          <t>否</t>
        </is>
      </c>
      <c r="W40" t="inlineStr">
        <is>
          <t>否</t>
        </is>
      </c>
      <c r="X40" t="inlineStr">
        <is>
          <t>历史导入:中华人民共和国民族团结进步促进法_四川甘肃民族地区舆情监测汇总_复核完成.xlsx；来源类型:官方实施信息；复核:正文内容、发布账号和无留言状态已通过截图核验；仍需补充准确发布时间和原始文章链接。；重复:否；待核实:是</t>
        </is>
      </c>
    </row>
    <row r="41">
      <c r="A41" t="inlineStr">
        <is>
          <t>hist-7b62277deddefd69</t>
        </is>
      </c>
      <c r="B41" s="82" t="n">
        <v>46239.51666666667</v>
      </c>
      <c r="D41" t="inlineStr">
        <is>
          <t>微信公众号“凉山发布”</t>
        </is>
      </c>
      <c r="E41" t="inlineStr">
        <is>
          <t>微信公众号/视频号</t>
        </is>
      </c>
      <c r="F41" t="inlineStr">
        <is>
          <t>微信公众号人工核验</t>
        </is>
      </c>
      <c r="G41" t="inlineStr">
        <is>
          <t>凉山发布（来源：凉山州新闻传媒中心）</t>
        </is>
      </c>
      <c r="H41" t="inlineStr">
        <is>
          <t>会前，与会同志学习了《中华人民共和国民族团结进步促进法》。</t>
        </is>
      </c>
      <c r="I41" t="inlineStr">
        <is>
          <t>待从微信客户端复制原始链接（已保存截图）</t>
        </is>
      </c>
      <c r="J41" t="inlineStr">
        <is>
          <t>凉山彝族自治州</t>
        </is>
      </c>
      <c r="L41" t="inlineStr">
        <is>
          <t>四川</t>
        </is>
      </c>
      <c r="O41" t="inlineStr">
        <is>
          <t>普通话</t>
        </is>
      </c>
      <c r="P41" t="inlineStr">
        <is>
          <t>否</t>
        </is>
      </c>
      <c r="Q41" t="inlineStr">
        <is>
          <t>官方政策信息</t>
        </is>
      </c>
      <c r="R41" t="inlineStr">
        <is>
          <t>州委常委会学习；干部学习；地方贯彻</t>
        </is>
      </c>
      <c r="S41" t="n">
        <v>0</v>
      </c>
      <c r="T41" t="n">
        <v>0</v>
      </c>
      <c r="U41" t="n">
        <v>0</v>
      </c>
      <c r="V41" t="inlineStr">
        <is>
          <t>否</t>
        </is>
      </c>
      <c r="W41" t="inlineStr">
        <is>
          <t>否</t>
        </is>
      </c>
      <c r="X41" t="inlineStr">
        <is>
          <t>历史导入:中华人民共和国民族团结进步促进法_四川甘肃民族地区舆情监测汇总_复核完成.xlsx；来源类型:官方实施信息；复核:正文和来源单位已通过截图核验，会议日期为7月17日；仍需补充公众号准确发布时间和原始链接。；重复:否；待核实:是</t>
        </is>
      </c>
    </row>
    <row r="42">
      <c r="A42" t="inlineStr">
        <is>
          <t>hist-1e10846dd12e0cce</t>
        </is>
      </c>
      <c r="B42" s="82" t="n">
        <v>46239.81180555555</v>
      </c>
      <c r="C42" s="82" t="n">
        <v>46205</v>
      </c>
      <c r="D42" t="inlineStr">
        <is>
          <t>视频号</t>
        </is>
      </c>
      <c r="E42" t="inlineStr">
        <is>
          <t>微信公众号/视频号</t>
        </is>
      </c>
      <c r="F42" t="inlineStr">
        <is>
          <t>视频号人工核验</t>
        </is>
      </c>
      <c r="G42" t="inlineStr">
        <is>
          <t>甘南融媒藏语平台</t>
        </is>
      </c>
      <c r="H42" t="inlineStr">
        <is>
          <t>截图中的账号、标题或画面明确出现《中华人民共和国民族团结进步促进法》；页面显示评论总数4条，其中有效支持4条。</t>
        </is>
      </c>
      <c r="I42" t="inlineStr">
        <is>
          <t>https://weixin.qq.com/sph/AtykZndKEg</t>
        </is>
      </c>
      <c r="J42" t="inlineStr">
        <is>
          <t>甘南藏族自治州</t>
        </is>
      </c>
      <c r="L42" t="inlineStr">
        <is>
          <t>甘肃</t>
        </is>
      </c>
      <c r="O42" t="inlineStr">
        <is>
          <t>藏语/藏文</t>
        </is>
      </c>
      <c r="P42" t="inlineStr">
        <is>
          <t>是</t>
        </is>
      </c>
      <c r="Q42" t="inlineStr">
        <is>
          <t>官方传播信息</t>
        </is>
      </c>
      <c r="R42" t="inlineStr">
        <is>
          <t>系列普法；法律解读</t>
        </is>
      </c>
      <c r="S42" t="n">
        <v>0</v>
      </c>
      <c r="T42" t="n">
        <v>0</v>
      </c>
      <c r="U42" t="n">
        <v>0</v>
      </c>
      <c r="V42" t="inlineStr">
        <is>
          <t>否</t>
        </is>
      </c>
      <c r="W42" t="inlineStr">
        <is>
          <t>否</t>
        </is>
      </c>
      <c r="X42" t="inlineStr">
        <is>
          <t>历史导入:中华人民共和国民族团结进步促进法_四川甘肃民族地区舆情监测汇总_复核完成.xlsx；来源类型:社交平台母帖（官方/融媒账号）；复核:母帖和4条评论已通过截图核验；M01原始链接已精确对应。中文标题明确涉及本法；藏语/藏文正文具体语义待藏语人员复核。4条评论均为表情型支持，态度判断不依赖藏语正文。；重复:否；待核实:是</t>
        </is>
      </c>
    </row>
    <row r="43">
      <c r="A43" t="inlineStr">
        <is>
          <t>hist-14a9337169280a21</t>
        </is>
      </c>
      <c r="B43" s="82" t="n">
        <v>46239.81180555555</v>
      </c>
      <c r="C43" s="82" t="n">
        <v>46213</v>
      </c>
      <c r="D43" t="inlineStr">
        <is>
          <t>视频号</t>
        </is>
      </c>
      <c r="E43" t="inlineStr">
        <is>
          <t>微信公众号/视频号</t>
        </is>
      </c>
      <c r="F43" t="inlineStr">
        <is>
          <t>视频号人工核验</t>
        </is>
      </c>
      <c r="G43" t="inlineStr">
        <is>
          <t>临夏市融媒体中心</t>
        </is>
      </c>
      <c r="H43" t="inlineStr">
        <is>
          <t>截图中的账号、标题或画面明确出现《中华人民共和国民族团结进步促进法》；页面显示评论总数3条，其中有效支持2条。</t>
        </is>
      </c>
      <c r="I43" t="inlineStr">
        <is>
          <t>已收集视频号原始链接集合，但与此前截图未逐条对应；见“原始链接清单”</t>
        </is>
      </c>
      <c r="J43" t="inlineStr">
        <is>
          <t>临夏回族自治州临夏市</t>
        </is>
      </c>
      <c r="L43" t="inlineStr">
        <is>
          <t>甘肃</t>
        </is>
      </c>
      <c r="O43" t="inlineStr">
        <is>
          <t>普通话</t>
        </is>
      </c>
      <c r="P43" t="inlineStr">
        <is>
          <t>否</t>
        </is>
      </c>
      <c r="Q43" t="inlineStr">
        <is>
          <t>官方传播信息</t>
        </is>
      </c>
      <c r="R43" t="inlineStr">
        <is>
          <t>法律施行；普法解读</t>
        </is>
      </c>
      <c r="S43" t="n">
        <v>0</v>
      </c>
      <c r="T43" t="n">
        <v>0</v>
      </c>
      <c r="U43" t="n">
        <v>0</v>
      </c>
      <c r="V43" t="inlineStr">
        <is>
          <t>否</t>
        </is>
      </c>
      <c r="W43" t="inlineStr">
        <is>
          <t>否</t>
        </is>
      </c>
      <c r="X43" t="inlineStr">
        <is>
          <t>历史导入:中华人民共和国民族团结进步促进法_四川甘肃民族地区舆情监测汇总_复核完成.xlsx；来源类型:社交平台母帖（官方/融媒账号）；复核:2条表情支持计入；1条复制母帖全文的评论排除。准确发布日期仍需复核。 母帖已通过截图人工核验；评论见“公众评论明细”；视频号链接已提供但未与截图逐条对应。；重复:否；待核实:是</t>
        </is>
      </c>
    </row>
    <row r="44">
      <c r="A44" t="inlineStr">
        <is>
          <t>hist-e6a878e33497c88b</t>
        </is>
      </c>
      <c r="B44" s="82" t="n">
        <v>46239.81180555555</v>
      </c>
      <c r="C44" s="82" t="n">
        <v>46219</v>
      </c>
      <c r="D44" t="inlineStr">
        <is>
          <t>视频号</t>
        </is>
      </c>
      <c r="E44" t="inlineStr">
        <is>
          <t>微信公众号/视频号</t>
        </is>
      </c>
      <c r="F44" t="inlineStr">
        <is>
          <t>视频号人工核验</t>
        </is>
      </c>
      <c r="G44" t="inlineStr">
        <is>
          <t>临夏市融媒体中心</t>
        </is>
      </c>
      <c r="H44" t="inlineStr">
        <is>
          <t>截图中的账号、标题或画面明确出现《中华人民共和国民族团结进步促进法》；页面显示评论总数8条，其中有效支持7条。</t>
        </is>
      </c>
      <c r="I44" t="inlineStr">
        <is>
          <t>已收集视频号原始链接集合，但与此前截图未逐条对应；见“原始链接清单”</t>
        </is>
      </c>
      <c r="J44" t="inlineStr">
        <is>
          <t>临夏回族自治州临夏市</t>
        </is>
      </c>
      <c r="L44" t="inlineStr">
        <is>
          <t>甘肃</t>
        </is>
      </c>
      <c r="O44" t="inlineStr">
        <is>
          <t>普通话</t>
        </is>
      </c>
      <c r="P44" t="inlineStr">
        <is>
          <t>否</t>
        </is>
      </c>
      <c r="Q44" t="inlineStr">
        <is>
          <t>官方传播信息</t>
        </is>
      </c>
      <c r="R44" t="inlineStr">
        <is>
          <t>法律施行；普法解读</t>
        </is>
      </c>
      <c r="S44" t="n">
        <v>0</v>
      </c>
      <c r="T44" t="n">
        <v>0</v>
      </c>
      <c r="U44" t="n">
        <v>0</v>
      </c>
      <c r="V44" t="inlineStr">
        <is>
          <t>否</t>
        </is>
      </c>
      <c r="W44" t="inlineStr">
        <is>
          <t>否</t>
        </is>
      </c>
      <c r="X44" t="inlineStr">
        <is>
          <t>历史导入:中华人民共和国民族团结进步促进法_四川甘肃民族地区舆情监测汇总_复核完成.xlsx；来源类型:社交平台母帖（官方/融媒账号）；复核:1条复制母帖文案的评论排除，7条正向评论计入。其中原截图未完整展开的2条评论均确认为点赞表情，支持态度可以确认；母帖已通过截图核验，视频号链接仍未与截图逐条对应。；重复:否；待核实:是</t>
        </is>
      </c>
    </row>
    <row r="45">
      <c r="A45" t="inlineStr">
        <is>
          <t>hist-cd5c08c4f9328444</t>
        </is>
      </c>
      <c r="B45" s="82" t="n">
        <v>46239.81180555555</v>
      </c>
      <c r="C45" s="82" t="n">
        <v>46205</v>
      </c>
      <c r="D45" t="inlineStr">
        <is>
          <t>视频号</t>
        </is>
      </c>
      <c r="E45" t="inlineStr">
        <is>
          <t>微信公众号/视频号</t>
        </is>
      </c>
      <c r="F45" t="inlineStr">
        <is>
          <t>视频号人工核验</t>
        </is>
      </c>
      <c r="G45" t="inlineStr">
        <is>
          <t>临夏市融媒体中心</t>
        </is>
      </c>
      <c r="H45" t="inlineStr">
        <is>
          <t>截图中的账号、标题或画面明确出现《中华人民共和国民族团结进步促进法》；页面显示评论总数7条，其中有效支持6条。</t>
        </is>
      </c>
      <c r="I45" t="inlineStr">
        <is>
          <t>已收集视频号原始链接集合，但与此前截图未逐条对应；见“原始链接清单”</t>
        </is>
      </c>
      <c r="J45" t="inlineStr">
        <is>
          <t>临夏回族自治州临夏市</t>
        </is>
      </c>
      <c r="L45" t="inlineStr">
        <is>
          <t>甘肃</t>
        </is>
      </c>
      <c r="O45" t="inlineStr">
        <is>
          <t>普通话</t>
        </is>
      </c>
      <c r="P45" t="inlineStr">
        <is>
          <t>否</t>
        </is>
      </c>
      <c r="Q45" t="inlineStr">
        <is>
          <t>官方传播信息</t>
        </is>
      </c>
      <c r="R45" t="inlineStr">
        <is>
          <t>基层宣讲；普法活动</t>
        </is>
      </c>
      <c r="S45" t="n">
        <v>0</v>
      </c>
      <c r="T45" t="n">
        <v>0</v>
      </c>
      <c r="U45" t="n">
        <v>0</v>
      </c>
      <c r="V45" t="inlineStr">
        <is>
          <t>否</t>
        </is>
      </c>
      <c r="W45" t="inlineStr">
        <is>
          <t>否</t>
        </is>
      </c>
      <c r="X45" t="inlineStr">
        <is>
          <t>历史导入:中华人民共和国民族团结进步促进法_四川甘肃民族地区舆情监测汇总_复核完成.xlsx；来源类型:社交平台母帖（官方/融媒账号）；复核:6条点赞、爱心类支持计入；顶部1条母帖文案型评论不计。准确发布日期仍需复核。 母帖已通过截图人工核验；评论见“公众评论明细”；视频号链接已提供但未与截图逐条对应。；重复:否；待核实:是</t>
        </is>
      </c>
    </row>
    <row r="46">
      <c r="A46" t="inlineStr">
        <is>
          <t>hist-d14a5591be57ca12</t>
        </is>
      </c>
      <c r="B46" s="82" t="n">
        <v>46239.81180555555</v>
      </c>
      <c r="C46" s="82" t="n">
        <v>46224.82916666667</v>
      </c>
      <c r="D46" t="inlineStr">
        <is>
          <t>微信公众号/视频号</t>
        </is>
      </c>
      <c r="E46" t="inlineStr">
        <is>
          <t>微信公众号/视频号</t>
        </is>
      </c>
      <c r="F46" t="inlineStr">
        <is>
          <t>微信公众号/视频号人工核验</t>
        </is>
      </c>
      <c r="G46" t="inlineStr">
        <is>
          <t>肃北融媒（肃北县融媒体中心）</t>
        </is>
      </c>
      <c r="H46" t="inlineStr">
        <is>
          <t>截图中的账号、标题或画面明确出现《中华人民共和国民族团结进步促进法》；页面显示评论总数2条，其中有效支持2条。</t>
        </is>
      </c>
      <c r="I46" t="inlineStr">
        <is>
          <t>已收集视频号原始链接集合，但与此前截图未逐条对应；见“原始链接清单”</t>
        </is>
      </c>
      <c r="J46" t="inlineStr">
        <is>
          <t>肃北蒙古族自治县</t>
        </is>
      </c>
      <c r="L46" t="inlineStr">
        <is>
          <t>甘肃</t>
        </is>
      </c>
      <c r="O46" t="inlineStr">
        <is>
          <t>普通话</t>
        </is>
      </c>
      <c r="P46" t="inlineStr">
        <is>
          <t>否</t>
        </is>
      </c>
      <c r="Q46" t="inlineStr">
        <is>
          <t>官方传播信息</t>
        </is>
      </c>
      <c r="R46" t="inlineStr">
        <is>
          <t>基层宣讲；普法活动</t>
        </is>
      </c>
      <c r="S46" t="n">
        <v>0</v>
      </c>
      <c r="T46" t="n">
        <v>0</v>
      </c>
      <c r="U46" t="n">
        <v>0</v>
      </c>
      <c r="V46" t="inlineStr">
        <is>
          <t>否</t>
        </is>
      </c>
      <c r="W46" t="inlineStr">
        <is>
          <t>否</t>
        </is>
      </c>
      <c r="X46" t="inlineStr">
        <is>
          <t>历史导入:中华人民共和国民族团结进步促进法_四川甘肃民族地区舆情监测汇总_复核完成.xlsx；来源类型:社交平台母帖（官方/融媒账号）；复核:公众号文章、视频和评论均已截图核验；同一条“赞”在两张截图中重复出现，仅计一次。视频号链接仅作候选集合。 母帖已通过截图人工核验；评论见“公众评论明细”；视频号链接已提供但未与截图逐条对应。；重复:是（公众号/视频号同一内容入口）；待核实:是</t>
        </is>
      </c>
    </row>
    <row r="47">
      <c r="A47" t="inlineStr">
        <is>
          <t>hist-dabfc0848653b720</t>
        </is>
      </c>
      <c r="B47" s="82" t="n">
        <v>46239.81180555555</v>
      </c>
      <c r="C47" s="82" t="n">
        <v>46233</v>
      </c>
      <c r="D47" t="inlineStr">
        <is>
          <t>视频号</t>
        </is>
      </c>
      <c r="E47" t="inlineStr">
        <is>
          <t>微信公众号/视频号</t>
        </is>
      </c>
      <c r="F47" t="inlineStr">
        <is>
          <t>视频号人工核验</t>
        </is>
      </c>
      <c r="G47" t="inlineStr">
        <is>
          <t>看这里是肃北</t>
        </is>
      </c>
      <c r="H47" t="inlineStr">
        <is>
          <t>截图中的账号、标题或画面明确出现《中华人民共和国民族团结进步促进法》；页面显示评论总数1条，其中有效支持1条。</t>
        </is>
      </c>
      <c r="I47" t="inlineStr">
        <is>
          <t>已收集视频号原始链接集合，但与此前截图未逐条对应；见“原始链接清单”</t>
        </is>
      </c>
      <c r="J47" t="inlineStr">
        <is>
          <t>肃北蒙古族自治县</t>
        </is>
      </c>
      <c r="L47" t="inlineStr">
        <is>
          <t>甘肃</t>
        </is>
      </c>
      <c r="O47" t="inlineStr">
        <is>
          <t>普通话</t>
        </is>
      </c>
      <c r="P47" t="inlineStr">
        <is>
          <t>否</t>
        </is>
      </c>
      <c r="Q47" t="inlineStr">
        <is>
          <t>官方传播信息</t>
        </is>
      </c>
      <c r="R47" t="inlineStr">
        <is>
          <t>基层宣讲；普法活动</t>
        </is>
      </c>
      <c r="S47" t="n">
        <v>0</v>
      </c>
      <c r="T47" t="n">
        <v>0</v>
      </c>
      <c r="U47" t="n">
        <v>0</v>
      </c>
      <c r="V47" t="inlineStr">
        <is>
          <t>否</t>
        </is>
      </c>
      <c r="W47" t="inlineStr">
        <is>
          <t>否</t>
        </is>
      </c>
      <c r="X47" t="inlineStr">
        <is>
          <t>历史导入:中华人民共和国民族团结进步促进法_四川甘肃民族地区舆情监测汇总_复核完成.xlsx；来源类型:社交平台母帖（官方/融媒账号）；复核:文字型支持评论已截图核验；视频号链接仅作候选集合和准确发布日期。 母帖已通过截图人工核验；评论见“公众评论明细”；视频号链接已提供但未与截图逐条对应。；重复:否；待核实:是</t>
        </is>
      </c>
    </row>
    <row r="48">
      <c r="A48" t="inlineStr">
        <is>
          <t>hist-2ef6a4ae0e3cceb5</t>
        </is>
      </c>
      <c r="B48" s="82" t="n">
        <v>46239.81180555555</v>
      </c>
      <c r="C48" s="82" t="n">
        <v>46216</v>
      </c>
      <c r="D48" t="inlineStr">
        <is>
          <t>视频号</t>
        </is>
      </c>
      <c r="E48" t="inlineStr">
        <is>
          <t>微信公众号/视频号</t>
        </is>
      </c>
      <c r="F48" t="inlineStr">
        <is>
          <t>视频号人工核验</t>
        </is>
      </c>
      <c r="G48" t="inlineStr">
        <is>
          <t>肃北县融媒体中心</t>
        </is>
      </c>
      <c r="H48" t="inlineStr">
        <is>
          <t>截图中的账号、标题或画面明确出现《中华人民共和国民族团结进步促进法》；页面显示评论总数1条，其中有效支持1条。</t>
        </is>
      </c>
      <c r="I48" t="inlineStr">
        <is>
          <t>已收集视频号原始链接集合，但与此前截图未逐条对应；见“原始链接清单”</t>
        </is>
      </c>
      <c r="J48" t="inlineStr">
        <is>
          <t>肃北蒙古族自治县</t>
        </is>
      </c>
      <c r="L48" t="inlineStr">
        <is>
          <t>甘肃</t>
        </is>
      </c>
      <c r="O48" t="inlineStr">
        <is>
          <t>普通话</t>
        </is>
      </c>
      <c r="P48" t="inlineStr">
        <is>
          <t>否</t>
        </is>
      </c>
      <c r="Q48" t="inlineStr">
        <is>
          <t>官方传播信息</t>
        </is>
      </c>
      <c r="R48" t="inlineStr">
        <is>
          <t>法律解读；社交平台传播</t>
        </is>
      </c>
      <c r="S48" t="n">
        <v>0</v>
      </c>
      <c r="T48" t="n">
        <v>0</v>
      </c>
      <c r="U48" t="n">
        <v>0</v>
      </c>
      <c r="V48" t="inlineStr">
        <is>
          <t>否</t>
        </is>
      </c>
      <c r="W48" t="inlineStr">
        <is>
          <t>否</t>
        </is>
      </c>
      <c r="X48" t="inlineStr">
        <is>
          <t>历史导入:中华人民共和国民族团结进步促进法_四川甘肃民族地区舆情监测汇总_复核完成.xlsx；来源类型:社交平台母帖（官方/融媒账号）；复核:评论内容已截图核验；视频号链接仅作候选集合和准确发布日期。 母帖已通过截图人工核验；评论见“公众评论明细”；视频号链接已提供但未与截图逐条对应。；重复:否；待核实:是</t>
        </is>
      </c>
    </row>
    <row r="49">
      <c r="A49" t="inlineStr">
        <is>
          <t>hist-45e43d72a85da2ec</t>
        </is>
      </c>
      <c r="B49" s="82" t="n">
        <v>46239.81180555555</v>
      </c>
      <c r="C49" s="82" t="n">
        <v>46232</v>
      </c>
      <c r="D49" t="inlineStr">
        <is>
          <t>视频号</t>
        </is>
      </c>
      <c r="E49" t="inlineStr">
        <is>
          <t>微信公众号/视频号</t>
        </is>
      </c>
      <c r="F49" t="inlineStr">
        <is>
          <t>视频号人工核验</t>
        </is>
      </c>
      <c r="G49" t="inlineStr">
        <is>
          <t>肃北县融媒体中心</t>
        </is>
      </c>
      <c r="H49" t="inlineStr">
        <is>
          <t>截图中的账号、标题或画面明确出现《中华人民共和国民族团结进步促进法》；页面显示评论总数2条，其中有效支持2条。</t>
        </is>
      </c>
      <c r="I49" t="inlineStr">
        <is>
          <t>已收集视频号原始链接集合，但与此前截图未逐条对应；见“原始链接清单”</t>
        </is>
      </c>
      <c r="J49" t="inlineStr">
        <is>
          <t>肃北蒙古族自治县</t>
        </is>
      </c>
      <c r="L49" t="inlineStr">
        <is>
          <t>甘肃</t>
        </is>
      </c>
      <c r="O49" t="inlineStr">
        <is>
          <t>普通话</t>
        </is>
      </c>
      <c r="P49" t="inlineStr">
        <is>
          <t>否</t>
        </is>
      </c>
      <c r="Q49" t="inlineStr">
        <is>
          <t>官方传播信息</t>
        </is>
      </c>
      <c r="R49" t="inlineStr">
        <is>
          <t>法律解读；社交平台传播</t>
        </is>
      </c>
      <c r="S49" t="n">
        <v>0</v>
      </c>
      <c r="T49" t="n">
        <v>0</v>
      </c>
      <c r="U49" t="n">
        <v>0</v>
      </c>
      <c r="V49" t="inlineStr">
        <is>
          <t>否</t>
        </is>
      </c>
      <c r="W49" t="inlineStr">
        <is>
          <t>否</t>
        </is>
      </c>
      <c r="X49" t="inlineStr">
        <is>
          <t>历史导入:中华人民共和国民族团结进步促进法_四川甘肃民族地区舆情监测汇总_复核完成.xlsx；来源类型:社交平台母帖（官方/融媒账号）；复核:2条支持评论已截图核验；视频号链接仅作候选集合和准确发布日期。 母帖已通过截图人工核验；评论见“公众评论明细”；视频号链接已提供但未与截图逐条对应。；重复:否；待核实:是</t>
        </is>
      </c>
    </row>
    <row r="50">
      <c r="A50" t="inlineStr">
        <is>
          <t>hist-73d0d5f7c0a66fb5</t>
        </is>
      </c>
      <c r="B50" s="82" t="n">
        <v>46239.81180555555</v>
      </c>
      <c r="C50" s="82" t="n">
        <v>46225</v>
      </c>
      <c r="D50" t="inlineStr">
        <is>
          <t>视频号</t>
        </is>
      </c>
      <c r="E50" t="inlineStr">
        <is>
          <t>微信公众号/视频号</t>
        </is>
      </c>
      <c r="F50" t="inlineStr">
        <is>
          <t>视频号人工核验</t>
        </is>
      </c>
      <c r="G50" t="inlineStr">
        <is>
          <t>肃北县融媒体中心</t>
        </is>
      </c>
      <c r="H50" t="inlineStr">
        <is>
          <t>截图中的账号、标题或画面明确出现《中华人民共和国民族团结进步促进法》；页面显示评论总数1条，其中有效支持1条。</t>
        </is>
      </c>
      <c r="I50" t="inlineStr">
        <is>
          <t>已收集视频号原始链接集合，但与此前截图未逐条对应；见“原始链接清单”</t>
        </is>
      </c>
      <c r="J50" t="inlineStr">
        <is>
          <t>肃北蒙古族自治县</t>
        </is>
      </c>
      <c r="L50" t="inlineStr">
        <is>
          <t>甘肃</t>
        </is>
      </c>
      <c r="O50" t="inlineStr">
        <is>
          <t>普通话</t>
        </is>
      </c>
      <c r="P50" t="inlineStr">
        <is>
          <t>否</t>
        </is>
      </c>
      <c r="Q50" t="inlineStr">
        <is>
          <t>官方传播信息</t>
        </is>
      </c>
      <c r="R50" t="inlineStr">
        <is>
          <t>法律解读；社交平台传播</t>
        </is>
      </c>
      <c r="S50" t="n">
        <v>0</v>
      </c>
      <c r="T50" t="n">
        <v>0</v>
      </c>
      <c r="U50" t="n">
        <v>0</v>
      </c>
      <c r="V50" t="inlineStr">
        <is>
          <t>否</t>
        </is>
      </c>
      <c r="W50" t="inlineStr">
        <is>
          <t>否</t>
        </is>
      </c>
      <c r="X50" t="inlineStr">
        <is>
          <t>历史导入:中华人民共和国民族团结进步促进法_四川甘肃民族地区舆情监测汇总_复核完成.xlsx；来源类型:社交平台母帖（官方/融媒账号）；复核:评论内容已截图核验；视频号链接仅作候选集合和准确发布日期。 母帖已通过截图人工核验；评论见“公众评论明细”；视频号链接已提供但未与截图逐条对应。；重复:否；待核实:是</t>
        </is>
      </c>
    </row>
    <row r="51">
      <c r="A51" t="inlineStr">
        <is>
          <t>hist-a07d44a5ca70dcac</t>
        </is>
      </c>
      <c r="B51" s="82" t="n">
        <v>46239.81180555555</v>
      </c>
      <c r="C51" s="82" t="n">
        <v>46213</v>
      </c>
      <c r="D51" t="inlineStr">
        <is>
          <t>视频号</t>
        </is>
      </c>
      <c r="E51" t="inlineStr">
        <is>
          <t>微信公众号/视频号</t>
        </is>
      </c>
      <c r="F51" t="inlineStr">
        <is>
          <t>视频号人工核验</t>
        </is>
      </c>
      <c r="G51" t="inlineStr">
        <is>
          <t>看这里是肃北</t>
        </is>
      </c>
      <c r="H51" t="inlineStr">
        <is>
          <t>截图中的账号、标题或画面明确出现《中华人民共和国民族团结进步促进法》；页面显示评论总数1条，其中有效支持1条。</t>
        </is>
      </c>
      <c r="I51" t="inlineStr">
        <is>
          <t>已收集视频号原始链接集合，但与此前截图未逐条对应；见“原始链接清单”</t>
        </is>
      </c>
      <c r="J51" t="inlineStr">
        <is>
          <t>肃北蒙古族自治县</t>
        </is>
      </c>
      <c r="L51" t="inlineStr">
        <is>
          <t>甘肃</t>
        </is>
      </c>
      <c r="O51" t="inlineStr">
        <is>
          <t>普通话</t>
        </is>
      </c>
      <c r="P51" t="inlineStr">
        <is>
          <t>否</t>
        </is>
      </c>
      <c r="Q51" t="inlineStr">
        <is>
          <t>官方传播信息</t>
        </is>
      </c>
      <c r="R51" t="inlineStr">
        <is>
          <t>系列普法；法律解读</t>
        </is>
      </c>
      <c r="S51" t="n">
        <v>0</v>
      </c>
      <c r="T51" t="n">
        <v>0</v>
      </c>
      <c r="U51" t="n">
        <v>0</v>
      </c>
      <c r="V51" t="inlineStr">
        <is>
          <t>否</t>
        </is>
      </c>
      <c r="W51" t="inlineStr">
        <is>
          <t>否</t>
        </is>
      </c>
      <c r="X51" t="inlineStr">
        <is>
          <t>历史导入:中华人民共和国民族团结进步促进法_四川甘肃民族地区舆情监测汇总_复核完成.xlsx；来源类型:社交平台母帖（官方/融媒账号）；复核:短语型支持评论已截图核验；视频号链接仅作候选集合和准确发布日期。 母帖已通过截图人工核验；评论见“公众评论明细”；视频号链接已提供但未与截图逐条对应。；重复:否；待核实:是</t>
        </is>
      </c>
    </row>
    <row r="52">
      <c r="A52" t="inlineStr">
        <is>
          <t>hist-fd669f549fe18e93</t>
        </is>
      </c>
      <c r="B52" s="82" t="n">
        <v>46239.81180555555</v>
      </c>
      <c r="C52" s="82" t="n">
        <v>46238</v>
      </c>
      <c r="D52" t="inlineStr">
        <is>
          <t>视频号</t>
        </is>
      </c>
      <c r="E52" t="inlineStr">
        <is>
          <t>微信公众号/视频号</t>
        </is>
      </c>
      <c r="F52" t="inlineStr">
        <is>
          <t>视频号人工核验</t>
        </is>
      </c>
      <c r="G52" t="inlineStr">
        <is>
          <t>阿坝鼓声</t>
        </is>
      </c>
      <c r="H52" t="inlineStr">
        <is>
          <t>截图中的账号、标题或画面明确出现《中华人民共和国民族团结进步促进法》；页面显示评论总数3条，其中有效支持3条。</t>
        </is>
      </c>
      <c r="I52" t="inlineStr">
        <is>
          <t>https://weixin.qq.com/sph/An9TpnhX6uz</t>
        </is>
      </c>
      <c r="J52" t="inlineStr">
        <is>
          <t>阿坝藏族羌族自治州</t>
        </is>
      </c>
      <c r="L52" t="inlineStr">
        <is>
          <t>四川</t>
        </is>
      </c>
      <c r="O52" t="inlineStr">
        <is>
          <t>普通话/藏文</t>
        </is>
      </c>
      <c r="P52" t="inlineStr">
        <is>
          <t>否</t>
        </is>
      </c>
      <c r="Q52" t="inlineStr">
        <is>
          <t>官方传播信息</t>
        </is>
      </c>
      <c r="R52" t="inlineStr">
        <is>
          <t>法律宣传；社交平台传播</t>
        </is>
      </c>
      <c r="S52" t="n">
        <v>0</v>
      </c>
      <c r="T52" t="n">
        <v>0</v>
      </c>
      <c r="U52" t="n">
        <v>0</v>
      </c>
      <c r="V52" t="inlineStr">
        <is>
          <t>否</t>
        </is>
      </c>
      <c r="W52" t="inlineStr">
        <is>
          <t>否</t>
        </is>
      </c>
      <c r="X52" t="inlineStr">
        <is>
          <t>历史导入:中华人民共和国民族团结进步促进法_四川甘肃民族地区舆情监测汇总_复核完成.xlsx；来源类型:社交平台母帖（官方/融媒账号）；复核:母帖和3条评论已通过截图核验；M12原始链接已精确对应。中文标题及页面说明明确涉及本法；藏文具体内容待藏语人员复核。3条评论均为点赞表情，态度判断不依赖藏文内容。；重复:否；待核实:是</t>
        </is>
      </c>
    </row>
    <row r="53">
      <c r="A53" t="inlineStr">
        <is>
          <t>hist-fc8efd9d8d73162b</t>
        </is>
      </c>
      <c r="B53" s="82" t="n">
        <v>46239.81180555555</v>
      </c>
      <c r="C53" s="82" t="n">
        <v>46204</v>
      </c>
      <c r="D53" t="inlineStr">
        <is>
          <t>视频号</t>
        </is>
      </c>
      <c r="E53" t="inlineStr">
        <is>
          <t>微信公众号/视频号</t>
        </is>
      </c>
      <c r="F53" t="inlineStr">
        <is>
          <t>视频号人工核验</t>
        </is>
      </c>
      <c r="G53" t="inlineStr">
        <is>
          <t>视听东乡</t>
        </is>
      </c>
      <c r="H53" t="inlineStr">
        <is>
          <t>截图中的账号、标题或画面明确出现《中华人民共和国民族团结进步促进法》；页面显示评论总数7条，其中有效支持7条。</t>
        </is>
      </c>
      <c r="I53" t="inlineStr">
        <is>
          <t>已收集视频号原始链接集合，但与此前截图未逐条对应；见“原始链接清单”</t>
        </is>
      </c>
      <c r="J53" t="inlineStr">
        <is>
          <t>东乡族自治县</t>
        </is>
      </c>
      <c r="L53" t="inlineStr">
        <is>
          <t>甘肃</t>
        </is>
      </c>
      <c r="O53" t="inlineStr">
        <is>
          <t>普通话</t>
        </is>
      </c>
      <c r="P53" t="inlineStr">
        <is>
          <t>否</t>
        </is>
      </c>
      <c r="Q53" t="inlineStr">
        <is>
          <t>官方传播信息</t>
        </is>
      </c>
      <c r="R53" t="inlineStr">
        <is>
          <t>基层宣讲；普法活动</t>
        </is>
      </c>
      <c r="S53" t="n">
        <v>0</v>
      </c>
      <c r="T53" t="n">
        <v>0</v>
      </c>
      <c r="U53" t="n">
        <v>0</v>
      </c>
      <c r="V53" t="inlineStr">
        <is>
          <t>否</t>
        </is>
      </c>
      <c r="W53" t="inlineStr">
        <is>
          <t>否</t>
        </is>
      </c>
      <c r="X53" t="inlineStr">
        <is>
          <t>历史导入:中华人民共和国民族团结进步促进法_四川甘肃民族地区舆情监测汇总_复核完成.xlsx；来源类型:社交平台母帖（官方/融媒账号）；复核:7条表情型支持评论已截图核验；视频号链接仅作候选集合。 母帖已通过截图人工核验；评论见“公众评论明细”；视频号链接已提供但未与截图逐条对应。；重复:否；待核实:是</t>
        </is>
      </c>
    </row>
    <row r="54">
      <c r="A54" t="inlineStr">
        <is>
          <t>hist-f1fa894c0375348e</t>
        </is>
      </c>
      <c r="B54" s="82" t="n">
        <v>46239.81180555555</v>
      </c>
      <c r="C54" s="82" t="n">
        <v>46204</v>
      </c>
      <c r="D54" t="inlineStr">
        <is>
          <t>视频号</t>
        </is>
      </c>
      <c r="E54" t="inlineStr">
        <is>
          <t>微信公众号/视频号</t>
        </is>
      </c>
      <c r="F54" t="inlineStr">
        <is>
          <t>视频号人工核验</t>
        </is>
      </c>
      <c r="G54" t="inlineStr">
        <is>
          <t>临夏县融媒体中心</t>
        </is>
      </c>
      <c r="H54" t="inlineStr">
        <is>
          <t>截图中的账号、标题或画面明确出现《中华人民共和国民族团结进步促进法》；页面显示评论总数4条，其中有效支持4条。</t>
        </is>
      </c>
      <c r="I54" t="inlineStr">
        <is>
          <t>已收集视频号原始链接集合，但与此前截图未逐条对应；见“原始链接清单”</t>
        </is>
      </c>
      <c r="J54" t="inlineStr">
        <is>
          <t>临夏回族自治州临夏县</t>
        </is>
      </c>
      <c r="L54" t="inlineStr">
        <is>
          <t>甘肃</t>
        </is>
      </c>
      <c r="O54" t="inlineStr">
        <is>
          <t>普通话</t>
        </is>
      </c>
      <c r="P54" t="inlineStr">
        <is>
          <t>否</t>
        </is>
      </c>
      <c r="Q54" t="inlineStr">
        <is>
          <t>官方传播信息</t>
        </is>
      </c>
      <c r="R54" t="inlineStr">
        <is>
          <t>基层宣讲；普法活动</t>
        </is>
      </c>
      <c r="S54" t="n">
        <v>0</v>
      </c>
      <c r="T54" t="n">
        <v>0</v>
      </c>
      <c r="U54" t="n">
        <v>0</v>
      </c>
      <c r="V54" t="inlineStr">
        <is>
          <t>否</t>
        </is>
      </c>
      <c r="W54" t="inlineStr">
        <is>
          <t>否</t>
        </is>
      </c>
      <c r="X54" t="inlineStr">
        <is>
          <t>历史导入:中华人民共和国民族团结进步促进法_四川甘肃民族地区舆情监测汇总_复核完成.xlsx；来源类型:社交平台母帖（官方/融媒账号）；复核:4条表情型支持评论已截图核验；视频号链接仅作候选集合。 母帖已通过截图人工核验；评论见“公众评论明细”；视频号链接已提供但未与截图逐条对应。；重复:否；待核实:是</t>
        </is>
      </c>
    </row>
    <row r="55">
      <c r="A55" t="inlineStr">
        <is>
          <t>hist-b050ce49cc62bc2a</t>
        </is>
      </c>
      <c r="B55" s="82" t="n">
        <v>46239.81180555555</v>
      </c>
      <c r="C55" s="82" t="n">
        <v>46219</v>
      </c>
      <c r="D55" t="inlineStr">
        <is>
          <t>抖音</t>
        </is>
      </c>
      <c r="E55" t="inlineStr">
        <is>
          <t>抖音等视频平台</t>
        </is>
      </c>
      <c r="F55" t="inlineStr">
        <is>
          <t>抖音人工核验</t>
        </is>
      </c>
      <c r="G55" t="inlineStr">
        <is>
          <t>临夏市融媒体中心</t>
        </is>
      </c>
      <c r="H55" t="inlineStr">
        <is>
          <t>截图中的账号、标题或画面明确出现《中华人民共和国民族团结进步促进法》；页面显示评论总数7条，其中有效支持7条。</t>
        </is>
      </c>
      <c r="I55" t="inlineStr">
        <is>
          <t>https://v.douyin.com/li1SubESsUQ/</t>
        </is>
      </c>
      <c r="J55" t="inlineStr">
        <is>
          <t>临夏回族自治州临夏市</t>
        </is>
      </c>
      <c r="L55" t="inlineStr">
        <is>
          <t>甘肃</t>
        </is>
      </c>
      <c r="O55" t="inlineStr">
        <is>
          <t>普通话</t>
        </is>
      </c>
      <c r="P55" t="inlineStr">
        <is>
          <t>否</t>
        </is>
      </c>
      <c r="Q55" t="inlineStr">
        <is>
          <t>官方传播信息</t>
        </is>
      </c>
      <c r="R55" t="inlineStr">
        <is>
          <t>法律施行；普法解读</t>
        </is>
      </c>
      <c r="S55" t="n">
        <v>0</v>
      </c>
      <c r="T55" t="n">
        <v>0</v>
      </c>
      <c r="U55" t="n">
        <v>0</v>
      </c>
      <c r="V55" t="inlineStr">
        <is>
          <t>否</t>
        </is>
      </c>
      <c r="W55" t="inlineStr">
        <is>
          <t>否</t>
        </is>
      </c>
      <c r="X55" t="inlineStr">
        <is>
          <t>历史导入:中华人民共和国民族团结进步促进法_四川甘肃民族地区舆情监测汇总_复核完成.xlsx；来源类型:社交平台母帖（官方/融媒账号）；复核:7条评论均为点赞、奖牌或正向文字表态；原始链接已回填及评论准确日期。 母帖已通过截图人工核验；评论见“公众评论明细”。；重复:是（与同账号视频号内容主题相近）；待核实:是</t>
        </is>
      </c>
    </row>
    <row r="56">
      <c r="A56" t="inlineStr">
        <is>
          <t>hist-3621c1cfffb1c4ea</t>
        </is>
      </c>
      <c r="B56" s="82" t="n">
        <v>46239.81180555555</v>
      </c>
      <c r="C56" s="82" t="n">
        <v>46220</v>
      </c>
      <c r="D56" t="inlineStr">
        <is>
          <t>抖音</t>
        </is>
      </c>
      <c r="E56" t="inlineStr">
        <is>
          <t>抖音等视频平台</t>
        </is>
      </c>
      <c r="F56" t="inlineStr">
        <is>
          <t>抖音人工核验</t>
        </is>
      </c>
      <c r="G56" t="inlineStr">
        <is>
          <t>临夏市融媒体中心</t>
        </is>
      </c>
      <c r="H56" t="inlineStr">
        <is>
          <t>截图中的账号、标题或画面明确出现《中华人民共和国民族团结进步促进法》；页面显示评论总数8条，其中有效支持7条。</t>
        </is>
      </c>
      <c r="I56" t="inlineStr">
        <is>
          <t>https://v.douyin.com/1RcSEMe78HM/</t>
        </is>
      </c>
      <c r="J56" t="inlineStr">
        <is>
          <t>临夏回族自治州临夏市</t>
        </is>
      </c>
      <c r="L56" t="inlineStr">
        <is>
          <t>甘肃</t>
        </is>
      </c>
      <c r="O56" t="inlineStr">
        <is>
          <t>普通话</t>
        </is>
      </c>
      <c r="P56" t="inlineStr">
        <is>
          <t>否</t>
        </is>
      </c>
      <c r="Q56" t="inlineStr">
        <is>
          <t>官方传播信息</t>
        </is>
      </c>
      <c r="R56" t="inlineStr">
        <is>
          <t>法律施行；普法解读</t>
        </is>
      </c>
      <c r="S56" t="n">
        <v>0</v>
      </c>
      <c r="T56" t="n">
        <v>0</v>
      </c>
      <c r="U56" t="n">
        <v>0</v>
      </c>
      <c r="V56" t="inlineStr">
        <is>
          <t>否</t>
        </is>
      </c>
      <c r="W56" t="inlineStr">
        <is>
          <t>否</t>
        </is>
      </c>
      <c r="X56" t="inlineStr">
        <is>
          <t>历史导入:中华人民共和国民族团结进步促进法_四川甘肃民族地区舆情监测汇总_复核完成.xlsx；来源类型:社交平台母帖（官方/融媒账号）；复核:7条支持认可计入；1条“助学贷款什么时候开始”与母帖法律议题无关，已排除。另有1条支持评论在截图底部未完整显示。 母帖已通过截图人工核验；评论见“公众评论明细”。；重复:是（与同账号视频号内容主题相近）；待核实:是</t>
        </is>
      </c>
    </row>
    <row r="57">
      <c r="A57" t="inlineStr">
        <is>
          <t>hist-b57294fd12a83ba8</t>
        </is>
      </c>
      <c r="B57" s="82" t="n">
        <v>46239.81180555555</v>
      </c>
      <c r="C57" s="82" t="n">
        <v>46217</v>
      </c>
      <c r="D57" t="inlineStr">
        <is>
          <t>抖音</t>
        </is>
      </c>
      <c r="E57" t="inlineStr">
        <is>
          <t>抖音等视频平台</t>
        </is>
      </c>
      <c r="F57" t="inlineStr">
        <is>
          <t>抖音人工核验</t>
        </is>
      </c>
      <c r="G57" t="inlineStr">
        <is>
          <t>甘肃省民族事务委员会</t>
        </is>
      </c>
      <c r="H57" t="inlineStr">
        <is>
          <t>截图中的账号、标题或画面明确出现《中华人民共和国民族团结进步促进法》；页面显示评论总数1条，其中有效支持1条。</t>
        </is>
      </c>
      <c r="I57" t="inlineStr">
        <is>
          <t>https://v.douyin.com/LtghgvT9PjY/</t>
        </is>
      </c>
      <c r="J57" t="inlineStr">
        <is>
          <t>甘肃省（省级账号）</t>
        </is>
      </c>
      <c r="L57" t="inlineStr">
        <is>
          <t>甘肃</t>
        </is>
      </c>
      <c r="O57" t="inlineStr">
        <is>
          <t>普通话</t>
        </is>
      </c>
      <c r="P57" t="inlineStr">
        <is>
          <t>否</t>
        </is>
      </c>
      <c r="Q57" t="inlineStr">
        <is>
          <t>官方传播信息</t>
        </is>
      </c>
      <c r="R57" t="inlineStr">
        <is>
          <t>系列普法；法律解读</t>
        </is>
      </c>
      <c r="S57" t="n">
        <v>0</v>
      </c>
      <c r="T57" t="n">
        <v>0</v>
      </c>
      <c r="U57" t="n">
        <v>0</v>
      </c>
      <c r="V57" t="inlineStr">
        <is>
          <t>否</t>
        </is>
      </c>
      <c r="W57" t="inlineStr">
        <is>
          <t>否</t>
        </is>
      </c>
      <c r="X57" t="inlineStr">
        <is>
          <t>历史导入:中华人民共和国民族团结进步促进法_四川甘肃民族地区舆情监测汇总_复核完成.xlsx；来源类型:社交平台母帖（官方/融媒账号）；复核:1条点赞评论计入支持认可；原始链接已回填，评论准确日期仍待核实。母帖已通过截图人工核验；评论见“公众评论明细”。；重复:否；待核实:是</t>
        </is>
      </c>
    </row>
    <row r="58">
      <c r="A58" t="inlineStr">
        <is>
          <t>hist-3ebc8a7ba2deb291</t>
        </is>
      </c>
      <c r="B58" s="82" t="n">
        <v>46239.81180555555</v>
      </c>
      <c r="C58" s="82" t="n">
        <v>46204</v>
      </c>
      <c r="D58" t="inlineStr">
        <is>
          <t>抖音</t>
        </is>
      </c>
      <c r="E58" t="inlineStr">
        <is>
          <t>抖音等视频平台</t>
        </is>
      </c>
      <c r="F58" t="inlineStr">
        <is>
          <t>抖音人工核验</t>
        </is>
      </c>
      <c r="G58" t="inlineStr">
        <is>
          <t>甘肃省民族事务委员会</t>
        </is>
      </c>
      <c r="H58" t="inlineStr">
        <is>
          <t>截图中的账号、标题或画面明确出现《中华人民共和国民族团结进步促进法》；页面显示评论总数1条，其中有效支持1条。</t>
        </is>
      </c>
      <c r="I58" t="inlineStr">
        <is>
          <t>https://v.douyin.com/WgF-nVQT9RY/</t>
        </is>
      </c>
      <c r="J58" t="inlineStr">
        <is>
          <t>甘肃省（省级账号）</t>
        </is>
      </c>
      <c r="L58" t="inlineStr">
        <is>
          <t>甘肃</t>
        </is>
      </c>
      <c r="O58" t="inlineStr">
        <is>
          <t>普通话</t>
        </is>
      </c>
      <c r="P58" t="inlineStr">
        <is>
          <t>否</t>
        </is>
      </c>
      <c r="Q58" t="inlineStr">
        <is>
          <t>官方传播信息</t>
        </is>
      </c>
      <c r="R58" t="inlineStr">
        <is>
          <t>法律施行；普法解读</t>
        </is>
      </c>
      <c r="S58" t="n">
        <v>0</v>
      </c>
      <c r="T58" t="n">
        <v>0</v>
      </c>
      <c r="U58" t="n">
        <v>0</v>
      </c>
      <c r="V58" t="inlineStr">
        <is>
          <t>否</t>
        </is>
      </c>
      <c r="W58" t="inlineStr">
        <is>
          <t>否</t>
        </is>
      </c>
      <c r="X58" t="inlineStr">
        <is>
          <t>历史导入:中华人民共和国民族团结进步促进法_四川甘肃民族地区舆情监测汇总_复核完成.xlsx；来源类型:社交平台母帖（官方/融媒账号）；复核:1条合十表情评论计入支持认可；原始链接已回填，评论准确日期仍待核实。母帖已通过截图人工核验；评论见“公众评论明细”。；重复:否；待核实:是</t>
        </is>
      </c>
    </row>
    <row r="59">
      <c r="A59" t="inlineStr">
        <is>
          <t>hist-12344ffb13f9d5a0</t>
        </is>
      </c>
      <c r="B59" s="82" t="n">
        <v>46239.81180555555</v>
      </c>
      <c r="C59" s="82" t="n">
        <v>46229</v>
      </c>
      <c r="D59" t="inlineStr">
        <is>
          <t>抖音</t>
        </is>
      </c>
      <c r="E59" t="inlineStr">
        <is>
          <t>抖音等视频平台</t>
        </is>
      </c>
      <c r="F59" t="inlineStr">
        <is>
          <t>抖音人工核验</t>
        </is>
      </c>
      <c r="G59" t="inlineStr">
        <is>
          <t>广河县融媒体中心</t>
        </is>
      </c>
      <c r="H59" t="inlineStr">
        <is>
          <t>截图中的账号、标题或画面明确出现《中华人民共和国民族团结进步促进法》；页面显示评论总数2条，其中有效支持1条。</t>
        </is>
      </c>
      <c r="I59" t="inlineStr">
        <is>
          <t>https://v.douyin.com/MPBliIMpXZQ/</t>
        </is>
      </c>
      <c r="J59" t="inlineStr">
        <is>
          <t>临夏回族自治州广河县</t>
        </is>
      </c>
      <c r="L59" t="inlineStr">
        <is>
          <t>甘肃</t>
        </is>
      </c>
      <c r="O59" t="inlineStr">
        <is>
          <t>普通话</t>
        </is>
      </c>
      <c r="P59" t="inlineStr">
        <is>
          <t>否</t>
        </is>
      </c>
      <c r="Q59" t="inlineStr">
        <is>
          <t>官方传播信息</t>
        </is>
      </c>
      <c r="R59" t="inlineStr">
        <is>
          <t>法律解读；社交平台传播；待复核线索</t>
        </is>
      </c>
      <c r="S59" t="n">
        <v>0</v>
      </c>
      <c r="T59" t="n">
        <v>0</v>
      </c>
      <c r="U59" t="n">
        <v>0</v>
      </c>
      <c r="V59" t="inlineStr">
        <is>
          <t>否</t>
        </is>
      </c>
      <c r="W59" t="inlineStr">
        <is>
          <t>否</t>
        </is>
      </c>
      <c r="X59" t="inlineStr">
        <is>
          <t>历史导入:中华人民共和国民族团结进步促进法_四川甘肃民族地区舆情监测汇总_复核完成.xlsx；来源类型:社交平台母帖（官方/融媒账号）；复核:已重新核对原视频，视频正文未提及“辫子戏”；补充检索显示该说法可能指清代题材电视剧或影视内容。该评论不属于本法相关公众意见，已完成复核并排除。；重复:否；待核实:是</t>
        </is>
      </c>
    </row>
    <row r="60">
      <c r="A60" t="inlineStr">
        <is>
          <t>hist-3f36177458b7e1fd</t>
        </is>
      </c>
      <c r="B60" s="82" t="n">
        <v>46239.81180555555</v>
      </c>
      <c r="C60" s="82" t="n">
        <v>46230</v>
      </c>
      <c r="D60" t="inlineStr">
        <is>
          <t>抖音</t>
        </is>
      </c>
      <c r="E60" t="inlineStr">
        <is>
          <t>抖音等视频平台</t>
        </is>
      </c>
      <c r="F60" t="inlineStr">
        <is>
          <t>抖音人工核验</t>
        </is>
      </c>
      <c r="G60" t="inlineStr">
        <is>
          <t>甘肃省民族事务委员会</t>
        </is>
      </c>
      <c r="H60" t="inlineStr">
        <is>
          <t>截图中的账号、标题或画面明确出现《中华人民共和国民族团结进步促进法》；页面显示评论总数4条，其中有效支持1条。</t>
        </is>
      </c>
      <c r="I60" t="inlineStr">
        <is>
          <t>https://v.douyin.com/LnUwD09PU2A/</t>
        </is>
      </c>
      <c r="J60" t="inlineStr">
        <is>
          <t>甘肃省（省级账号）</t>
        </is>
      </c>
      <c r="L60" t="inlineStr">
        <is>
          <t>甘肃</t>
        </is>
      </c>
      <c r="O60" t="inlineStr">
        <is>
          <t>普通话</t>
        </is>
      </c>
      <c r="P60" t="inlineStr">
        <is>
          <t>否</t>
        </is>
      </c>
      <c r="Q60" t="inlineStr">
        <is>
          <t>官方传播信息</t>
        </is>
      </c>
      <c r="R60" t="inlineStr">
        <is>
          <t>系列普法；法律解读</t>
        </is>
      </c>
      <c r="S60" t="n">
        <v>0</v>
      </c>
      <c r="T60" t="n">
        <v>0</v>
      </c>
      <c r="U60" t="n">
        <v>0</v>
      </c>
      <c r="V60" t="inlineStr">
        <is>
          <t>否</t>
        </is>
      </c>
      <c r="W60" t="inlineStr">
        <is>
          <t>否</t>
        </is>
      </c>
      <c r="X60" t="inlineStr">
        <is>
          <t>历史导入:中华人民共和国民族团结进步促进法_四川甘肃民族地区舆情监测汇总_复核完成.xlsx；来源类型:社交平台母帖（官方/融媒账号）；复核:1条“民族团结一家亲”正向评论计入；玩偶、空白@和领奖消息3条与法律议题无关，已排除。 母帖已通过截图人工核验；评论见“公众评论明细”。；重复:否；待核实:是</t>
        </is>
      </c>
    </row>
    <row r="61">
      <c r="A61" t="inlineStr">
        <is>
          <t>hist-783b0d88b3214d0b</t>
        </is>
      </c>
      <c r="B61" s="82" t="n">
        <v>46239.81180555555</v>
      </c>
      <c r="C61" s="82" t="n">
        <v>46232</v>
      </c>
      <c r="D61" t="inlineStr">
        <is>
          <t>抖音</t>
        </is>
      </c>
      <c r="E61" t="inlineStr">
        <is>
          <t>抖音等视频平台</t>
        </is>
      </c>
      <c r="F61" t="inlineStr">
        <is>
          <t>抖音人工核验</t>
        </is>
      </c>
      <c r="G61" t="inlineStr">
        <is>
          <t>张家川融媒</t>
        </is>
      </c>
      <c r="H61" t="inlineStr">
        <is>
          <t>截图中的账号、标题或画面明确出现《中华人民共和国民族团结进步促进法》；页面显示评论总数1条，其中有效支持0条。</t>
        </is>
      </c>
      <c r="I61" t="inlineStr">
        <is>
          <t>https://v.douyin.com/MZnyZuuFxYA/</t>
        </is>
      </c>
      <c r="J61" t="inlineStr">
        <is>
          <t>张家川回族自治县</t>
        </is>
      </c>
      <c r="L61" t="inlineStr">
        <is>
          <t>甘肃</t>
        </is>
      </c>
      <c r="O61" t="inlineStr">
        <is>
          <t>普通话</t>
        </is>
      </c>
      <c r="P61" t="inlineStr">
        <is>
          <t>否</t>
        </is>
      </c>
      <c r="Q61" t="inlineStr">
        <is>
          <t>官方传播信息</t>
        </is>
      </c>
      <c r="R61" t="inlineStr">
        <is>
          <t>条文导读；法律解读</t>
        </is>
      </c>
      <c r="S61" t="n">
        <v>0</v>
      </c>
      <c r="T61" t="n">
        <v>0</v>
      </c>
      <c r="U61" t="n">
        <v>0</v>
      </c>
      <c r="V61" t="inlineStr">
        <is>
          <t>否</t>
        </is>
      </c>
      <c r="W61" t="inlineStr">
        <is>
          <t>否</t>
        </is>
      </c>
      <c r="X61" t="inlineStr">
        <is>
          <t>历史导入:中华人民共和国民族团结进步促进法_四川甘肃民族地区舆情监测汇总_复核完成.xlsx；来源类型:社交平台母帖（官方/融媒账号）；复核:唯一评论“我可没惹谁哈🌹🌹”语义不明，无法确认与法律内容的关系，未计入公众意见。 母帖已通过截图人工核验；评论见“公众评论明细”。；重复:否；待核实:是</t>
        </is>
      </c>
    </row>
    <row r="62">
      <c r="A62" t="inlineStr">
        <is>
          <t>hist-6e92da8ea2313daf</t>
        </is>
      </c>
      <c r="B62" s="82" t="n">
        <v>46239.82291666666</v>
      </c>
      <c r="C62" s="82" t="n">
        <v>46204</v>
      </c>
      <c r="D62" t="inlineStr">
        <is>
          <t>视频号</t>
        </is>
      </c>
      <c r="E62" t="inlineStr">
        <is>
          <t>微信公众号/视频号</t>
        </is>
      </c>
      <c r="F62" t="inlineStr">
        <is>
          <t>视频号人工核验</t>
        </is>
      </c>
      <c r="G62" t="inlineStr">
        <is>
          <t>同心四川</t>
        </is>
      </c>
      <c r="H62" t="inlineStr">
        <is>
          <t>母帖明确写明该法“今起施行”，评论区显示7条正向表情评论。</t>
        </is>
      </c>
      <c r="I62" t="inlineStr">
        <is>
          <t>已收集视频号原始链接集合，但与此前截图未逐条对应；见“原始链接清单”</t>
        </is>
      </c>
      <c r="J62" t="inlineStr">
        <is>
          <t>四川省（省级账号）</t>
        </is>
      </c>
      <c r="L62" t="inlineStr">
        <is>
          <t>四川</t>
        </is>
      </c>
      <c r="O62" t="inlineStr">
        <is>
          <t>普通话</t>
        </is>
      </c>
      <c r="P62" t="inlineStr">
        <is>
          <t>否</t>
        </is>
      </c>
      <c r="Q62" t="inlineStr">
        <is>
          <t>官方传播信息</t>
        </is>
      </c>
      <c r="R62" t="inlineStr">
        <is>
          <t>法律施行；省级宣传</t>
        </is>
      </c>
      <c r="S62" t="n">
        <v>0</v>
      </c>
      <c r="T62" t="n">
        <v>0</v>
      </c>
      <c r="U62" t="n">
        <v>0</v>
      </c>
      <c r="V62" t="inlineStr">
        <is>
          <t>否</t>
        </is>
      </c>
      <c r="W62" t="inlineStr">
        <is>
          <t>否</t>
        </is>
      </c>
      <c r="X62" t="inlineStr">
        <is>
          <t>历史导入:中华人民共和国民族团结进步促进法_四川甘肃民族地区舆情监测汇总_复核完成.xlsx；来源类型:社交平台母帖（省级官方账号）；复核:母帖及7条评论已通过截图核验；视频号链接仅作候选集合；视频号链接已提供但未与截图逐条对应。；重复:否；待核实:是</t>
        </is>
      </c>
    </row>
    <row r="63">
      <c r="A63" t="inlineStr">
        <is>
          <t>hist-c5e165078ff88633</t>
        </is>
      </c>
      <c r="B63" s="82" t="n">
        <v>46239.82291666666</v>
      </c>
      <c r="C63" s="82" t="n">
        <v>46222.61666666667</v>
      </c>
      <c r="D63" t="inlineStr">
        <is>
          <t>微博</t>
        </is>
      </c>
      <c r="E63" t="inlineStr">
        <is>
          <t>微博/热榜</t>
        </is>
      </c>
      <c r="F63" t="inlineStr">
        <is>
          <t>微博人工核验</t>
        </is>
      </c>
      <c r="G63" t="inlineStr">
        <is>
          <t>西北民族大学</t>
        </is>
      </c>
      <c r="H63" t="inlineStr">
        <is>
          <t>正文明确写明宣讲《国家通用语言文字法》和《民族团结进步促进法》，并走访调研群众普通话使用现状。</t>
        </is>
      </c>
      <c r="I63" t="inlineStr">
        <is>
          <t>https://weibo.com/2667176841/Rb5Ensoea?refer_flag=1001030103_</t>
        </is>
      </c>
      <c r="J63" t="inlineStr">
        <is>
          <t>积石山保安族东乡族撒拉族自治县</t>
        </is>
      </c>
      <c r="L63" t="inlineStr">
        <is>
          <t>甘肃</t>
        </is>
      </c>
      <c r="O63" t="inlineStr">
        <is>
          <t>普通话</t>
        </is>
      </c>
      <c r="P63" t="inlineStr">
        <is>
          <t>否</t>
        </is>
      </c>
      <c r="Q63" t="inlineStr">
        <is>
          <t>机构传播信息</t>
        </is>
      </c>
      <c r="R63" t="inlineStr">
        <is>
          <t>高校社会实践；普法宣传；语言文字</t>
        </is>
      </c>
      <c r="S63" t="n">
        <v>0</v>
      </c>
      <c r="T63" t="n">
        <v>0</v>
      </c>
      <c r="U63" t="n">
        <v>0</v>
      </c>
      <c r="V63" t="inlineStr">
        <is>
          <t>否</t>
        </is>
      </c>
      <c r="W63" t="inlineStr">
        <is>
          <t>否</t>
        </is>
      </c>
      <c r="X63" t="inlineStr">
        <is>
          <t>历史导入:中华人民共和国民族团结进步促进法_四川甘肃民族地区舆情监测汇总_复核完成.xlsx；来源类型:社交平台母帖（高校认证账号）；复核:母帖、4条可见评论已核验；其余5条未展开，原始链接已回填。；重复:否；待核实:是</t>
        </is>
      </c>
    </row>
    <row r="64">
      <c r="A64" t="inlineStr">
        <is>
          <t>hist-410937a5313bdd57</t>
        </is>
      </c>
      <c r="B64" s="82" t="n">
        <v>46239.82291666666</v>
      </c>
      <c r="C64" s="82" t="n">
        <v>46239.71041666667</v>
      </c>
      <c r="D64" t="inlineStr">
        <is>
          <t>微博</t>
        </is>
      </c>
      <c r="E64" t="inlineStr">
        <is>
          <t>微博/热榜</t>
        </is>
      </c>
      <c r="F64" t="inlineStr">
        <is>
          <t>微博人工核验</t>
        </is>
      </c>
      <c r="G64" t="inlineStr">
        <is>
          <t>酒泉市融媒体中心</t>
        </is>
      </c>
      <c r="H64" t="inlineStr">
        <is>
          <t>正文明确介绍肃北县贯彻落实该法并与全国民族团结进步示范县建设深度融合。</t>
        </is>
      </c>
      <c r="I64" t="inlineStr">
        <is>
          <t>https://weibo.com/7454129088/RajKUxzeN?refer_flag=1001030103_</t>
        </is>
      </c>
      <c r="J64" t="inlineStr">
        <is>
          <t>肃北蒙古族自治县</t>
        </is>
      </c>
      <c r="L64" t="inlineStr">
        <is>
          <t>甘肃</t>
        </is>
      </c>
      <c r="O64" t="inlineStr">
        <is>
          <t>普通话</t>
        </is>
      </c>
      <c r="P64" t="inlineStr">
        <is>
          <t>否</t>
        </is>
      </c>
      <c r="Q64" t="inlineStr">
        <is>
          <t>媒体传播信息</t>
        </is>
      </c>
      <c r="R64" t="inlineStr">
        <is>
          <t>肃北落实；基层治理；法治宣传</t>
        </is>
      </c>
      <c r="S64" t="n">
        <v>0</v>
      </c>
      <c r="T64" t="n">
        <v>0</v>
      </c>
      <c r="U64" t="n">
        <v>0</v>
      </c>
      <c r="V64" t="inlineStr">
        <is>
          <t>否</t>
        </is>
      </c>
      <c r="W64" t="inlineStr">
        <is>
          <t>否</t>
        </is>
      </c>
      <c r="X64" t="inlineStr">
        <is>
          <t>历史导入:中华人民共和国民族团结进步促进法_四川甘肃民族地区舆情监测汇总_复核完成.xlsx；来源类型:社交平台母帖（地方媒体账号）；复核:母帖内容清晰；1条可见评论仅为地点短语，另1条未展开，原始链接已回填。；重复:否；待核实:是</t>
        </is>
      </c>
    </row>
    <row r="65">
      <c r="A65" t="inlineStr">
        <is>
          <t>hist-d8967cfbcce4c302</t>
        </is>
      </c>
      <c r="B65" s="82" t="n">
        <v>46239.82291666666</v>
      </c>
      <c r="C65" s="82" t="n">
        <v>46204.68819444445</v>
      </c>
      <c r="D65" t="inlineStr">
        <is>
          <t>微博</t>
        </is>
      </c>
      <c r="E65" t="inlineStr">
        <is>
          <t>微博/热榜</t>
        </is>
      </c>
      <c r="F65" t="inlineStr">
        <is>
          <t>微博人工核验</t>
        </is>
      </c>
      <c r="G65" t="inlineStr">
        <is>
          <t>甘肃法治报</t>
        </is>
      </c>
      <c r="H65" t="inlineStr">
        <is>
          <t>母帖明确为该法宣传活动，发布时间为7月1日16:31，评论区共11条。</t>
        </is>
      </c>
      <c r="I65" t="inlineStr">
        <is>
          <t>https://weibo.com/5176230254/Rc00n754x?refer_flag=1001030103_</t>
        </is>
      </c>
      <c r="J65" t="inlineStr">
        <is>
          <t>甘肃省（省级媒体账号）</t>
        </is>
      </c>
      <c r="L65" t="inlineStr">
        <is>
          <t>甘肃</t>
        </is>
      </c>
      <c r="O65" t="inlineStr">
        <is>
          <t>普通话</t>
        </is>
      </c>
      <c r="P65" t="inlineStr">
        <is>
          <t>否</t>
        </is>
      </c>
      <c r="Q65" t="inlineStr">
        <is>
          <t>媒体传播信息</t>
        </is>
      </c>
      <c r="R65" t="inlineStr">
        <is>
          <t>主题宣传活动；法律施行</t>
        </is>
      </c>
      <c r="S65" t="n">
        <v>0</v>
      </c>
      <c r="T65" t="n">
        <v>0</v>
      </c>
      <c r="U65" t="n">
        <v>0</v>
      </c>
      <c r="V65" t="inlineStr">
        <is>
          <t>否</t>
        </is>
      </c>
      <c r="W65" t="inlineStr">
        <is>
          <t>否</t>
        </is>
      </c>
      <c r="X65" t="inlineStr">
        <is>
          <t>历史导入:中华人民共和国民族团结进步促进法_四川甘肃民族地区舆情监测汇总_复核完成.xlsx；来源类型:社交平台母帖（省级媒体账号）；复核:母帖和8条可见评论已核验；3条未展示，原始链接已回填。；重复:否；待核实:是</t>
        </is>
      </c>
    </row>
    <row r="66">
      <c r="A66" t="inlineStr">
        <is>
          <t>hist-649f120e8e03de76</t>
        </is>
      </c>
      <c r="B66" s="82" t="n">
        <v>46239.89930555555</v>
      </c>
      <c r="C66" s="82" t="n">
        <v>46207</v>
      </c>
      <c r="D66" t="inlineStr">
        <is>
          <t>快手</t>
        </is>
      </c>
      <c r="E66" t="inlineStr">
        <is>
          <t>快手</t>
        </is>
      </c>
      <c r="F66" t="inlineStr">
        <is>
          <t>快手人工核验</t>
        </is>
      </c>
      <c r="G66" t="inlineStr">
        <is>
          <t>放猪老人~迪日尔古</t>
        </is>
      </c>
      <c r="H66" t="inlineStr">
        <is>
          <t>经移动端人工核验，视频采用彝语口播并配有中文字幕；中文字幕明确介绍《中华人民共和国民族团结进步促进法》的发布、施行及若干关键规定。</t>
        </is>
      </c>
      <c r="I66" t="inlineStr">
        <is>
          <t>https://www.kuaishou.com/f/X61LgJZvnkrW15G</t>
        </is>
      </c>
      <c r="J66" t="inlineStr">
        <is>
          <t>四川省（账号IP属地四川；评论多次涉及凉山，具体发布地待核实）</t>
        </is>
      </c>
      <c r="L66" t="inlineStr">
        <is>
          <t>四川</t>
        </is>
      </c>
      <c r="O66" t="inlineStr">
        <is>
          <t>彝语口播/中文字幕</t>
        </is>
      </c>
      <c r="P66" t="inlineStr">
        <is>
          <t>否</t>
        </is>
      </c>
      <c r="Q66" t="inlineStr">
        <is>
          <t>公众讨论母帖</t>
        </is>
      </c>
      <c r="R66" t="inlineStr">
        <is>
          <t>彝语普法；中文字幕；就业歧视；法律执行；投诉救济</t>
        </is>
      </c>
      <c r="S66" t="n">
        <v>0</v>
      </c>
      <c r="T66" t="n">
        <v>0</v>
      </c>
      <c r="U66" t="n">
        <v>0</v>
      </c>
      <c r="V66" t="inlineStr">
        <is>
          <t>否</t>
        </is>
      </c>
      <c r="W66" t="inlineStr">
        <is>
          <t>否</t>
        </is>
      </c>
      <c r="X66" t="inlineStr">
        <is>
          <t>历史导入:中华人民共和国民族团结进步促进法_四川甘肃民族地区舆情监测汇总_复核完成.xlsx；来源类型:个人账号/民族文化账号母帖；复核:彝语视频依据发布者自带中文字幕进行人工核对，非机器翻译，法律关联已确认；其中1条彝文评论经补充核查为无实际语义的无意义评论，已排除，不再列为语言待复核项。；重复:否；待核实:是</t>
        </is>
      </c>
    </row>
    <row r="67">
      <c r="A67" t="inlineStr">
        <is>
          <t>hist-9db7ff2e2b7eef59</t>
        </is>
      </c>
      <c r="B67" s="82" t="n">
        <v>46241.29444444444</v>
      </c>
      <c r="C67" s="82" t="n">
        <v>46224.71875</v>
      </c>
      <c r="D67" t="inlineStr">
        <is>
          <t>微信公众号“同心马边”</t>
        </is>
      </c>
      <c r="E67" t="inlineStr">
        <is>
          <t>微信公众号/视频号</t>
        </is>
      </c>
      <c r="F67" t="inlineStr">
        <is>
          <t>微信公众号人工核验</t>
        </is>
      </c>
      <c r="G67" t="inlineStr">
        <is>
          <t>同心马边</t>
        </is>
      </c>
      <c r="H67" t="inlineStr">
        <is>
          <t>四川省印发学习宣传贯彻《中华人民共和国民族团结进步促进法》工作方案，系统部署24项具体任务。</t>
        </is>
      </c>
      <c r="I67" t="inlineStr">
        <is>
          <t>公众号原始页面已截图核验；未单独保存可复制链接</t>
        </is>
      </c>
      <c r="J67" t="inlineStr">
        <is>
          <t>四川省（由马边相关官方账号传播）</t>
        </is>
      </c>
      <c r="L67" t="inlineStr">
        <is>
          <t>四川</t>
        </is>
      </c>
      <c r="O67" t="inlineStr">
        <is>
          <t>普通话</t>
        </is>
      </c>
      <c r="P67" t="inlineStr">
        <is>
          <t>否</t>
        </is>
      </c>
      <c r="Q67" t="inlineStr">
        <is>
          <t>官方政策信息</t>
        </is>
      </c>
      <c r="R67" t="inlineStr">
        <is>
          <t>省级工作方案；24项任务；理论学习；分层培训；基层治理</t>
        </is>
      </c>
      <c r="S67" t="n">
        <v>0</v>
      </c>
      <c r="T67" t="n">
        <v>0</v>
      </c>
      <c r="U67" t="n">
        <v>0</v>
      </c>
      <c r="V67" t="inlineStr">
        <is>
          <t>否</t>
        </is>
      </c>
      <c r="W67" t="inlineStr">
        <is>
          <t>否</t>
        </is>
      </c>
      <c r="X67" t="inlineStr">
        <is>
          <t>历史导入:中华人民共和国民族团结进步促进法_四川甘肃民族地区舆情监测汇总_复核完成.xlsx；来源类型:官方实施信息；复核:标题、发布时间和正文已通过公众号页面截图核验；文章明确涉及本法学习贯彻。页面未发现可计入公众意见的评论或留言。；重复:否；待核实:否</t>
        </is>
      </c>
    </row>
    <row r="68">
      <c r="A68" t="inlineStr">
        <is>
          <t>hist-e3bfad9c7c0a9f45</t>
        </is>
      </c>
      <c r="B68" s="82" t="n">
        <v>46241.29444444444</v>
      </c>
      <c r="C68" s="82" t="n">
        <v>46205.48125</v>
      </c>
      <c r="D68" t="inlineStr">
        <is>
          <t>微信公众号“同心马边”</t>
        </is>
      </c>
      <c r="E68" t="inlineStr">
        <is>
          <t>微信公众号/视频号</t>
        </is>
      </c>
      <c r="F68" t="inlineStr">
        <is>
          <t>微信公众号人工核验</t>
        </is>
      </c>
      <c r="G68" t="inlineStr">
        <is>
          <t>同心马边</t>
        </is>
      </c>
      <c r="H68" t="inlineStr">
        <is>
          <t>国家通用语言文字和蒙古文、藏文、维吾尔文、哈萨克文、朝鲜文、彝文、壮文等7种民族文字对照版单行本出版发行。</t>
        </is>
      </c>
      <c r="I68" t="inlineStr">
        <is>
          <t>公众号原始页面已截图核验；未单独保存可复制链接</t>
        </is>
      </c>
      <c r="J68" t="inlineStr">
        <is>
          <t>马边彝族自治县（地方账号传播；内容为全国性出版信息）</t>
        </is>
      </c>
      <c r="L68" t="inlineStr">
        <is>
          <t>四川</t>
        </is>
      </c>
      <c r="O68" t="inlineStr">
        <is>
          <t>普通话</t>
        </is>
      </c>
      <c r="P68" t="inlineStr">
        <is>
          <t>否</t>
        </is>
      </c>
      <c r="Q68" t="inlineStr">
        <is>
          <t>官方传播信息</t>
        </is>
      </c>
      <c r="R68" t="inlineStr">
        <is>
          <t>多语种普法；民族文字；法律出版；宣传教育</t>
        </is>
      </c>
      <c r="S68" t="n">
        <v>0</v>
      </c>
      <c r="T68" t="n">
        <v>0</v>
      </c>
      <c r="U68" t="n">
        <v>0</v>
      </c>
      <c r="V68" t="inlineStr">
        <is>
          <t>否</t>
        </is>
      </c>
      <c r="W68" t="inlineStr">
        <is>
          <t>否</t>
        </is>
      </c>
      <c r="X68" t="inlineStr">
        <is>
          <t>历史导入:中华人民共和国民族团结进步促进法_四川甘肃民族地区舆情监测汇总_复核完成.xlsx；来源类型:官方宣传信息；复核:标题、发布时间和正文已通过公众号页面截图核验；正文为中文，不需要对民族文字封面作机器翻译或态度判断。；重复:否；待核实:否</t>
        </is>
      </c>
    </row>
    <row r="69">
      <c r="A69" t="inlineStr">
        <is>
          <t>hist-b7d333054f42e5ee</t>
        </is>
      </c>
      <c r="B69" s="82" t="n">
        <v>46241.29444444444</v>
      </c>
      <c r="C69" s="82" t="n">
        <v>46216.90277777778</v>
      </c>
      <c r="D69" t="inlineStr">
        <is>
          <t>微信公众号“木里融媒”</t>
        </is>
      </c>
      <c r="E69" t="inlineStr">
        <is>
          <t>微信公众号/视频号</t>
        </is>
      </c>
      <c r="F69" t="inlineStr">
        <is>
          <t>微信公众号人工核验</t>
        </is>
      </c>
      <c r="G69" t="inlineStr">
        <is>
          <t>木里融媒</t>
        </is>
      </c>
      <c r="H69" t="inlineStr">
        <is>
          <t>7月13日，县政府第96次常务会议集中学习《中华人民共和国民族团结进步促进法》等法律法规。</t>
        </is>
      </c>
      <c r="I69" t="inlineStr">
        <is>
          <t>公众号原始页面已截图核验；未单独保存可复制链接</t>
        </is>
      </c>
      <c r="J69" t="inlineStr">
        <is>
          <t>木里藏族自治县</t>
        </is>
      </c>
      <c r="L69" t="inlineStr">
        <is>
          <t>四川</t>
        </is>
      </c>
      <c r="O69" t="inlineStr">
        <is>
          <t>普通话</t>
        </is>
      </c>
      <c r="P69" t="inlineStr">
        <is>
          <t>否</t>
        </is>
      </c>
      <c r="Q69" t="inlineStr">
        <is>
          <t>官方政策信息</t>
        </is>
      </c>
      <c r="R69" t="inlineStr">
        <is>
          <t>政府常务会议；集中学习；依法治理</t>
        </is>
      </c>
      <c r="S69" t="n">
        <v>0</v>
      </c>
      <c r="T69" t="n">
        <v>0</v>
      </c>
      <c r="U69" t="n">
        <v>0</v>
      </c>
      <c r="V69" t="inlineStr">
        <is>
          <t>否</t>
        </is>
      </c>
      <c r="W69" t="inlineStr">
        <is>
          <t>否</t>
        </is>
      </c>
      <c r="X69" t="inlineStr">
        <is>
          <t>历史导入:中华人民共和国民族团结进步促进法_四川甘肃民族地区舆情监测汇总_复核完成.xlsx；来源类型:官方实施信息；复核:标题、发布时间和正文已通过公众号页面截图核验；页面未发现可计入公众意见的评论或留言。；重复:否；待核实:否</t>
        </is>
      </c>
    </row>
    <row r="70">
      <c r="A70" t="inlineStr">
        <is>
          <t>hist-49f85ee119478041</t>
        </is>
      </c>
      <c r="B70" s="82" t="n">
        <v>46241.29444444444</v>
      </c>
      <c r="C70" s="82" t="n">
        <v>46233.95763888889</v>
      </c>
      <c r="D70" t="inlineStr">
        <is>
          <t>微信公众号“木里融媒”</t>
        </is>
      </c>
      <c r="E70" t="inlineStr">
        <is>
          <t>微信公众号/视频号</t>
        </is>
      </c>
      <c r="F70" t="inlineStr">
        <is>
          <t>微信公众号人工核验</t>
        </is>
      </c>
      <c r="G70" t="inlineStr">
        <is>
          <t>木里融媒</t>
        </is>
      </c>
      <c r="H70" t="inlineStr">
        <is>
          <t>7月30日，县政府第97次常务会议再次集中学习《中华人民共和国民族团结进步促进法》等法律法规。</t>
        </is>
      </c>
      <c r="I70" t="inlineStr">
        <is>
          <t>公众号原始页面已截图核验；未单独保存可复制链接</t>
        </is>
      </c>
      <c r="J70" t="inlineStr">
        <is>
          <t>木里藏族自治县</t>
        </is>
      </c>
      <c r="L70" t="inlineStr">
        <is>
          <t>四川</t>
        </is>
      </c>
      <c r="O70" t="inlineStr">
        <is>
          <t>普通话</t>
        </is>
      </c>
      <c r="P70" t="inlineStr">
        <is>
          <t>否</t>
        </is>
      </c>
      <c r="Q70" t="inlineStr">
        <is>
          <t>官方政策信息</t>
        </is>
      </c>
      <c r="R70" t="inlineStr">
        <is>
          <t>政府常务会议；持续学习；教育工作；基层治理</t>
        </is>
      </c>
      <c r="S70" t="n">
        <v>0</v>
      </c>
      <c r="T70" t="n">
        <v>0</v>
      </c>
      <c r="U70" t="n">
        <v>0</v>
      </c>
      <c r="V70" t="inlineStr">
        <is>
          <t>否</t>
        </is>
      </c>
      <c r="W70" t="inlineStr">
        <is>
          <t>否</t>
        </is>
      </c>
      <c r="X70" t="inlineStr">
        <is>
          <t>历史导入:中华人民共和国民族团结进步促进法_四川甘肃民族地区舆情监测汇总_复核完成.xlsx；来源类型:官方实施信息；复核:与7月13日第96次常务会议为不同日期、不同会议，分别记录；页面未发现可计入公众意见的评论或留言。；重复:否；待核实:否</t>
        </is>
      </c>
    </row>
    <row r="71">
      <c r="A71" t="inlineStr">
        <is>
          <t>hist-bfe9cad5a62b4070</t>
        </is>
      </c>
      <c r="B71" s="82" t="n">
        <v>46241.29444444444</v>
      </c>
      <c r="C71" s="82" t="n">
        <v>46204.76944444444</v>
      </c>
      <c r="D71" t="inlineStr">
        <is>
          <t>微信公众号“峨边彝族自治县人民法院”</t>
        </is>
      </c>
      <c r="E71" t="inlineStr">
        <is>
          <t>微信公众号/视频号</t>
        </is>
      </c>
      <c r="F71" t="inlineStr">
        <is>
          <t>微信公众号人工核验</t>
        </is>
      </c>
      <c r="G71" t="inlineStr">
        <is>
          <t>峨边彝族自治县人民法院</t>
        </is>
      </c>
      <c r="H71" t="inlineStr">
        <is>
          <t>文章介绍该法于2026年7月1日起施行，并概述其立法意义和相关重点内容。</t>
        </is>
      </c>
      <c r="I71" t="inlineStr">
        <is>
          <t>公众号原始页面已截图核验；未单独保存可复制链接</t>
        </is>
      </c>
      <c r="J71" t="inlineStr">
        <is>
          <t>峨边彝族自治县</t>
        </is>
      </c>
      <c r="L71" t="inlineStr">
        <is>
          <t>四川</t>
        </is>
      </c>
      <c r="O71" t="inlineStr">
        <is>
          <t>普通话</t>
        </is>
      </c>
      <c r="P71" t="inlineStr">
        <is>
          <t>否</t>
        </is>
      </c>
      <c r="Q71" t="inlineStr">
        <is>
          <t>官方传播信息</t>
        </is>
      </c>
      <c r="R71" t="inlineStr">
        <is>
          <t>法律施行；法院普法；法律解读</t>
        </is>
      </c>
      <c r="S71" t="n">
        <v>0</v>
      </c>
      <c r="T71" t="n">
        <v>0</v>
      </c>
      <c r="U71" t="n">
        <v>0</v>
      </c>
      <c r="V71" t="inlineStr">
        <is>
          <t>否</t>
        </is>
      </c>
      <c r="W71" t="inlineStr">
        <is>
          <t>否</t>
        </is>
      </c>
      <c r="X71" t="inlineStr">
        <is>
          <t>历史导入:中华人民共和国民族团结进步促进法_四川甘肃民族地区舆情监测汇总_复核完成.xlsx；来源类型:官方宣传信息；复核:标题、发布时间和正文已通过公众号页面截图核验；页面仅显示点赞、转发、推荐等互动量，未发现可计入公众意见的留言。；重复:否；待核实:否</t>
        </is>
      </c>
    </row>
    <row r="72">
      <c r="A72" t="inlineStr">
        <is>
          <t>hist-c301d301896c77b2</t>
        </is>
      </c>
      <c r="B72" s="82" t="n">
        <v>46252.9403587963</v>
      </c>
      <c r="C72" s="82" t="n">
        <v>46205</v>
      </c>
      <c r="D72" t="inlineStr">
        <is>
          <t>视频号</t>
        </is>
      </c>
      <c r="E72" t="inlineStr">
        <is>
          <t>微信公众号/视频号</t>
        </is>
      </c>
      <c r="G72" t="inlineStr">
        <is>
          <t>甘南融媒藏语平台</t>
        </is>
      </c>
      <c r="H72" t="inlineStr">
        <is>
          <t>中华人民共和国民族团结进步促进法（第一期）</t>
        </is>
      </c>
      <c r="I72" t="inlineStr">
        <is>
          <t>https://weixin.qq.com/sph/AtykZndKEg</t>
        </is>
      </c>
      <c r="J72" t="inlineStr">
        <is>
          <t>甘南藏族自治州</t>
        </is>
      </c>
      <c r="L72" t="inlineStr">
        <is>
          <t>甘肃</t>
        </is>
      </c>
      <c r="O72" t="inlineStr">
        <is>
          <t>藏语/藏文</t>
        </is>
      </c>
      <c r="P72" t="inlineStr">
        <is>
          <t>是</t>
        </is>
      </c>
      <c r="Q72" t="inlineStr">
        <is>
          <t>待核实</t>
        </is>
      </c>
      <c r="S72" t="n">
        <v>0</v>
      </c>
      <c r="T72" t="n">
        <v>0</v>
      </c>
      <c r="U72" t="n">
        <v>0</v>
      </c>
      <c r="V72" t="inlineStr">
        <is>
          <t>否</t>
        </is>
      </c>
      <c r="W72" t="inlineStr">
        <is>
          <t>是</t>
        </is>
      </c>
      <c r="X72" t="inlineStr">
        <is>
          <t>历史导入:中华人民共和国民族团结进步促进法_四川甘肃民族地区舆情监测汇总_复核完成.xlsx；复核:母帖和4条评论均已通过截图核验；M01视频号原始链接已精确对应。视频正文为藏语/藏文，具体语义仍待藏语人员复核；4条评论均为表情型支持，评论态度判断不依赖藏语正文。；证据:监测材料截图 image1；2026-08-07补充核验M01视频号原始链接；待核实:是</t>
        </is>
      </c>
    </row>
    <row r="73">
      <c r="A73" t="inlineStr">
        <is>
          <t>hist-c4d18ef2a0ac1df5</t>
        </is>
      </c>
      <c r="B73" s="82" t="n">
        <v>46252.9403587963</v>
      </c>
      <c r="C73" s="82" t="n">
        <v>46213</v>
      </c>
      <c r="D73" t="inlineStr">
        <is>
          <t>视频号</t>
        </is>
      </c>
      <c r="E73" t="inlineStr">
        <is>
          <t>微信公众号/视频号</t>
        </is>
      </c>
      <c r="G73" t="inlineStr">
        <is>
          <t>临夏市融媒体中心</t>
        </is>
      </c>
      <c r="H73" t="inlineStr">
        <is>
          <t>7月1日起，《中华人民共和国民族团结进步促进法》正式施行（视频解读）</t>
        </is>
      </c>
      <c r="I73" t="inlineStr">
        <is>
          <t>已收集视频号原始链接集合，但与此前截图未逐条对应；见“原始链接清单”</t>
        </is>
      </c>
      <c r="J73" t="inlineStr">
        <is>
          <t>临夏回族自治州临夏市</t>
        </is>
      </c>
      <c r="L73" t="inlineStr">
        <is>
          <t>甘肃</t>
        </is>
      </c>
      <c r="O73" t="inlineStr">
        <is>
          <t>普通话</t>
        </is>
      </c>
      <c r="P73" t="inlineStr">
        <is>
          <t>否</t>
        </is>
      </c>
      <c r="Q73" t="inlineStr">
        <is>
          <t>待核实</t>
        </is>
      </c>
      <c r="S73" t="n">
        <v>38</v>
      </c>
      <c r="T73" t="n">
        <v>0</v>
      </c>
      <c r="U73" t="n">
        <v>47</v>
      </c>
      <c r="V73" t="inlineStr">
        <is>
          <t>否</t>
        </is>
      </c>
      <c r="W73" t="inlineStr">
        <is>
          <t>是</t>
        </is>
      </c>
      <c r="X73" t="inlineStr">
        <is>
          <t>历史导入:中华人民共和国民族团结进步促进法_四川甘肃民族地区舆情监测汇总_复核完成.xlsx；复核:2条表情支持计入；1条复制母帖全文的评论排除。视频号链接已提供但未逐条对应，准确发布日期仍需复核。；证据:监测材料截图 image2；视频号候选链接集合（未与截图逐条对应）；待核实:是</t>
        </is>
      </c>
    </row>
    <row r="74">
      <c r="A74" t="inlineStr">
        <is>
          <t>hist-ffd77e9813c3d052</t>
        </is>
      </c>
      <c r="B74" s="82" t="n">
        <v>46252.9403587963</v>
      </c>
      <c r="C74" s="82" t="n">
        <v>46219</v>
      </c>
      <c r="D74" t="inlineStr">
        <is>
          <t>视频号</t>
        </is>
      </c>
      <c r="E74" t="inlineStr">
        <is>
          <t>微信公众号/视频号</t>
        </is>
      </c>
      <c r="G74" t="inlineStr">
        <is>
          <t>临夏市融媒体中心</t>
        </is>
      </c>
      <c r="H74" t="inlineStr">
        <is>
          <t>《中华人民共和国民族团结进步促进法》7月1日起施行（核心内容解读）</t>
        </is>
      </c>
      <c r="I74" t="inlineStr">
        <is>
          <t>已收集视频号原始链接集合，但与此前截图未逐条对应；见“原始链接清单”</t>
        </is>
      </c>
      <c r="J74" t="inlineStr">
        <is>
          <t>临夏回族自治州临夏市</t>
        </is>
      </c>
      <c r="L74" t="inlineStr">
        <is>
          <t>甘肃</t>
        </is>
      </c>
      <c r="O74" t="inlineStr">
        <is>
          <t>普通话</t>
        </is>
      </c>
      <c r="P74" t="inlineStr">
        <is>
          <t>否</t>
        </is>
      </c>
      <c r="Q74" t="inlineStr">
        <is>
          <t>待核实</t>
        </is>
      </c>
      <c r="S74" t="n">
        <v>57</v>
      </c>
      <c r="T74" t="n">
        <v>0</v>
      </c>
      <c r="U74" t="n">
        <v>91</v>
      </c>
      <c r="V74" t="inlineStr">
        <is>
          <t>否</t>
        </is>
      </c>
      <c r="W74" t="inlineStr">
        <is>
          <t>是</t>
        </is>
      </c>
      <c r="X74" t="inlineStr">
        <is>
          <t>历史导入:中华人民共和国民族团结进步促进法_四川甘肃民族地区舆情监测汇总_复核完成.xlsx；复核:1条复制母帖文案的评论排除，7条正向评论计入。其中原截图未完整展开的2条评论均确认为点赞表情，支持态度可确认；视频号链接仍未与截图逐条对应。；证据:监测材料截图 image3；视频号候选链接集合（未与截图逐条对应）；待核实:是</t>
        </is>
      </c>
    </row>
    <row r="75">
      <c r="A75" t="inlineStr">
        <is>
          <t>hist-2b9df85f412375d4</t>
        </is>
      </c>
      <c r="B75" s="82" t="n">
        <v>46252.9403587963</v>
      </c>
      <c r="C75" s="82" t="n">
        <v>46205</v>
      </c>
      <c r="D75" t="inlineStr">
        <is>
          <t>视频号</t>
        </is>
      </c>
      <c r="E75" t="inlineStr">
        <is>
          <t>微信公众号/视频号</t>
        </is>
      </c>
      <c r="G75" t="inlineStr">
        <is>
          <t>临夏市融媒体中心</t>
        </is>
      </c>
      <c r="H75" t="inlineStr">
        <is>
          <t>法治宣传进基层 同心浇灌石榴花——民族团结进步促进法专题宣讲活动</t>
        </is>
      </c>
      <c r="I75" t="inlineStr">
        <is>
          <t>已收集视频号原始链接集合，但与此前截图未逐条对应；见“原始链接清单”</t>
        </is>
      </c>
      <c r="J75" t="inlineStr">
        <is>
          <t>临夏回族自治州临夏市</t>
        </is>
      </c>
      <c r="L75" t="inlineStr">
        <is>
          <t>甘肃</t>
        </is>
      </c>
      <c r="O75" t="inlineStr">
        <is>
          <t>普通话</t>
        </is>
      </c>
      <c r="P75" t="inlineStr">
        <is>
          <t>否</t>
        </is>
      </c>
      <c r="Q75" t="inlineStr">
        <is>
          <t>待核实</t>
        </is>
      </c>
      <c r="S75" t="n">
        <v>31</v>
      </c>
      <c r="T75" t="n">
        <v>0</v>
      </c>
      <c r="U75" t="n">
        <v>244</v>
      </c>
      <c r="V75" t="inlineStr">
        <is>
          <t>否</t>
        </is>
      </c>
      <c r="W75" t="inlineStr">
        <is>
          <t>是</t>
        </is>
      </c>
      <c r="X75" t="inlineStr">
        <is>
          <t>历史导入:中华人民共和国民族团结进步促进法_四川甘肃民族地区舆情监测汇总_复核完成.xlsx；复核:6条点赞、爱心类支持计入；顶部1条母帖文案型评论不计。视频号链接已提供但未逐条对应，准确发布日期仍需复核。；证据:监测材料截图 image4；视频号候选链接集合（未与截图逐条对应）；待核实:是</t>
        </is>
      </c>
    </row>
    <row r="76">
      <c r="A76" t="inlineStr">
        <is>
          <t>hist-6a5e2f11e3658821</t>
        </is>
      </c>
      <c r="B76" s="82" t="n">
        <v>46252.9403587963</v>
      </c>
      <c r="C76" s="82" t="n">
        <v>46224.82916666667</v>
      </c>
      <c r="D76" t="inlineStr">
        <is>
          <t>微信公众号/视频号</t>
        </is>
      </c>
      <c r="E76" t="inlineStr">
        <is>
          <t>微信公众号/视频号</t>
        </is>
      </c>
      <c r="G76" t="inlineStr">
        <is>
          <t>肃北融媒（肃北县融媒体中心）</t>
        </is>
      </c>
      <c r="H76" t="inlineStr">
        <is>
          <t>“法润陇原·同心固边”——“法治边疆行”暨《中华人民共和国民族团结进步促进法》宣传活动在肃北县马鬃山镇启动</t>
        </is>
      </c>
      <c r="I76" t="inlineStr">
        <is>
          <t>已收集视频号原始链接集合，但与此前截图未逐条对应；见“原始链接清单”</t>
        </is>
      </c>
      <c r="J76" t="inlineStr">
        <is>
          <t>肃北蒙古族自治县</t>
        </is>
      </c>
      <c r="L76" t="inlineStr">
        <is>
          <t>甘肃</t>
        </is>
      </c>
      <c r="O76" t="inlineStr">
        <is>
          <t>普通话</t>
        </is>
      </c>
      <c r="P76" t="inlineStr">
        <is>
          <t>否</t>
        </is>
      </c>
      <c r="Q76" t="inlineStr">
        <is>
          <t>待核实</t>
        </is>
      </c>
      <c r="S76" t="n">
        <v>35</v>
      </c>
      <c r="T76" t="n">
        <v>0</v>
      </c>
      <c r="U76" t="n">
        <v>39</v>
      </c>
      <c r="V76" t="inlineStr">
        <is>
          <t>否</t>
        </is>
      </c>
      <c r="W76" t="inlineStr">
        <is>
          <t>是</t>
        </is>
      </c>
      <c r="X76" t="inlineStr">
        <is>
          <t>历史导入:中华人民共和国民族团结进步促进法_四川甘肃民族地区舆情监测汇总_复核完成.xlsx；复核:公众号文章、视频和评论均已截图核验；同一条“赞”在两张截图中重复出现，仅计一次。视频号链接已提供但未与截图逐条对应。；证据:监测材料截图 image5、image13、image14；视频号候选链接集合（未与截图逐条对应）；待核实:是</t>
        </is>
      </c>
    </row>
    <row r="77">
      <c r="A77" t="inlineStr">
        <is>
          <t>hist-29a4b46e18003b57</t>
        </is>
      </c>
      <c r="B77" s="82" t="n">
        <v>46252.9403587963</v>
      </c>
      <c r="C77" s="82" t="n">
        <v>46233</v>
      </c>
      <c r="D77" t="inlineStr">
        <is>
          <t>视频号</t>
        </is>
      </c>
      <c r="E77" t="inlineStr">
        <is>
          <t>微信公众号/视频号</t>
        </is>
      </c>
      <c r="G77" t="inlineStr">
        <is>
          <t>看这里是肃北</t>
        </is>
      </c>
      <c r="H77" t="inlineStr">
        <is>
          <t>基层群团组织依法履行民族团结责任（民族团结进步促进法解读）</t>
        </is>
      </c>
      <c r="I77" t="inlineStr">
        <is>
          <t>已收集视频号原始链接集合，但与此前截图未逐条对应；见“原始链接清单”</t>
        </is>
      </c>
      <c r="J77" t="inlineStr">
        <is>
          <t>肃北蒙古族自治县</t>
        </is>
      </c>
      <c r="L77" t="inlineStr">
        <is>
          <t>甘肃</t>
        </is>
      </c>
      <c r="O77" t="inlineStr">
        <is>
          <t>普通话</t>
        </is>
      </c>
      <c r="P77" t="inlineStr">
        <is>
          <t>否</t>
        </is>
      </c>
      <c r="Q77" t="inlineStr">
        <is>
          <t>待核实</t>
        </is>
      </c>
      <c r="S77" t="n">
        <v>8</v>
      </c>
      <c r="T77" t="n">
        <v>0</v>
      </c>
      <c r="U77" t="n">
        <v>18</v>
      </c>
      <c r="V77" t="inlineStr">
        <is>
          <t>否</t>
        </is>
      </c>
      <c r="W77" t="inlineStr">
        <is>
          <t>是</t>
        </is>
      </c>
      <c r="X77" t="inlineStr">
        <is>
          <t>历史导入:中华人民共和国民族团结进步促进法_四川甘肃民族地区舆情监测汇总_复核完成.xlsx；复核:文字型支持评论已截图核验；视频号链接已提供但未逐条对应，准确发布日期仍需复核。；证据:监测材料截图 image6；视频号候选链接集合（未与截图逐条对应）；待核实:是</t>
        </is>
      </c>
    </row>
    <row r="78">
      <c r="A78" t="inlineStr">
        <is>
          <t>hist-35ef5e9d03c2b5a7</t>
        </is>
      </c>
      <c r="B78" s="82" t="n">
        <v>46252.9403587963</v>
      </c>
      <c r="C78" s="82" t="n">
        <v>46216</v>
      </c>
      <c r="D78" t="inlineStr">
        <is>
          <t>视频号</t>
        </is>
      </c>
      <c r="E78" t="inlineStr">
        <is>
          <t>微信公众号/视频号</t>
        </is>
      </c>
      <c r="G78" t="inlineStr">
        <is>
          <t>肃北县融媒体中心</t>
        </is>
      </c>
      <c r="H78" t="inlineStr">
        <is>
          <t>解读｜中华人民共和国民族团结进步促进法（八）</t>
        </is>
      </c>
      <c r="I78" t="inlineStr">
        <is>
          <t>已收集视频号原始链接集合，但与此前截图未逐条对应；见“原始链接清单”</t>
        </is>
      </c>
      <c r="J78" t="inlineStr">
        <is>
          <t>肃北蒙古族自治县</t>
        </is>
      </c>
      <c r="L78" t="inlineStr">
        <is>
          <t>甘肃</t>
        </is>
      </c>
      <c r="O78" t="inlineStr">
        <is>
          <t>普通话</t>
        </is>
      </c>
      <c r="P78" t="inlineStr">
        <is>
          <t>否</t>
        </is>
      </c>
      <c r="Q78" t="inlineStr">
        <is>
          <t>待核实</t>
        </is>
      </c>
      <c r="S78" t="n">
        <v>12</v>
      </c>
      <c r="T78" t="n">
        <v>0</v>
      </c>
      <c r="U78" t="n">
        <v>11</v>
      </c>
      <c r="V78" t="inlineStr">
        <is>
          <t>否</t>
        </is>
      </c>
      <c r="W78" t="inlineStr">
        <is>
          <t>是</t>
        </is>
      </c>
      <c r="X78" t="inlineStr">
        <is>
          <t>历史导入:中华人民共和国民族团结进步促进法_四川甘肃民族地区舆情监测汇总_复核完成.xlsx；复核:评论内容已截图核验；视频号链接已提供但未逐条对应，准确发布日期仍需复核。；证据:监测材料截图 image7；视频号候选链接集合（未与截图逐条对应）；待核实:是</t>
        </is>
      </c>
    </row>
    <row r="79">
      <c r="A79" t="inlineStr">
        <is>
          <t>hist-6a7d2966a4f14bc6</t>
        </is>
      </c>
      <c r="B79" s="82" t="n">
        <v>46252.9403587963</v>
      </c>
      <c r="C79" s="82" t="n">
        <v>46232</v>
      </c>
      <c r="D79" t="inlineStr">
        <is>
          <t>视频号</t>
        </is>
      </c>
      <c r="E79" t="inlineStr">
        <is>
          <t>微信公众号/视频号</t>
        </is>
      </c>
      <c r="G79" t="inlineStr">
        <is>
          <t>肃北县融媒体中心</t>
        </is>
      </c>
      <c r="H79" t="inlineStr">
        <is>
          <t>解读｜中华人民共和国民族团结进步促进法（十九）</t>
        </is>
      </c>
      <c r="I79" t="inlineStr">
        <is>
          <t>已收集视频号原始链接集合，但与此前截图未逐条对应；见“原始链接清单”</t>
        </is>
      </c>
      <c r="J79" t="inlineStr">
        <is>
          <t>肃北蒙古族自治县</t>
        </is>
      </c>
      <c r="L79" t="inlineStr">
        <is>
          <t>甘肃</t>
        </is>
      </c>
      <c r="O79" t="inlineStr">
        <is>
          <t>普通话</t>
        </is>
      </c>
      <c r="P79" t="inlineStr">
        <is>
          <t>否</t>
        </is>
      </c>
      <c r="Q79" t="inlineStr">
        <is>
          <t>待核实</t>
        </is>
      </c>
      <c r="S79" t="n">
        <v>14</v>
      </c>
      <c r="T79" t="n">
        <v>0</v>
      </c>
      <c r="U79" t="n">
        <v>5</v>
      </c>
      <c r="V79" t="inlineStr">
        <is>
          <t>否</t>
        </is>
      </c>
      <c r="W79" t="inlineStr">
        <is>
          <t>是</t>
        </is>
      </c>
      <c r="X79" t="inlineStr">
        <is>
          <t>历史导入:中华人民共和国民族团结进步促进法_四川甘肃民族地区舆情监测汇总_复核完成.xlsx；复核:2条支持评论已截图核验；视频号链接已提供但未逐条对应，准确发布日期仍需复核。；证据:监测材料截图 image8；视频号候选链接集合（未与截图逐条对应）；待核实:是</t>
        </is>
      </c>
    </row>
    <row r="80">
      <c r="A80" t="inlineStr">
        <is>
          <t>hist-32e9b55db2292108</t>
        </is>
      </c>
      <c r="B80" s="82" t="n">
        <v>46252.9403587963</v>
      </c>
      <c r="C80" s="82" t="n">
        <v>46225</v>
      </c>
      <c r="D80" t="inlineStr">
        <is>
          <t>视频号</t>
        </is>
      </c>
      <c r="E80" t="inlineStr">
        <is>
          <t>微信公众号/视频号</t>
        </is>
      </c>
      <c r="G80" t="inlineStr">
        <is>
          <t>肃北县融媒体中心</t>
        </is>
      </c>
      <c r="H80" t="inlineStr">
        <is>
          <t>解读｜中华人民共和国民族团结进步促进法（十四）</t>
        </is>
      </c>
      <c r="I80" t="inlineStr">
        <is>
          <t>已收集视频号原始链接集合，但与此前截图未逐条对应；见“原始链接清单”</t>
        </is>
      </c>
      <c r="J80" t="inlineStr">
        <is>
          <t>肃北蒙古族自治县</t>
        </is>
      </c>
      <c r="L80" t="inlineStr">
        <is>
          <t>甘肃</t>
        </is>
      </c>
      <c r="O80" t="inlineStr">
        <is>
          <t>普通话</t>
        </is>
      </c>
      <c r="P80" t="inlineStr">
        <is>
          <t>否</t>
        </is>
      </c>
      <c r="Q80" t="inlineStr">
        <is>
          <t>待核实</t>
        </is>
      </c>
      <c r="S80" t="n">
        <v>8</v>
      </c>
      <c r="T80" t="n">
        <v>0</v>
      </c>
      <c r="U80" t="n">
        <v>4</v>
      </c>
      <c r="V80" t="inlineStr">
        <is>
          <t>否</t>
        </is>
      </c>
      <c r="W80" t="inlineStr">
        <is>
          <t>是</t>
        </is>
      </c>
      <c r="X80" t="inlineStr">
        <is>
          <t>历史导入:中华人民共和国民族团结进步促进法_四川甘肃民族地区舆情监测汇总_复核完成.xlsx；复核:评论内容已截图核验；视频号链接已提供但未逐条对应，准确发布日期仍需复核。；证据:监测材料截图 image9；视频号候选链接集合（未与截图逐条对应）；待核实:是</t>
        </is>
      </c>
    </row>
    <row r="81">
      <c r="A81" t="inlineStr">
        <is>
          <t>hist-aa38d2221c3054db</t>
        </is>
      </c>
      <c r="B81" s="82" t="n">
        <v>46252.9403587963</v>
      </c>
      <c r="C81" s="82" t="n">
        <v>46213</v>
      </c>
      <c r="D81" t="inlineStr">
        <is>
          <t>视频号</t>
        </is>
      </c>
      <c r="E81" t="inlineStr">
        <is>
          <t>微信公众号/视频号</t>
        </is>
      </c>
      <c r="G81" t="inlineStr">
        <is>
          <t>看这里是肃北</t>
        </is>
      </c>
      <c r="H81" t="inlineStr">
        <is>
          <t>雪域普法微课堂第三期——各民族文化共生共荣，依法守护多元文脉</t>
        </is>
      </c>
      <c r="I81" t="inlineStr">
        <is>
          <t>已收集视频号原始链接集合，但与此前截图未逐条对应；见“原始链接清单”</t>
        </is>
      </c>
      <c r="J81" t="inlineStr">
        <is>
          <t>肃北蒙古族自治县</t>
        </is>
      </c>
      <c r="L81" t="inlineStr">
        <is>
          <t>甘肃</t>
        </is>
      </c>
      <c r="O81" t="inlineStr">
        <is>
          <t>普通话</t>
        </is>
      </c>
      <c r="P81" t="inlineStr">
        <is>
          <t>否</t>
        </is>
      </c>
      <c r="Q81" t="inlineStr">
        <is>
          <t>待核实</t>
        </is>
      </c>
      <c r="S81" t="n">
        <v>23</v>
      </c>
      <c r="T81" t="n">
        <v>0</v>
      </c>
      <c r="U81" t="n">
        <v>26</v>
      </c>
      <c r="V81" t="inlineStr">
        <is>
          <t>否</t>
        </is>
      </c>
      <c r="W81" t="inlineStr">
        <is>
          <t>是</t>
        </is>
      </c>
      <c r="X81" t="inlineStr">
        <is>
          <t>历史导入:中华人民共和国民族团结进步促进法_四川甘肃民族地区舆情监测汇总_复核完成.xlsx；复核:短语型支持评论已截图核验；视频号链接已提供但未逐条对应，准确发布日期仍需复核。；证据:监测材料截图 image10；视频号候选链接集合（未与截图逐条对应）；待核实:是</t>
        </is>
      </c>
    </row>
    <row r="82">
      <c r="A82" t="inlineStr">
        <is>
          <t>hist-e69961b8e6ce57c0</t>
        </is>
      </c>
      <c r="B82" s="82" t="n">
        <v>46252.9403587963</v>
      </c>
      <c r="C82" s="82" t="n">
        <v>46238</v>
      </c>
      <c r="D82" t="inlineStr">
        <is>
          <t>视频号</t>
        </is>
      </c>
      <c r="E82" t="inlineStr">
        <is>
          <t>微信公众号/视频号</t>
        </is>
      </c>
      <c r="G82" t="inlineStr">
        <is>
          <t>阿坝鼓声</t>
        </is>
      </c>
      <c r="H82" t="inlineStr">
        <is>
          <t>【法治护航民族团结 同心共筑美好阿坝】民族地区高质量发展｜各族共同走向现代化（16）</t>
        </is>
      </c>
      <c r="I82" t="inlineStr">
        <is>
          <t>https://weixin.qq.com/sph/An9TpnhX6uz</t>
        </is>
      </c>
      <c r="J82" t="inlineStr">
        <is>
          <t>阿坝藏族羌族自治州</t>
        </is>
      </c>
      <c r="L82" t="inlineStr">
        <is>
          <t>四川</t>
        </is>
      </c>
      <c r="O82" t="inlineStr">
        <is>
          <t>普通话/藏文</t>
        </is>
      </c>
      <c r="P82" t="inlineStr">
        <is>
          <t>否</t>
        </is>
      </c>
      <c r="Q82" t="inlineStr">
        <is>
          <t>待核实</t>
        </is>
      </c>
      <c r="S82" t="n">
        <v>7</v>
      </c>
      <c r="T82" t="n">
        <v>0</v>
      </c>
      <c r="U82" t="n">
        <v>4</v>
      </c>
      <c r="V82" t="inlineStr">
        <is>
          <t>否</t>
        </is>
      </c>
      <c r="W82" t="inlineStr">
        <is>
          <t>是</t>
        </is>
      </c>
      <c r="X82" t="inlineStr">
        <is>
          <t>历史导入:中华人民共和国民族团结进步促进法_四川甘肃民族地区舆情监测汇总_复核完成.xlsx；复核:3条表情型支持评论已通过截图核验；M12视频号原始链接已精确对应。视频含藏文，具体语义仍待藏语人员复核；评论态度判断不依赖藏文内容。；证据:监测材料截图 image15；2026-08-07补充核验M12视频号原始链接；待核实:是</t>
        </is>
      </c>
    </row>
    <row r="83">
      <c r="A83" t="inlineStr">
        <is>
          <t>hist-56c95b4ec4541b45</t>
        </is>
      </c>
      <c r="B83" s="82" t="n">
        <v>46252.9403587963</v>
      </c>
      <c r="C83" s="82" t="n">
        <v>46204</v>
      </c>
      <c r="D83" t="inlineStr">
        <is>
          <t>视频号</t>
        </is>
      </c>
      <c r="E83" t="inlineStr">
        <is>
          <t>微信公众号/视频号</t>
        </is>
      </c>
      <c r="G83" t="inlineStr">
        <is>
          <t>视听东乡</t>
        </is>
      </c>
      <c r="H83" t="inlineStr">
        <is>
          <t>民族团结进步促进法进基层宣讲活动走进东乡县</t>
        </is>
      </c>
      <c r="I83" t="inlineStr">
        <is>
          <t>已收集视频号原始链接集合，但与此前截图未逐条对应；见“原始链接清单”</t>
        </is>
      </c>
      <c r="J83" t="inlineStr">
        <is>
          <t>东乡族自治县</t>
        </is>
      </c>
      <c r="L83" t="inlineStr">
        <is>
          <t>甘肃</t>
        </is>
      </c>
      <c r="O83" t="inlineStr">
        <is>
          <t>普通话</t>
        </is>
      </c>
      <c r="P83" t="inlineStr">
        <is>
          <t>否</t>
        </is>
      </c>
      <c r="Q83" t="inlineStr">
        <is>
          <t>待核实</t>
        </is>
      </c>
      <c r="S83" t="n">
        <v>16</v>
      </c>
      <c r="T83" t="n">
        <v>0</v>
      </c>
      <c r="U83" t="n">
        <v>21</v>
      </c>
      <c r="V83" t="inlineStr">
        <is>
          <t>否</t>
        </is>
      </c>
      <c r="W83" t="inlineStr">
        <is>
          <t>是</t>
        </is>
      </c>
      <c r="X83" t="inlineStr">
        <is>
          <t>历史导入:中华人民共和国民族团结进步促进法_四川甘肃民族地区舆情监测汇总_复核完成.xlsx；复核:7条表情型支持评论已截图核验；视频号链接已提供但未与截图逐条对应。；证据:监测材料截图 image16；视频号候选链接集合（未与截图逐条对应）；待核实:是</t>
        </is>
      </c>
    </row>
    <row r="84">
      <c r="A84" t="inlineStr">
        <is>
          <t>hist-ec8ca0357fe939c2</t>
        </is>
      </c>
      <c r="B84" s="82" t="n">
        <v>46252.9403587963</v>
      </c>
      <c r="C84" s="82" t="n">
        <v>46204</v>
      </c>
      <c r="D84" t="inlineStr">
        <is>
          <t>视频号</t>
        </is>
      </c>
      <c r="E84" t="inlineStr">
        <is>
          <t>微信公众号/视频号</t>
        </is>
      </c>
      <c r="G84" t="inlineStr">
        <is>
          <t>临夏县融媒体中心</t>
        </is>
      </c>
      <c r="H84" t="inlineStr">
        <is>
          <t>【铸牢中华民族共同体意识】临夏县开展民族团结进步促进法专题宣讲活动</t>
        </is>
      </c>
      <c r="I84" t="inlineStr">
        <is>
          <t>已收集视频号原始链接集合，但与此前截图未逐条对应；见“原始链接清单”</t>
        </is>
      </c>
      <c r="J84" t="inlineStr">
        <is>
          <t>临夏回族自治州临夏县</t>
        </is>
      </c>
      <c r="L84" t="inlineStr">
        <is>
          <t>甘肃</t>
        </is>
      </c>
      <c r="O84" t="inlineStr">
        <is>
          <t>普通话</t>
        </is>
      </c>
      <c r="P84" t="inlineStr">
        <is>
          <t>否</t>
        </is>
      </c>
      <c r="Q84" t="inlineStr">
        <is>
          <t>待核实</t>
        </is>
      </c>
      <c r="S84" t="n">
        <v>17</v>
      </c>
      <c r="T84" t="n">
        <v>0</v>
      </c>
      <c r="U84" t="n">
        <v>19</v>
      </c>
      <c r="V84" t="inlineStr">
        <is>
          <t>否</t>
        </is>
      </c>
      <c r="W84" t="inlineStr">
        <is>
          <t>是</t>
        </is>
      </c>
      <c r="X84" t="inlineStr">
        <is>
          <t>历史导入:中华人民共和国民族团结进步促进法_四川甘肃民族地区舆情监测汇总_复核完成.xlsx；复核:4条表情型支持评论已截图核验；视频号链接已提供但未与截图逐条对应。；证据:监测材料截图 image17；视频号候选链接集合（未与截图逐条对应）；待核实:是</t>
        </is>
      </c>
    </row>
    <row r="85">
      <c r="A85" t="inlineStr">
        <is>
          <t>hist-e53d857c1fdce86b</t>
        </is>
      </c>
      <c r="B85" s="82" t="n">
        <v>46252.9403587963</v>
      </c>
      <c r="C85" s="82" t="n">
        <v>46219</v>
      </c>
      <c r="D85" t="inlineStr">
        <is>
          <t>抖音</t>
        </is>
      </c>
      <c r="E85" t="inlineStr">
        <is>
          <t>抖音等视频平台</t>
        </is>
      </c>
      <c r="G85" t="inlineStr">
        <is>
          <t>临夏市融媒体中心</t>
        </is>
      </c>
      <c r="H85" t="inlineStr">
        <is>
          <t>解读《中华人民共和国民族团结进步促进法》——7月1日起正式施行</t>
        </is>
      </c>
      <c r="I85" t="inlineStr">
        <is>
          <t>https://v.douyin.com/li1SubESsUQ/</t>
        </is>
      </c>
      <c r="J85" t="inlineStr">
        <is>
          <t>临夏回族自治州临夏市</t>
        </is>
      </c>
      <c r="L85" t="inlineStr">
        <is>
          <t>甘肃</t>
        </is>
      </c>
      <c r="O85" t="inlineStr">
        <is>
          <t>普通话</t>
        </is>
      </c>
      <c r="P85" t="inlineStr">
        <is>
          <t>否</t>
        </is>
      </c>
      <c r="Q85" t="inlineStr">
        <is>
          <t>待核实</t>
        </is>
      </c>
      <c r="S85" t="n">
        <v>27</v>
      </c>
      <c r="T85" t="n">
        <v>0</v>
      </c>
      <c r="U85" t="n">
        <v>1</v>
      </c>
      <c r="V85" t="inlineStr">
        <is>
          <t>否</t>
        </is>
      </c>
      <c r="W85" t="inlineStr">
        <is>
          <t>是</t>
        </is>
      </c>
      <c r="X85" t="inlineStr">
        <is>
          <t>历史导入:中华人民共和国民族团结进步促进法_四川甘肃民族地区舆情监测汇总_复核完成.xlsx；复核:7条评论均为点赞、奖牌或正向文字表态；原始链接已补，评论准确日期仍需复核。；证据:监测材料截图 image1；2026-08-05补充核验母帖原始链接；待核实:是</t>
        </is>
      </c>
    </row>
    <row r="86">
      <c r="A86" t="inlineStr">
        <is>
          <t>hist-f0fcc3113ed6040c</t>
        </is>
      </c>
      <c r="B86" s="82" t="n">
        <v>46252.9403587963</v>
      </c>
      <c r="C86" s="82" t="n">
        <v>46220</v>
      </c>
      <c r="D86" t="inlineStr">
        <is>
          <t>抖音</t>
        </is>
      </c>
      <c r="E86" t="inlineStr">
        <is>
          <t>抖音等视频平台</t>
        </is>
      </c>
      <c r="G86" t="inlineStr">
        <is>
          <t>临夏市融媒体中心</t>
        </is>
      </c>
      <c r="H86" t="inlineStr">
        <is>
          <t>《中华人民共和国民族团结进步促进法》7月1日起施行——依法保障各族群众合法权益</t>
        </is>
      </c>
      <c r="I86" t="inlineStr">
        <is>
          <t>https://v.douyin.com/1RcSEMe78HM/</t>
        </is>
      </c>
      <c r="J86" t="inlineStr">
        <is>
          <t>临夏回族自治州临夏市</t>
        </is>
      </c>
      <c r="L86" t="inlineStr">
        <is>
          <t>甘肃</t>
        </is>
      </c>
      <c r="O86" t="inlineStr">
        <is>
          <t>普通话</t>
        </is>
      </c>
      <c r="P86" t="inlineStr">
        <is>
          <t>否</t>
        </is>
      </c>
      <c r="Q86" t="inlineStr">
        <is>
          <t>待核实</t>
        </is>
      </c>
      <c r="S86" t="n">
        <v>57</v>
      </c>
      <c r="T86" t="n">
        <v>0</v>
      </c>
      <c r="U86" t="n">
        <v>2</v>
      </c>
      <c r="V86" t="inlineStr">
        <is>
          <t>否</t>
        </is>
      </c>
      <c r="W86" t="inlineStr">
        <is>
          <t>是</t>
        </is>
      </c>
      <c r="X86" t="inlineStr">
        <is>
          <t>历史导入:中华人民共和国民族团结进步促进法_四川甘肃民族地区舆情监测汇总_复核完成.xlsx；复核:7条支持认可计入；1条“助学贷款什么时候开始”与母帖法律议题无关，已排除。另有1条支持评论在截图底部未完整显示；原始链接已补。；证据:监测材料截图 image2；2026-08-05补充核验母帖原始链接；待核实:是</t>
        </is>
      </c>
    </row>
    <row r="87">
      <c r="A87" t="inlineStr">
        <is>
          <t>hist-79b572dc84c45f6a</t>
        </is>
      </c>
      <c r="B87" s="82" t="n">
        <v>46252.9403587963</v>
      </c>
      <c r="C87" s="82" t="n">
        <v>46217</v>
      </c>
      <c r="D87" t="inlineStr">
        <is>
          <t>抖音</t>
        </is>
      </c>
      <c r="E87" t="inlineStr">
        <is>
          <t>抖音等视频平台</t>
        </is>
      </c>
      <c r="G87" t="inlineStr">
        <is>
          <t>甘肃省民族事务委员会</t>
        </is>
      </c>
      <c r="H87" t="inlineStr">
        <is>
          <t>《如意普法》系列短视频第二集｜AI趣味解读《中华人民共和国民族团结进步促进法》</t>
        </is>
      </c>
      <c r="I87" t="inlineStr">
        <is>
          <t>https://v.douyin.com/LtghgvT9PjY/</t>
        </is>
      </c>
      <c r="J87" t="inlineStr">
        <is>
          <t>甘肃省（省级账号）</t>
        </is>
      </c>
      <c r="L87" t="inlineStr">
        <is>
          <t>甘肃</t>
        </is>
      </c>
      <c r="O87" t="inlineStr">
        <is>
          <t>普通话</t>
        </is>
      </c>
      <c r="P87" t="inlineStr">
        <is>
          <t>否</t>
        </is>
      </c>
      <c r="Q87" t="inlineStr">
        <is>
          <t>待核实</t>
        </is>
      </c>
      <c r="S87" t="n">
        <v>8</v>
      </c>
      <c r="T87" t="n">
        <v>0</v>
      </c>
      <c r="U87" t="n">
        <v>8</v>
      </c>
      <c r="V87" t="inlineStr">
        <is>
          <t>否</t>
        </is>
      </c>
      <c r="W87" t="inlineStr">
        <is>
          <t>是</t>
        </is>
      </c>
      <c r="X87" t="inlineStr">
        <is>
          <t>历史导入:中华人民共和国民族团结进步促进法_四川甘肃民族地区舆情监测汇总_复核完成.xlsx；复核:1条点赞评论计入支持认可；原始链接已补，评论准确日期仍需复核。；证据:监测材料截图 image4；2026-08-05补充核验母帖原始链接；待核实:是</t>
        </is>
      </c>
    </row>
    <row r="88">
      <c r="A88" t="inlineStr">
        <is>
          <t>hist-1761c4961d05da75</t>
        </is>
      </c>
      <c r="B88" s="82" t="n">
        <v>46252.9403587963</v>
      </c>
      <c r="C88" s="82" t="n">
        <v>46204</v>
      </c>
      <c r="D88" t="inlineStr">
        <is>
          <t>抖音</t>
        </is>
      </c>
      <c r="E88" t="inlineStr">
        <is>
          <t>抖音等视频平台</t>
        </is>
      </c>
      <c r="G88" t="inlineStr">
        <is>
          <t>甘肃省民族事务委员会</t>
        </is>
      </c>
      <c r="H88" t="inlineStr">
        <is>
          <t>《中华人民共和国民族团结进步促进法》今日起施行</t>
        </is>
      </c>
      <c r="I88" t="inlineStr">
        <is>
          <t>https://v.douyin.com/WgF-nVQT9RY/</t>
        </is>
      </c>
      <c r="J88" t="inlineStr">
        <is>
          <t>甘肃省（省级账号）</t>
        </is>
      </c>
      <c r="L88" t="inlineStr">
        <is>
          <t>甘肃</t>
        </is>
      </c>
      <c r="O88" t="inlineStr">
        <is>
          <t>普通话</t>
        </is>
      </c>
      <c r="P88" t="inlineStr">
        <is>
          <t>否</t>
        </is>
      </c>
      <c r="Q88" t="inlineStr">
        <is>
          <t>待核实</t>
        </is>
      </c>
      <c r="S88" t="n">
        <v>24</v>
      </c>
      <c r="T88" t="n">
        <v>0</v>
      </c>
      <c r="U88" t="n">
        <v>4</v>
      </c>
      <c r="V88" t="inlineStr">
        <is>
          <t>否</t>
        </is>
      </c>
      <c r="W88" t="inlineStr">
        <is>
          <t>是</t>
        </is>
      </c>
      <c r="X88" t="inlineStr">
        <is>
          <t>历史导入:中华人民共和国民族团结进步促进法_四川甘肃民族地区舆情监测汇总_复核完成.xlsx；复核:1条合十表情评论计入支持认可；原始链接已补，评论准确日期仍需复核。；证据:监测材料截图 image5；2026-08-05补充核验母帖原始链接；待核实:是</t>
        </is>
      </c>
    </row>
    <row r="89">
      <c r="A89" t="inlineStr">
        <is>
          <t>hist-60ca745a5253d641</t>
        </is>
      </c>
      <c r="B89" s="82" t="n">
        <v>46252.9403587963</v>
      </c>
      <c r="C89" s="82" t="n">
        <v>46229</v>
      </c>
      <c r="D89" t="inlineStr">
        <is>
          <t>抖音</t>
        </is>
      </c>
      <c r="E89" t="inlineStr">
        <is>
          <t>抖音等视频平台</t>
        </is>
      </c>
      <c r="G89" t="inlineStr">
        <is>
          <t>广河县融媒体中心</t>
        </is>
      </c>
      <c r="H89" t="inlineStr">
        <is>
          <t>《中华人民共和国民族团结进步促进法》重点来了</t>
        </is>
      </c>
      <c r="I89" t="inlineStr">
        <is>
          <t>https://v.douyin.com/MPBliIMpXZQ/</t>
        </is>
      </c>
      <c r="J89" t="inlineStr">
        <is>
          <t>临夏回族自治州广河县</t>
        </is>
      </c>
      <c r="L89" t="inlineStr">
        <is>
          <t>甘肃</t>
        </is>
      </c>
      <c r="O89" t="inlineStr">
        <is>
          <t>普通话</t>
        </is>
      </c>
      <c r="P89" t="inlineStr">
        <is>
          <t>否</t>
        </is>
      </c>
      <c r="Q89" t="inlineStr">
        <is>
          <t>待核实</t>
        </is>
      </c>
      <c r="S89" t="n">
        <v>48</v>
      </c>
      <c r="T89" t="n">
        <v>0</v>
      </c>
      <c r="U89" t="n">
        <v>3</v>
      </c>
      <c r="V89" t="inlineStr">
        <is>
          <t>否</t>
        </is>
      </c>
      <c r="W89" t="inlineStr">
        <is>
          <t>是</t>
        </is>
      </c>
      <c r="X89" t="inlineStr">
        <is>
          <t>历史导入:中华人民共和国民族团结进步促进法_四川甘肃民族地区舆情监测汇总_复核完成.xlsx；复核:1条点赞评论计入支持认可；“辫子戏严重破坏民族团结”已重新核对原视频。补充检索显示该说法可能指清代题材电视剧或影视内容，与本法及其实施无直接关系，现按无关评论排除；原始链接已回填。；证据:监测材料截图 image6；2026-08-05补充核验母帖原始链接；待核实:是</t>
        </is>
      </c>
    </row>
    <row r="90">
      <c r="A90" t="inlineStr">
        <is>
          <t>hist-7ce522fcf16c42e8</t>
        </is>
      </c>
      <c r="B90" s="82" t="n">
        <v>46252.9403587963</v>
      </c>
      <c r="C90" s="82" t="n">
        <v>46230</v>
      </c>
      <c r="D90" t="inlineStr">
        <is>
          <t>抖音</t>
        </is>
      </c>
      <c r="E90" t="inlineStr">
        <is>
          <t>抖音等视频平台</t>
        </is>
      </c>
      <c r="G90" t="inlineStr">
        <is>
          <t>甘肃省民族事务委员会</t>
        </is>
      </c>
      <c r="H90" t="inlineStr">
        <is>
          <t>《如意普法》系列短视频第四集｜AI趣味解读《中华人民共和国民族团结进步促进法》</t>
        </is>
      </c>
      <c r="I90" t="inlineStr">
        <is>
          <t>https://v.douyin.com/LnUwD09PU2A/</t>
        </is>
      </c>
      <c r="J90" t="inlineStr">
        <is>
          <t>甘肃省（省级账号）</t>
        </is>
      </c>
      <c r="L90" t="inlineStr">
        <is>
          <t>甘肃</t>
        </is>
      </c>
      <c r="O90" t="inlineStr">
        <is>
          <t>普通话</t>
        </is>
      </c>
      <c r="P90" t="inlineStr">
        <is>
          <t>否</t>
        </is>
      </c>
      <c r="Q90" t="inlineStr">
        <is>
          <t>待核实</t>
        </is>
      </c>
      <c r="S90" t="n">
        <v>9</v>
      </c>
      <c r="T90" t="n">
        <v>0</v>
      </c>
      <c r="U90" t="n">
        <v>2</v>
      </c>
      <c r="V90" t="inlineStr">
        <is>
          <t>否</t>
        </is>
      </c>
      <c r="W90" t="inlineStr">
        <is>
          <t>是</t>
        </is>
      </c>
      <c r="X90" t="inlineStr">
        <is>
          <t>历史导入:中华人民共和国民族团结进步促进法_四川甘肃民族地区舆情监测汇总_复核完成.xlsx；复核:1条“民族团结一家亲”正向评论计入；玩偶、空白@和领奖消息3条与法律议题无关，已排除；原始链接已补。；证据:监测材料截图 image7；2026-08-05补充核验母帖原始链接；待核实:是</t>
        </is>
      </c>
    </row>
    <row r="91">
      <c r="A91" t="inlineStr">
        <is>
          <t>hist-56292269fe4136b8</t>
        </is>
      </c>
      <c r="B91" s="82" t="n">
        <v>46252.9403587963</v>
      </c>
      <c r="C91" s="82" t="n">
        <v>46232</v>
      </c>
      <c r="D91" t="inlineStr">
        <is>
          <t>抖音</t>
        </is>
      </c>
      <c r="E91" t="inlineStr">
        <is>
          <t>抖音等视频平台</t>
        </is>
      </c>
      <c r="G91" t="inlineStr">
        <is>
          <t>张家川融媒</t>
        </is>
      </c>
      <c r="H91" t="inlineStr">
        <is>
          <t>《中华人民共和国民族团结进步促进法》序言与总则篇导读</t>
        </is>
      </c>
      <c r="I91" t="inlineStr">
        <is>
          <t>https://v.douyin.com/MZnyZuuFxYA/</t>
        </is>
      </c>
      <c r="J91" t="inlineStr">
        <is>
          <t>张家川回族自治县</t>
        </is>
      </c>
      <c r="L91" t="inlineStr">
        <is>
          <t>甘肃</t>
        </is>
      </c>
      <c r="O91" t="inlineStr">
        <is>
          <t>普通话</t>
        </is>
      </c>
      <c r="P91" t="inlineStr">
        <is>
          <t>否</t>
        </is>
      </c>
      <c r="Q91" t="inlineStr">
        <is>
          <t>待核实</t>
        </is>
      </c>
      <c r="S91" t="n">
        <v>2</v>
      </c>
      <c r="T91" t="n">
        <v>0</v>
      </c>
      <c r="U91" t="n">
        <v>0</v>
      </c>
      <c r="V91" t="inlineStr">
        <is>
          <t>否</t>
        </is>
      </c>
      <c r="W91" t="inlineStr">
        <is>
          <t>是</t>
        </is>
      </c>
      <c r="X91" t="inlineStr">
        <is>
          <t>历史导入:中华人民共和国民族团结进步促进法_四川甘肃民族地区舆情监测汇总_复核完成.xlsx；复核:唯一评论“我可没惹谁哈🌹🌹”语义不明，无法确认与法律内容的关系，未计入公众意见；原始链接已补。；证据:监测材料截图 image8；2026-08-05补充核验母帖原始链接；待核实:是</t>
        </is>
      </c>
    </row>
    <row r="92">
      <c r="A92" t="inlineStr">
        <is>
          <t>hist-4e575b22414114dd</t>
        </is>
      </c>
      <c r="B92" s="82" t="n">
        <v>46252.9403587963</v>
      </c>
      <c r="C92" s="82" t="n">
        <v>46204</v>
      </c>
      <c r="D92" t="inlineStr">
        <is>
          <t>视频号</t>
        </is>
      </c>
      <c r="E92" t="inlineStr">
        <is>
          <t>微信公众号/视频号</t>
        </is>
      </c>
      <c r="G92" t="inlineStr">
        <is>
          <t>同心四川</t>
        </is>
      </c>
      <c r="H92" t="inlineStr">
        <is>
          <t>《中华人民共和国民族团结进步促进法》今起施行，系统护航新时代民族团结进步事业</t>
        </is>
      </c>
      <c r="I92" t="inlineStr">
        <is>
          <t>已收集视频号原始链接集合，但与此前截图未逐条对应；见“原始链接清单”</t>
        </is>
      </c>
      <c r="J92" t="inlineStr">
        <is>
          <t>四川省（省级账号）</t>
        </is>
      </c>
      <c r="L92" t="inlineStr">
        <is>
          <t>四川</t>
        </is>
      </c>
      <c r="O92" t="inlineStr">
        <is>
          <t>普通话</t>
        </is>
      </c>
      <c r="P92" t="inlineStr">
        <is>
          <t>否</t>
        </is>
      </c>
      <c r="Q92" t="inlineStr">
        <is>
          <t>待核实</t>
        </is>
      </c>
      <c r="S92" t="n">
        <v>125</v>
      </c>
      <c r="T92" t="n">
        <v>0</v>
      </c>
      <c r="U92" t="n">
        <v>202</v>
      </c>
      <c r="V92" t="inlineStr">
        <is>
          <t>否</t>
        </is>
      </c>
      <c r="W92" t="inlineStr">
        <is>
          <t>是</t>
        </is>
      </c>
      <c r="X92" t="inlineStr">
        <is>
          <t>历史导入:中华人民共和国民族团结进步促进法_四川甘肃民族地区舆情监测汇总_复核完成.xlsx；复核:7条评论均为点赞、爱心、鲜花等正向表态；母帖内容与本法直接相关，视频号链接已提供但未与截图逐条对应。；证据:监测材料截图 image21；视频号候选链接集合（未与截图逐条对应）；待核实:是</t>
        </is>
      </c>
    </row>
    <row r="93">
      <c r="A93" t="inlineStr">
        <is>
          <t>hist-96dcdd411beecd9d</t>
        </is>
      </c>
      <c r="B93" s="82" t="n">
        <v>46252.9403587963</v>
      </c>
      <c r="C93" s="82" t="n">
        <v>46222.61666666667</v>
      </c>
      <c r="D93" t="inlineStr">
        <is>
          <t>微博</t>
        </is>
      </c>
      <c r="E93" t="inlineStr">
        <is>
          <t>微博/热榜</t>
        </is>
      </c>
      <c r="G93" t="inlineStr">
        <is>
          <t>西北民族大学</t>
        </is>
      </c>
      <c r="H93" t="inlineStr">
        <is>
          <t>赴积石山县“普语促振兴，雅韵凝同心”推广国家通用语言文字社会实践活动</t>
        </is>
      </c>
      <c r="I93" t="inlineStr">
        <is>
          <t>https://weibo.com/2667176841/Rb5Ensoea?refer_flag=1001030103_</t>
        </is>
      </c>
      <c r="J93" t="inlineStr">
        <is>
          <t>积石山保安族东乡族撒拉族自治县</t>
        </is>
      </c>
      <c r="L93" t="inlineStr">
        <is>
          <t>甘肃</t>
        </is>
      </c>
      <c r="O93" t="inlineStr">
        <is>
          <t>普通话</t>
        </is>
      </c>
      <c r="P93" t="inlineStr">
        <is>
          <t>否</t>
        </is>
      </c>
      <c r="Q93" t="inlineStr">
        <is>
          <t>待核实</t>
        </is>
      </c>
      <c r="S93" t="n">
        <v>25</v>
      </c>
      <c r="T93" t="n">
        <v>0</v>
      </c>
      <c r="U93" t="n">
        <v>4</v>
      </c>
      <c r="V93" t="inlineStr">
        <is>
          <t>否</t>
        </is>
      </c>
      <c r="W93" t="inlineStr">
        <is>
          <t>是</t>
        </is>
      </c>
      <c r="X93" t="inlineStr">
        <is>
          <t>历史导入:中华人民共和国民族团结进步促进法_四川甘肃民族地区舆情监测汇总_复核完成.xlsx；复核:截图可见4条评论：3条支持认可，1条“欢迎报考”与法律议题无关；其余5条未展开，不计入；原始链接已补。；证据:监测材料截图 image12、image13；2026-08-05补充核验母帖原始链接；待核实:是</t>
        </is>
      </c>
    </row>
    <row r="94">
      <c r="A94" t="inlineStr">
        <is>
          <t>hist-aff1496f6a02a295</t>
        </is>
      </c>
      <c r="B94" s="82" t="n">
        <v>46252.9403587963</v>
      </c>
      <c r="C94" s="82" t="n">
        <v>46239.71041666667</v>
      </c>
      <c r="D94" t="inlineStr">
        <is>
          <t>微博</t>
        </is>
      </c>
      <c r="E94" t="inlineStr">
        <is>
          <t>微博/热榜</t>
        </is>
      </c>
      <c r="G94" t="inlineStr">
        <is>
          <t>酒泉市融媒体中心</t>
        </is>
      </c>
      <c r="H94" t="inlineStr">
        <is>
          <t>【法治“入场” 团结“出圈”——肃北县以实干“进行时”书写民族团结进步促进法“落地答卷”】</t>
        </is>
      </c>
      <c r="I94" t="inlineStr">
        <is>
          <t>https://weibo.com/7454129088/RajKUxzeN?refer_flag=1001030103_</t>
        </is>
      </c>
      <c r="J94" t="inlineStr">
        <is>
          <t>肃北蒙古族自治县</t>
        </is>
      </c>
      <c r="L94" t="inlineStr">
        <is>
          <t>甘肃</t>
        </is>
      </c>
      <c r="O94" t="inlineStr">
        <is>
          <t>普通话</t>
        </is>
      </c>
      <c r="P94" t="inlineStr">
        <is>
          <t>否</t>
        </is>
      </c>
      <c r="Q94" t="inlineStr">
        <is>
          <t>待核实</t>
        </is>
      </c>
      <c r="S94" t="n">
        <v>4</v>
      </c>
      <c r="T94" t="n">
        <v>0</v>
      </c>
      <c r="U94" t="n">
        <v>2</v>
      </c>
      <c r="V94" t="inlineStr">
        <is>
          <t>否</t>
        </is>
      </c>
      <c r="W94" t="inlineStr">
        <is>
          <t>是</t>
        </is>
      </c>
      <c r="X94" t="inlineStr">
        <is>
          <t>历史导入:中华人民共和国民族团结进步促进法_四川甘肃民族地区舆情监测汇总_复核完成.xlsx；复核:母帖与本法直接相关；可见评论“肃北盐池湾”仅为地点短语，未表达态度，另1条未展开，均不计入公众意见；原始链接已补。；证据:监测材料截图 image16；2026-08-05补充核验母帖原始链接；待核实:是</t>
        </is>
      </c>
    </row>
    <row r="95">
      <c r="A95" t="inlineStr">
        <is>
          <t>hist-8dba5e36dce37594</t>
        </is>
      </c>
      <c r="B95" s="82" t="n">
        <v>46252.9403587963</v>
      </c>
      <c r="C95" s="82" t="n">
        <v>46204.68819444445</v>
      </c>
      <c r="D95" t="inlineStr">
        <is>
          <t>微博</t>
        </is>
      </c>
      <c r="E95" t="inlineStr">
        <is>
          <t>微博/热榜</t>
        </is>
      </c>
      <c r="G95" t="inlineStr">
        <is>
          <t>甘肃法治报</t>
        </is>
      </c>
      <c r="H95" t="inlineStr">
        <is>
          <t>第四届“法润石榴花 幸福千万家”全媒体主题宣传活动暨民族团结进步促进法宣传活动启幕</t>
        </is>
      </c>
      <c r="I95" t="inlineStr">
        <is>
          <t>https://weibo.com/5176230254/Rc00n754x?refer_flag=1001030103_</t>
        </is>
      </c>
      <c r="J95" t="inlineStr">
        <is>
          <t>甘肃省（省级媒体账号）</t>
        </is>
      </c>
      <c r="L95" t="inlineStr">
        <is>
          <t>甘肃</t>
        </is>
      </c>
      <c r="O95" t="inlineStr">
        <is>
          <t>普通话</t>
        </is>
      </c>
      <c r="P95" t="inlineStr">
        <is>
          <t>否</t>
        </is>
      </c>
      <c r="Q95" t="inlineStr">
        <is>
          <t>待核实</t>
        </is>
      </c>
      <c r="S95" t="n">
        <v>21</v>
      </c>
      <c r="T95" t="n">
        <v>0</v>
      </c>
      <c r="U95" t="n">
        <v>3</v>
      </c>
      <c r="V95" t="inlineStr">
        <is>
          <t>否</t>
        </is>
      </c>
      <c r="W95" t="inlineStr">
        <is>
          <t>是</t>
        </is>
      </c>
      <c r="X95" t="inlineStr">
        <is>
          <t>历史导入:中华人民共和国民族团结进步促进法_四川甘肃民族地区舆情监测汇总_复核完成.xlsx；复核:截图可见8条评论，仅2条发表于7月1日且为正向表态；4条支持评论和2条无关评论发表于6月30日，另3条未展示，均不计入；原始链接已补。；证据:监测材料截图 image17、image18；2026-08-05补充核验母帖原始链接；待核实:是</t>
        </is>
      </c>
    </row>
    <row r="96">
      <c r="A96" t="inlineStr">
        <is>
          <t>hist-a646baaf39c4d7dd</t>
        </is>
      </c>
      <c r="B96" s="82" t="n">
        <v>46252.9403587963</v>
      </c>
      <c r="C96" s="82" t="n">
        <v>46207</v>
      </c>
      <c r="D96" t="inlineStr">
        <is>
          <t>快手</t>
        </is>
      </c>
      <c r="E96" t="inlineStr">
        <is>
          <t>快手</t>
        </is>
      </c>
      <c r="G96" t="inlineStr">
        <is>
          <t>放猪老人~迪日尔古</t>
        </is>
      </c>
      <c r="H96" t="inlineStr">
        <is>
          <t>彝语讲解《中华人民共和国民族团结进步促进法》相关内容</t>
        </is>
      </c>
      <c r="I96" t="inlineStr">
        <is>
          <t>https://www.kuaishou.com/f/X61LgJZvnkrW15G</t>
        </is>
      </c>
      <c r="J96" t="inlineStr">
        <is>
          <t>四川省（账号IP属地四川；评论多次涉及凉山，具体发布地待核实）</t>
        </is>
      </c>
      <c r="L96" t="inlineStr">
        <is>
          <t>四川</t>
        </is>
      </c>
      <c r="O96" t="inlineStr">
        <is>
          <t>彝语口播/中文字幕</t>
        </is>
      </c>
      <c r="P96" t="inlineStr">
        <is>
          <t>否</t>
        </is>
      </c>
      <c r="Q96" t="inlineStr">
        <is>
          <t>待核实</t>
        </is>
      </c>
      <c r="S96" t="n">
        <v>0</v>
      </c>
      <c r="T96" t="n">
        <v>0</v>
      </c>
      <c r="U96" t="n">
        <v>0</v>
      </c>
      <c r="V96" t="inlineStr">
        <is>
          <t>否</t>
        </is>
      </c>
      <c r="W96" t="inlineStr">
        <is>
          <t>是</t>
        </is>
      </c>
      <c r="X96" t="inlineStr">
        <is>
          <t>历史导入:中华人民共和国民族团结进步促进法_四川甘肃民族地区舆情监测汇总_复核完成.xlsx；复核:经移动端人工核验，账号IP属地为四川，发布日期为2026-07-04。视频采用彝语口播并配有中文字幕，字幕内容介绍该法的发布、施行及若干关键规定，已通过中文字幕人工核对确认与本法直接相关，非机器翻译。评论总数758条：79条文字评论中77条可明确分类；1条彝文评论经补充核查为无实际语义的无意义评论，1条语义不完整评论不计入；其余679条主要为重复赞同、666等正向评论，按聚合支持计入。；证据:快手原始链接、79条文字评论整理记录及其余679条重复正向评论汇总说明；待核实:是</t>
        </is>
      </c>
    </row>
    <row r="97">
      <c r="A97" t="inlineStr">
        <is>
          <t>hist-180403bed6200627</t>
        </is>
      </c>
      <c r="B97" s="82" t="n">
        <v>46252.9403587963</v>
      </c>
      <c r="C97" s="82" t="n">
        <v>46204</v>
      </c>
      <c r="D97" t="inlineStr">
        <is>
          <t>西藏自治区政府驻沪办网站</t>
        </is>
      </c>
      <c r="E97" t="inlineStr">
        <is>
          <t>其他</t>
        </is>
      </c>
      <c r="F97" t="inlineStr">
        <is>
          <t>中国民族报（西藏自治区政府驻沪办转载）</t>
        </is>
      </c>
      <c r="G97" t="inlineStr">
        <is>
          <t>头条新闻</t>
        </is>
      </c>
      <c r="H97" t="inlineStr">
        <is>
          <t>李瑞芳表示，该法为学校相关教育提供法治保障。</t>
        </is>
      </c>
      <c r="I97" t="inlineStr">
        <is>
          <t>https://shb.xizang.gov.cn/xwzx/ttxw/202607/t20260701_547878.html</t>
        </is>
      </c>
      <c r="J97" t="inlineStr">
        <is>
          <t>沧源佤族自治县</t>
        </is>
      </c>
      <c r="L97" t="inlineStr">
        <is>
          <t>云南</t>
        </is>
      </c>
      <c r="O97" t="inlineStr">
        <is>
          <t>中文</t>
        </is>
      </c>
      <c r="P97" t="inlineStr">
        <is>
          <t>否</t>
        </is>
      </c>
      <c r="Q97" t="inlineStr">
        <is>
          <t>支持认可</t>
        </is>
      </c>
      <c r="R97" t="inlineStr">
        <is>
          <t>学校教育；共同体意识教育</t>
        </is>
      </c>
      <c r="S97" t="n">
        <v>0</v>
      </c>
      <c r="T97" t="n">
        <v>0</v>
      </c>
      <c r="U97" t="n">
        <v>0</v>
      </c>
      <c r="V97" t="inlineStr">
        <is>
          <t>否</t>
        </is>
      </c>
      <c r="W97" t="inlineStr">
        <is>
          <t>是</t>
        </is>
      </c>
      <c r="X97" t="inlineStr">
        <is>
          <t>历史导入:云南东中部民族地区_舆情监测_最终修正版.xlsx；来源类型:媒体报道／个人公开观点</t>
        </is>
      </c>
    </row>
    <row r="98">
      <c r="A98" t="inlineStr">
        <is>
          <t>hist-83fc317c41996ec8</t>
        </is>
      </c>
      <c r="B98" s="82" t="n">
        <v>46252.9403587963</v>
      </c>
      <c r="C98" s="82" t="n">
        <v>46204</v>
      </c>
      <c r="D98" t="inlineStr">
        <is>
          <t>中新网云南</t>
        </is>
      </c>
      <c r="E98" t="inlineStr">
        <is>
          <t>其他</t>
        </is>
      </c>
      <c r="F98" t="inlineStr">
        <is>
          <t>中新网云南</t>
        </is>
      </c>
      <c r="G98" t="inlineStr">
        <is>
          <t>云南新闻</t>
        </is>
      </c>
      <c r="H98" t="inlineStr">
        <is>
          <t>熊文兰表示，基层处理民族事务有了法律依据。</t>
        </is>
      </c>
      <c r="I98" t="inlineStr">
        <is>
          <t>https://www.yn.chinanews.com.cn/news/2026/0701/83307.html</t>
        </is>
      </c>
      <c r="J98" t="inlineStr">
        <is>
          <t>峨山彝族自治县</t>
        </is>
      </c>
      <c r="L98" t="inlineStr">
        <is>
          <t>云南</t>
        </is>
      </c>
      <c r="O98" t="inlineStr">
        <is>
          <t>中文</t>
        </is>
      </c>
      <c r="P98" t="inlineStr">
        <is>
          <t>否</t>
        </is>
      </c>
      <c r="Q98" t="inlineStr">
        <is>
          <t>支持认可</t>
        </is>
      </c>
      <c r="R98" t="inlineStr">
        <is>
          <t>基层治理；矛盾纠纷化解</t>
        </is>
      </c>
      <c r="S98" t="n">
        <v>0</v>
      </c>
      <c r="T98" t="n">
        <v>0</v>
      </c>
      <c r="U98" t="n">
        <v>0</v>
      </c>
      <c r="V98" t="inlineStr">
        <is>
          <t>否</t>
        </is>
      </c>
      <c r="W98" t="inlineStr">
        <is>
          <t>是</t>
        </is>
      </c>
      <c r="X98" t="inlineStr">
        <is>
          <t>历史导入:云南东中部民族地区_舆情监测_最终修正版.xlsx；来源类型:媒体报道／个人公开观点</t>
        </is>
      </c>
    </row>
    <row r="99">
      <c r="A99" t="inlineStr">
        <is>
          <t>hist-9b4b597d1c3ea14d</t>
        </is>
      </c>
      <c r="B99" s="82" t="n">
        <v>46252.9403587963</v>
      </c>
      <c r="C99" s="82" t="n">
        <v>46206</v>
      </c>
      <c r="D99" t="inlineStr">
        <is>
          <t>云南省民族宗教事务委员会网站</t>
        </is>
      </c>
      <c r="E99" t="inlineStr">
        <is>
          <t>其他</t>
        </is>
      </c>
      <c r="F99" t="inlineStr">
        <is>
          <t>云南省民族宗教事务委员会（文山州民委供稿）</t>
        </is>
      </c>
      <c r="G99" t="inlineStr">
        <is>
          <t>地方动态</t>
        </is>
      </c>
      <c r="H99" t="inlineStr">
        <is>
          <t>文山州制定专项工作方案，并将该法纳入专题培训。</t>
        </is>
      </c>
      <c r="I99" t="inlineStr">
        <is>
          <t>https://mzzj.yn.gov.cn/html/2026/difangdongtai_0703/4064409.html</t>
        </is>
      </c>
      <c r="J99" t="inlineStr">
        <is>
          <t>文山壮族苗族自治州</t>
        </is>
      </c>
      <c r="L99" t="inlineStr">
        <is>
          <t>云南</t>
        </is>
      </c>
      <c r="O99" t="inlineStr">
        <is>
          <t>中文</t>
        </is>
      </c>
      <c r="P99" t="inlineStr">
        <is>
          <t>否</t>
        </is>
      </c>
      <c r="Q99" t="inlineStr">
        <is>
          <t>官方政策信息</t>
        </is>
      </c>
      <c r="R99" t="inlineStr">
        <is>
          <t>实施方案；干部培训；学习宣传</t>
        </is>
      </c>
      <c r="S99" t="n">
        <v>0</v>
      </c>
      <c r="T99" t="n">
        <v>0</v>
      </c>
      <c r="U99" t="n">
        <v>0</v>
      </c>
      <c r="V99" t="inlineStr">
        <is>
          <t>否</t>
        </is>
      </c>
      <c r="W99" t="inlineStr">
        <is>
          <t>是</t>
        </is>
      </c>
      <c r="X99" t="inlineStr">
        <is>
          <t>历史导入:云南东中部民族地区_舆情监测_最终修正版.xlsx；来源类型:官方实施信息</t>
        </is>
      </c>
    </row>
    <row r="100">
      <c r="A100" t="inlineStr">
        <is>
          <t>hist-ceaaa1f3f3888b1b</t>
        </is>
      </c>
      <c r="B100" s="82" t="n">
        <v>46252.9403587963</v>
      </c>
      <c r="C100" s="82" t="n">
        <v>46209</v>
      </c>
      <c r="D100" t="inlineStr">
        <is>
          <t>峨山县人民政府网站</t>
        </is>
      </c>
      <c r="E100" t="inlineStr">
        <is>
          <t>省市政务/媒体网站</t>
        </is>
      </c>
      <c r="F100" t="inlineStr">
        <is>
          <t>峨山县小街街道办事处</t>
        </is>
      </c>
      <c r="G100" t="inlineStr">
        <is>
          <t>小街街道工作动态</t>
        </is>
      </c>
      <c r="H100" t="inlineStr">
        <is>
          <t>小街街道组织专题普法，重点解读涉宗教条款。</t>
        </is>
      </c>
      <c r="I100" t="inlineStr">
        <is>
          <t>https://www.yxes.gov.cn/es/esxjjdgzdt7322/20260706/1669928.html</t>
        </is>
      </c>
      <c r="J100" t="inlineStr">
        <is>
          <t>峨山彝族自治县</t>
        </is>
      </c>
      <c r="L100" t="inlineStr">
        <is>
          <t>云南</t>
        </is>
      </c>
      <c r="O100" t="inlineStr">
        <is>
          <t>中文</t>
        </is>
      </c>
      <c r="P100" t="inlineStr">
        <is>
          <t>否</t>
        </is>
      </c>
      <c r="Q100" t="inlineStr">
        <is>
          <t>官方政策信息</t>
        </is>
      </c>
      <c r="R100" t="inlineStr">
        <is>
          <t>基层普法；宗教条款；社区治理</t>
        </is>
      </c>
      <c r="S100" t="n">
        <v>0</v>
      </c>
      <c r="T100" t="n">
        <v>0</v>
      </c>
      <c r="U100" t="n">
        <v>0</v>
      </c>
      <c r="V100" t="inlineStr">
        <is>
          <t>否</t>
        </is>
      </c>
      <c r="W100" t="inlineStr">
        <is>
          <t>是</t>
        </is>
      </c>
      <c r="X100" t="inlineStr">
        <is>
          <t>历史导入:云南东中部民族地区_舆情监测_最终修正版.xlsx；来源类型:官方实施信息</t>
        </is>
      </c>
    </row>
    <row r="101">
      <c r="A101" t="inlineStr">
        <is>
          <t>hist-cd1f2a12af90efe1</t>
        </is>
      </c>
      <c r="B101" s="82" t="n">
        <v>46252.9403587963</v>
      </c>
      <c r="C101" s="82" t="n">
        <v>46223</v>
      </c>
      <c r="D101" t="inlineStr">
        <is>
          <t>云南宣传网</t>
        </is>
      </c>
      <c r="E101" t="inlineStr">
        <is>
          <t>其他</t>
        </is>
      </c>
      <c r="F101" t="inlineStr">
        <is>
          <t>云南日报</t>
        </is>
      </c>
      <c r="G101" t="inlineStr">
        <is>
          <t>理论社科／社科动态</t>
        </is>
      </c>
      <c r="H101" t="inlineStr">
        <is>
          <t>文章称云南制定20项举措，楚雄州另行印发专项方案。</t>
        </is>
      </c>
      <c r="I101" t="inlineStr">
        <is>
          <t>https://www.ynxc.gov.cn/html/2026/shekedongtai_0720/3035760.html</t>
        </is>
      </c>
      <c r="J101" t="inlineStr">
        <is>
          <t>楚雄州；红河州；西双版纳州</t>
        </is>
      </c>
      <c r="L101" t="inlineStr">
        <is>
          <t>云南</t>
        </is>
      </c>
      <c r="O101" t="inlineStr">
        <is>
          <t>中文</t>
        </is>
      </c>
      <c r="P101" t="inlineStr">
        <is>
          <t>否</t>
        </is>
      </c>
      <c r="Q101" t="inlineStr">
        <is>
          <t>官方政策信息</t>
        </is>
      </c>
      <c r="R101" t="inlineStr">
        <is>
          <t>省级工作方案；地方专项方案；宣传教育</t>
        </is>
      </c>
      <c r="S101" t="n">
        <v>0</v>
      </c>
      <c r="T101" t="n">
        <v>0</v>
      </c>
      <c r="U101" t="n">
        <v>0</v>
      </c>
      <c r="V101" t="inlineStr">
        <is>
          <t>否</t>
        </is>
      </c>
      <c r="W101" t="inlineStr">
        <is>
          <t>是</t>
        </is>
      </c>
      <c r="X101" t="inlineStr">
        <is>
          <t>历史导入:云南东中部民族地区_舆情监测_最终修正版.xlsx；来源类型:媒体报道／实施信息汇总</t>
        </is>
      </c>
    </row>
    <row r="102">
      <c r="A102" t="inlineStr">
        <is>
          <t>hist-22d15a5836434916</t>
        </is>
      </c>
      <c r="B102" s="82" t="n">
        <v>46252.9403587963</v>
      </c>
      <c r="C102" s="82" t="n">
        <v>46223</v>
      </c>
      <c r="D102" t="inlineStr">
        <is>
          <t>红河州人民政府网站</t>
        </is>
      </c>
      <c r="E102" t="inlineStr">
        <is>
          <t>省市政务/媒体网站</t>
        </is>
      </c>
      <c r="F102" t="inlineStr">
        <is>
          <t>元阳县有关部门（红河州政府转载）</t>
        </is>
      </c>
      <c r="G102" t="inlineStr">
        <is>
          <t>县市动态</t>
        </is>
      </c>
      <c r="H102" t="inlineStr">
        <is>
          <t>元阳县民宗、统战、司法、法院等部门开展学习贯彻。</t>
        </is>
      </c>
      <c r="I102" t="inlineStr">
        <is>
          <t>https://www.hh.gov.cn/info/10491/1274342.htm</t>
        </is>
      </c>
      <c r="J102" t="inlineStr">
        <is>
          <t>红河哈尼族彝族自治州（元阳县）</t>
        </is>
      </c>
      <c r="L102" t="inlineStr">
        <is>
          <t>云南</t>
        </is>
      </c>
      <c r="O102" t="inlineStr">
        <is>
          <t>中文</t>
        </is>
      </c>
      <c r="P102" t="inlineStr">
        <is>
          <t>否</t>
        </is>
      </c>
      <c r="Q102" t="inlineStr">
        <is>
          <t>官方政策信息</t>
        </is>
      </c>
      <c r="R102" t="inlineStr">
        <is>
          <t>部门协同；普法宣传；基层法治</t>
        </is>
      </c>
      <c r="S102" t="n">
        <v>0</v>
      </c>
      <c r="T102" t="n">
        <v>0</v>
      </c>
      <c r="U102" t="n">
        <v>0</v>
      </c>
      <c r="V102" t="inlineStr">
        <is>
          <t>否</t>
        </is>
      </c>
      <c r="W102" t="inlineStr">
        <is>
          <t>是</t>
        </is>
      </c>
      <c r="X102" t="inlineStr">
        <is>
          <t>历史导入:云南东中部民族地区_舆情监测_最终修正版.xlsx；来源类型:官方实施信息</t>
        </is>
      </c>
    </row>
    <row r="103">
      <c r="A103" t="inlineStr">
        <is>
          <t>hist-5a6995b803727fdf</t>
        </is>
      </c>
      <c r="B103" s="82" t="n">
        <v>46252.9403587963</v>
      </c>
      <c r="C103" s="82" t="n">
        <v>46216</v>
      </c>
      <c r="D103" t="inlineStr">
        <is>
          <t>新浪财经／微信公众号转载</t>
        </is>
      </c>
      <c r="E103" t="inlineStr">
        <is>
          <t>微信公众号/视频号</t>
        </is>
      </c>
      <c r="F103" t="inlineStr">
        <is>
          <t>云南省妇联等（新浪转载微信公众号内容）</t>
        </is>
      </c>
      <c r="G103" t="inlineStr">
        <is>
          <t>政务新媒体转载</t>
        </is>
      </c>
      <c r="H103" t="inlineStr">
        <is>
          <t>活动要求学习法律、主动开展群众性普法宣传。</t>
        </is>
      </c>
      <c r="I103" t="inlineStr">
        <is>
          <t>https://finance.sina.com.cn/wm/2026-07-13/doc-inihscma8968285.shtml?froms=ggmp</t>
        </is>
      </c>
      <c r="J103" t="inlineStr">
        <is>
          <t>沧源佤族自治县（代表参与）</t>
        </is>
      </c>
      <c r="L103" t="inlineStr">
        <is>
          <t>云南</t>
        </is>
      </c>
      <c r="O103" t="inlineStr">
        <is>
          <t>中文</t>
        </is>
      </c>
      <c r="P103" t="inlineStr">
        <is>
          <t>否</t>
        </is>
      </c>
      <c r="Q103" t="inlineStr">
        <is>
          <t>官方政策信息</t>
        </is>
      </c>
      <c r="R103" t="inlineStr">
        <is>
          <t>群团组织；群众宣传；主题活动</t>
        </is>
      </c>
      <c r="S103" t="n">
        <v>0</v>
      </c>
      <c r="T103" t="n">
        <v>0</v>
      </c>
      <c r="U103" t="n">
        <v>0</v>
      </c>
      <c r="V103" t="inlineStr">
        <is>
          <t>否</t>
        </is>
      </c>
      <c r="W103" t="inlineStr">
        <is>
          <t>是</t>
        </is>
      </c>
      <c r="X103" t="inlineStr">
        <is>
          <t>历史导入:云南东中部民族地区_舆情监测_最终修正版.xlsx；来源类型:官方活动信息</t>
        </is>
      </c>
    </row>
    <row r="104">
      <c r="A104" t="inlineStr">
        <is>
          <t>hist-69b3c6c8222db84b</t>
        </is>
      </c>
      <c r="B104" s="82" t="n">
        <v>46252.9403587963</v>
      </c>
      <c r="C104" s="82" t="n">
        <v>46226</v>
      </c>
      <c r="D104" t="inlineStr">
        <is>
          <t>搜狐</t>
        </is>
      </c>
      <c r="E104" t="inlineStr">
        <is>
          <t>其他</t>
        </is>
      </c>
      <c r="F104" t="inlineStr">
        <is>
          <t>文山州文化馆（搜狐号转载）</t>
        </is>
      </c>
      <c r="G104" t="inlineStr">
        <is>
          <t>云贵高原生活指南</t>
        </is>
      </c>
      <c r="H104" t="inlineStr">
        <is>
          <t>文章以图解形式介绍法律重点内容。</t>
        </is>
      </c>
      <c r="I104" t="inlineStr">
        <is>
          <t>https://www.sohu.com/a/1053849380_121106902</t>
        </is>
      </c>
      <c r="J104" t="inlineStr">
        <is>
          <t>文山壮族苗族自治州</t>
        </is>
      </c>
      <c r="L104" t="inlineStr">
        <is>
          <t>云南</t>
        </is>
      </c>
      <c r="O104" t="inlineStr">
        <is>
          <t>中文</t>
        </is>
      </c>
      <c r="P104" t="inlineStr">
        <is>
          <t>否</t>
        </is>
      </c>
      <c r="Q104" t="inlineStr">
        <is>
          <t>中性信息</t>
        </is>
      </c>
      <c r="R104" t="inlineStr">
        <is>
          <t>一图读懂；网络普法；公共文化机构</t>
        </is>
      </c>
      <c r="S104" t="n">
        <v>0</v>
      </c>
      <c r="T104" t="n">
        <v>0</v>
      </c>
      <c r="U104" t="n">
        <v>0</v>
      </c>
      <c r="V104" t="inlineStr">
        <is>
          <t>否</t>
        </is>
      </c>
      <c r="W104" t="inlineStr">
        <is>
          <t>是</t>
        </is>
      </c>
      <c r="X104" t="inlineStr">
        <is>
          <t>历史导入:云南东中部民族地区_舆情监测_最终修正版.xlsx；来源类型:公共文化机构转载</t>
        </is>
      </c>
    </row>
    <row r="105">
      <c r="A105" t="inlineStr">
        <is>
          <t>hist-4ca5a548a8356452</t>
        </is>
      </c>
      <c r="B105" s="82" t="n">
        <v>46252.9403587963</v>
      </c>
      <c r="C105" s="82" t="n">
        <v>46230</v>
      </c>
      <c r="D105" t="inlineStr">
        <is>
          <t>国家民族事务委员会网站</t>
        </is>
      </c>
      <c r="E105" t="inlineStr">
        <is>
          <t>其他</t>
        </is>
      </c>
      <c r="F105" t="inlineStr">
        <is>
          <t>云南省民委、云南民族时报</t>
        </is>
      </c>
      <c r="G105" t="inlineStr">
        <is>
          <t>地方动态</t>
        </is>
      </c>
      <c r="H105" t="inlineStr">
        <is>
          <t>楚雄州宣讲直达10个县市，并部署普法“十进”等工作。</t>
        </is>
      </c>
      <c r="I105" t="inlineStr">
        <is>
          <t>https://www.neac.gov.cn/seac/xwzx/202607/1193046.shtml</t>
        </is>
      </c>
      <c r="J105" t="inlineStr">
        <is>
          <t>楚雄彝族自治州</t>
        </is>
      </c>
      <c r="L105" t="inlineStr">
        <is>
          <t>云南</t>
        </is>
      </c>
      <c r="O105" t="inlineStr">
        <is>
          <t>中文</t>
        </is>
      </c>
      <c r="P105" t="inlineStr">
        <is>
          <t>否</t>
        </is>
      </c>
      <c r="Q105" t="inlineStr">
        <is>
          <t>官方政策信息</t>
        </is>
      </c>
      <c r="R105" t="inlineStr">
        <is>
          <t>示范宣讲；普法十进；干部教育</t>
        </is>
      </c>
      <c r="S105" t="n">
        <v>0</v>
      </c>
      <c r="T105" t="n">
        <v>0</v>
      </c>
      <c r="U105" t="n">
        <v>0</v>
      </c>
      <c r="V105" t="inlineStr">
        <is>
          <t>否</t>
        </is>
      </c>
      <c r="W105" t="inlineStr">
        <is>
          <t>是</t>
        </is>
      </c>
      <c r="X105" t="inlineStr">
        <is>
          <t>历史导入:云南东中部民族地区_舆情监测_最终修正版.xlsx；来源类型:官方实施信息</t>
        </is>
      </c>
    </row>
    <row r="106">
      <c r="A106" t="inlineStr">
        <is>
          <t>hist-34f0579a6e691696</t>
        </is>
      </c>
      <c r="B106" s="82" t="n">
        <v>46252.9403587963</v>
      </c>
      <c r="C106" s="82" t="n">
        <v>46230</v>
      </c>
      <c r="D106" t="inlineStr">
        <is>
          <t>云南人大网</t>
        </is>
      </c>
      <c r="E106" t="inlineStr">
        <is>
          <t>其他</t>
        </is>
      </c>
      <c r="F106" t="inlineStr">
        <is>
          <t>云南人大网</t>
        </is>
      </c>
      <c r="G106" t="inlineStr">
        <is>
          <t>代表风采</t>
        </is>
      </c>
      <c r="H106" t="inlineStr">
        <is>
          <t>沧源县人大代表肖芳围绕兴边富民、稳边固边条款谈落实。</t>
        </is>
      </c>
      <c r="I106" t="inlineStr">
        <is>
          <t>https://www.ynrd.gov.cn/html/2026/daibiaofengcai_0727/4046707.html?show=2025new</t>
        </is>
      </c>
      <c r="J106" t="inlineStr">
        <is>
          <t>沧源佤族自治县</t>
        </is>
      </c>
      <c r="L106" t="inlineStr">
        <is>
          <t>云南</t>
        </is>
      </c>
      <c r="O106" t="inlineStr">
        <is>
          <t>中文</t>
        </is>
      </c>
      <c r="P106" t="inlineStr">
        <is>
          <t>否</t>
        </is>
      </c>
      <c r="Q106" t="inlineStr">
        <is>
          <t>支持认可</t>
        </is>
      </c>
      <c r="R106" t="inlineStr">
        <is>
          <t>兴边富民；稳边固边；代表履职</t>
        </is>
      </c>
      <c r="S106" t="n">
        <v>0</v>
      </c>
      <c r="T106" t="n">
        <v>0</v>
      </c>
      <c r="U106" t="n">
        <v>0</v>
      </c>
      <c r="V106" t="inlineStr">
        <is>
          <t>否</t>
        </is>
      </c>
      <c r="W106" t="inlineStr">
        <is>
          <t>是</t>
        </is>
      </c>
      <c r="X106" t="inlineStr">
        <is>
          <t>历史导入:云南东中部民族地区_舆情监测_最终修正版.xlsx；来源类型:媒体报道／人大代表观点</t>
        </is>
      </c>
    </row>
    <row r="107">
      <c r="A107" t="inlineStr">
        <is>
          <t>hist-48e6def4eb390eea</t>
        </is>
      </c>
      <c r="B107" s="82" t="n">
        <v>46252.9403587963</v>
      </c>
      <c r="C107" s="82" t="n">
        <v>46231</v>
      </c>
      <c r="D107" t="inlineStr">
        <is>
          <t>云南宣传网</t>
        </is>
      </c>
      <c r="E107" t="inlineStr">
        <is>
          <t>其他</t>
        </is>
      </c>
      <c r="F107" t="inlineStr">
        <is>
          <t>云南发布</t>
        </is>
      </c>
      <c r="G107" t="inlineStr">
        <is>
          <t>焦点／新闻发布会实录</t>
        </is>
      </c>
      <c r="H107" t="inlineStr">
        <is>
          <t>云南已制定贯彻方案、开展150余期培训并计划制作民族语言普法产品。</t>
        </is>
      </c>
      <c r="I107" t="inlineStr">
        <is>
          <t>https://www.ynxc.gov.cn/html/2026/focus_0728/3036137.html</t>
        </is>
      </c>
      <c r="J107" t="inlineStr">
        <is>
          <t>云南全省（覆盖本人分工地区）</t>
        </is>
      </c>
      <c r="L107" t="inlineStr">
        <is>
          <t>云南</t>
        </is>
      </c>
      <c r="O107" t="inlineStr">
        <is>
          <t>中文</t>
        </is>
      </c>
      <c r="P107" t="inlineStr">
        <is>
          <t>否</t>
        </is>
      </c>
      <c r="Q107" t="inlineStr">
        <is>
          <t>官方政策信息</t>
        </is>
      </c>
      <c r="R107" t="inlineStr">
        <is>
          <t>省级实施；专题培训；民族语言普法；配套法规</t>
        </is>
      </c>
      <c r="S107" t="n">
        <v>0</v>
      </c>
      <c r="T107" t="n">
        <v>0</v>
      </c>
      <c r="U107" t="n">
        <v>0</v>
      </c>
      <c r="V107" t="inlineStr">
        <is>
          <t>否</t>
        </is>
      </c>
      <c r="W107" t="inlineStr">
        <is>
          <t>是</t>
        </is>
      </c>
      <c r="X107" t="inlineStr">
        <is>
          <t>历史导入:云南东中部民族地区_舆情监测_最终修正版.xlsx；来源类型:官方政策信息</t>
        </is>
      </c>
    </row>
    <row r="108">
      <c r="A108" t="inlineStr">
        <is>
          <t>hist-92ab15daead29ef8</t>
        </is>
      </c>
      <c r="B108" s="82" t="n">
        <v>46252.9403587963</v>
      </c>
      <c r="C108" s="82" t="n">
        <v>46232</v>
      </c>
      <c r="D108" t="inlineStr">
        <is>
          <t>国家民族事务委员会网站</t>
        </is>
      </c>
      <c r="E108" t="inlineStr">
        <is>
          <t>其他</t>
        </is>
      </c>
      <c r="F108" t="inlineStr">
        <is>
          <t>中国人大</t>
        </is>
      </c>
      <c r="G108" t="inlineStr">
        <is>
          <t>地方动态</t>
        </is>
      </c>
      <c r="H108" t="inlineStr">
        <is>
          <t>云南对标该法集中清理现行单行条例，推动法制统一。</t>
        </is>
      </c>
      <c r="I108" t="inlineStr">
        <is>
          <t>https://www.neac.gov.cn/seac/xwzx/202607/1193171.shtml</t>
        </is>
      </c>
      <c r="J108" t="inlineStr">
        <is>
          <t>云南全省；涉及楚雄、文山、西双版纳、石林等</t>
        </is>
      </c>
      <c r="L108" t="inlineStr">
        <is>
          <t>云南</t>
        </is>
      </c>
      <c r="O108" t="inlineStr">
        <is>
          <t>中文</t>
        </is>
      </c>
      <c r="P108" t="inlineStr">
        <is>
          <t>否</t>
        </is>
      </c>
      <c r="Q108" t="inlineStr">
        <is>
          <t>官方政策信息</t>
        </is>
      </c>
      <c r="R108" t="inlineStr">
        <is>
          <t>法规清理；人大监督；基层联系点</t>
        </is>
      </c>
      <c r="S108" t="n">
        <v>0</v>
      </c>
      <c r="T108" t="n">
        <v>0</v>
      </c>
      <c r="U108" t="n">
        <v>0</v>
      </c>
      <c r="V108" t="inlineStr">
        <is>
          <t>否</t>
        </is>
      </c>
      <c r="W108" t="inlineStr">
        <is>
          <t>是</t>
        </is>
      </c>
      <c r="X108" t="inlineStr">
        <is>
          <t>历史导入:云南东中部民族地区_舆情监测_最终修正版.xlsx；来源类型:官方实施／媒体报道</t>
        </is>
      </c>
    </row>
    <row r="109">
      <c r="A109" t="inlineStr">
        <is>
          <t>hist-950085f04d4b1fb1</t>
        </is>
      </c>
      <c r="B109" s="82" t="n">
        <v>46252.9403587963</v>
      </c>
      <c r="C109" s="82" t="n">
        <v>46233</v>
      </c>
      <c r="D109" t="inlineStr">
        <is>
          <t>红河州人民政府网站</t>
        </is>
      </c>
      <c r="E109" t="inlineStr">
        <is>
          <t>省市政务/媒体网站</t>
        </is>
      </c>
      <c r="F109" t="inlineStr">
        <is>
          <t>红河日报</t>
        </is>
      </c>
      <c r="G109" t="inlineStr">
        <is>
          <t>政务动态</t>
        </is>
      </c>
      <c r="H109" t="inlineStr">
        <is>
          <t>红河州将该法纳入干部教育培训并推动普法进入边境村寨等场景。</t>
        </is>
      </c>
      <c r="I109" t="inlineStr">
        <is>
          <t>https://www.hh.gov.cn/info/195822/1275862.htm</t>
        </is>
      </c>
      <c r="J109" t="inlineStr">
        <is>
          <t>红河哈尼族彝族自治州</t>
        </is>
      </c>
      <c r="L109" t="inlineStr">
        <is>
          <t>云南</t>
        </is>
      </c>
      <c r="O109" t="inlineStr">
        <is>
          <t>中文</t>
        </is>
      </c>
      <c r="P109" t="inlineStr">
        <is>
          <t>否</t>
        </is>
      </c>
      <c r="Q109" t="inlineStr">
        <is>
          <t>官方政策信息</t>
        </is>
      </c>
      <c r="R109" t="inlineStr">
        <is>
          <t>示范宣讲；干部培训；边境普法</t>
        </is>
      </c>
      <c r="S109" t="n">
        <v>0</v>
      </c>
      <c r="T109" t="n">
        <v>0</v>
      </c>
      <c r="U109" t="n">
        <v>0</v>
      </c>
      <c r="V109" t="inlineStr">
        <is>
          <t>否</t>
        </is>
      </c>
      <c r="W109" t="inlineStr">
        <is>
          <t>是</t>
        </is>
      </c>
      <c r="X109" t="inlineStr">
        <is>
          <t>历史导入:云南东中部民族地区_舆情监测_最终修正版.xlsx；来源类型:官方实施信息</t>
        </is>
      </c>
    </row>
    <row r="110">
      <c r="A110" t="inlineStr">
        <is>
          <t>hist-ccaf79cfc4967691</t>
        </is>
      </c>
      <c r="B110" s="82" t="n">
        <v>46252.9403587963</v>
      </c>
      <c r="C110" s="82" t="n">
        <v>46226</v>
      </c>
      <c r="D110" t="inlineStr">
        <is>
          <t>微信公众号：楚雄发布</t>
        </is>
      </c>
      <c r="E110" t="inlineStr">
        <is>
          <t>微信公众号/视频号</t>
        </is>
      </c>
      <c r="F110" t="inlineStr">
        <is>
          <t>楚雄州融媒体中心／楚雄发布</t>
        </is>
      </c>
      <c r="G110" t="inlineStr">
        <is>
          <t>楚雄发布</t>
        </is>
      </c>
      <c r="H110" t="inlineStr">
        <is>
          <t>文章明确报道7月22日示范宣讲团走进楚雄州，并部署线上线下普法“十进”。</t>
        </is>
      </c>
      <c r="I110" t="inlineStr">
        <is>
          <t>https://mp.weixin.qq.com/s/rjvhuYTkjGL1WAalM_Khdg</t>
        </is>
      </c>
      <c r="J110" t="inlineStr">
        <is>
          <t>楚雄彝族自治州</t>
        </is>
      </c>
      <c r="L110" t="inlineStr">
        <is>
          <t>云南</t>
        </is>
      </c>
      <c r="O110" t="inlineStr">
        <is>
          <t>中文</t>
        </is>
      </c>
      <c r="P110" t="inlineStr">
        <is>
          <t>否</t>
        </is>
      </c>
      <c r="Q110" t="inlineStr">
        <is>
          <t>官方政策信息</t>
        </is>
      </c>
      <c r="R110" t="inlineStr">
        <is>
          <t>示范宣讲；普法十进；干部学习；州县联动</t>
        </is>
      </c>
      <c r="S110" t="n">
        <v>0</v>
      </c>
      <c r="T110" t="n">
        <v>0</v>
      </c>
      <c r="U110" t="n">
        <v>0</v>
      </c>
      <c r="V110" t="inlineStr">
        <is>
          <t>否</t>
        </is>
      </c>
      <c r="W110" t="inlineStr">
        <is>
          <t>是</t>
        </is>
      </c>
      <c r="X110" t="inlineStr">
        <is>
          <t>历史导入:云南东中部民族地区_舆情监测_最终修正版.xlsx；来源类型:官方实施信息</t>
        </is>
      </c>
    </row>
    <row r="111">
      <c r="A111" t="inlineStr">
        <is>
          <t>hist-d640181bbf99f853</t>
        </is>
      </c>
      <c r="B111" s="82" t="n">
        <v>46252.9403587963</v>
      </c>
      <c r="C111" s="82" t="n">
        <v>46234</v>
      </c>
      <c r="D111" t="inlineStr">
        <is>
          <t>微信公众号：文山发布</t>
        </is>
      </c>
      <c r="E111" t="inlineStr">
        <is>
          <t>微信公众号/视频号</t>
        </is>
      </c>
      <c r="F111" t="inlineStr">
        <is>
          <t>文山发布</t>
        </is>
      </c>
      <c r="G111" t="inlineStr">
        <is>
          <t>文山发布</t>
        </is>
      </c>
      <c r="H111" t="inlineStr">
        <is>
          <t>文章明确说明该法自7月1日起施行，并以短视频形式介绍法律。</t>
        </is>
      </c>
      <c r="I111" t="inlineStr">
        <is>
          <t>https://mp.weixin.qq.com/s/Ln_MjF0kzEB28LkYwuWJuQ</t>
        </is>
      </c>
      <c r="J111" t="inlineStr">
        <is>
          <t>文山壮族苗族自治州</t>
        </is>
      </c>
      <c r="L111" t="inlineStr">
        <is>
          <t>云南</t>
        </is>
      </c>
      <c r="O111" t="inlineStr">
        <is>
          <t>中文</t>
        </is>
      </c>
      <c r="P111" t="inlineStr">
        <is>
          <t>否</t>
        </is>
      </c>
      <c r="Q111" t="inlineStr">
        <is>
          <t>官方政策信息</t>
        </is>
      </c>
      <c r="R111" t="inlineStr">
        <is>
          <t>短视频普法；法律解读；新媒体传播</t>
        </is>
      </c>
      <c r="S111" t="n">
        <v>0</v>
      </c>
      <c r="T111" t="n">
        <v>0</v>
      </c>
      <c r="U111" t="n">
        <v>0</v>
      </c>
      <c r="V111" t="inlineStr">
        <is>
          <t>否</t>
        </is>
      </c>
      <c r="W111" t="inlineStr">
        <is>
          <t>是</t>
        </is>
      </c>
      <c r="X111" t="inlineStr">
        <is>
          <t>历史导入:云南东中部民族地区_舆情监测_最终修正版.xlsx；来源类型:官方新媒体普法</t>
        </is>
      </c>
    </row>
    <row r="112">
      <c r="A112" t="inlineStr">
        <is>
          <t>hist-00becfc54f147401</t>
        </is>
      </c>
      <c r="B112" s="82" t="n">
        <v>46252.9403587963</v>
      </c>
      <c r="C112" s="82" t="n">
        <v>46231</v>
      </c>
      <c r="D112" t="inlineStr">
        <is>
          <t>微信公众号：文山发布</t>
        </is>
      </c>
      <c r="E112" t="inlineStr">
        <is>
          <t>微信公众号/视频号</t>
        </is>
      </c>
      <c r="F112" t="inlineStr">
        <is>
          <t>文山发布</t>
        </is>
      </c>
      <c r="G112" t="inlineStr">
        <is>
          <t>文山发布</t>
        </is>
      </c>
      <c r="H112" t="inlineStr">
        <is>
          <t>7月28日，国家民委宣讲团在文山开展示范宣讲。</t>
        </is>
      </c>
      <c r="I112" t="inlineStr">
        <is>
          <t>https://mp.weixin.qq.com/s/eiK-qw_JIC9ZK36k0vWw-A</t>
        </is>
      </c>
      <c r="J112" t="inlineStr">
        <is>
          <t>文山壮族苗族自治州</t>
        </is>
      </c>
      <c r="L112" t="inlineStr">
        <is>
          <t>云南</t>
        </is>
      </c>
      <c r="O112" t="inlineStr">
        <is>
          <t>中文</t>
        </is>
      </c>
      <c r="P112" t="inlineStr">
        <is>
          <t>否</t>
        </is>
      </c>
      <c r="Q112" t="inlineStr">
        <is>
          <t>官方政策信息</t>
        </is>
      </c>
      <c r="R112" t="inlineStr">
        <is>
          <t>示范宣讲；干部学习；文山大讲堂</t>
        </is>
      </c>
      <c r="S112" t="n">
        <v>0</v>
      </c>
      <c r="T112" t="n">
        <v>0</v>
      </c>
      <c r="U112" t="n">
        <v>0</v>
      </c>
      <c r="V112" t="inlineStr">
        <is>
          <t>否</t>
        </is>
      </c>
      <c r="W112" t="inlineStr">
        <is>
          <t>是</t>
        </is>
      </c>
      <c r="X112" t="inlineStr">
        <is>
          <t>历史导入:云南东中部民族地区_舆情监测_最终修正版.xlsx；来源类型:官方实施信息</t>
        </is>
      </c>
    </row>
    <row r="113">
      <c r="A113" t="inlineStr">
        <is>
          <t>hist-4b55433c05ecab21</t>
        </is>
      </c>
      <c r="B113" s="82" t="n">
        <v>46252.9403587963</v>
      </c>
      <c r="C113" s="82" t="n">
        <v>46232</v>
      </c>
      <c r="D113" t="inlineStr">
        <is>
          <t>微信公众号：文山民族团结进步示范创建</t>
        </is>
      </c>
      <c r="E113" t="inlineStr">
        <is>
          <t>微信公众号/视频号</t>
        </is>
      </c>
      <c r="F113" t="inlineStr">
        <is>
          <t>文山民族团结进步示范创建</t>
        </is>
      </c>
      <c r="G113" t="inlineStr">
        <is>
          <t>文山民族团结进步示范创建</t>
        </is>
      </c>
      <c r="H113" t="inlineStr">
        <is>
          <t>7月26日，麻栗坡县开展法律学习宣传和国家通用语言文字推广活动。</t>
        </is>
      </c>
      <c r="I113" t="inlineStr">
        <is>
          <t>https://mp.weixin.qq.com/s/LsNpcKSvh_TQi85RILfrcQ</t>
        </is>
      </c>
      <c r="J113" t="inlineStr">
        <is>
          <t>麻栗坡县（文山州）</t>
        </is>
      </c>
      <c r="L113" t="inlineStr">
        <is>
          <t>云南</t>
        </is>
      </c>
      <c r="O113" t="inlineStr">
        <is>
          <t>中文</t>
        </is>
      </c>
      <c r="P113" t="inlineStr">
        <is>
          <t>否</t>
        </is>
      </c>
      <c r="Q113" t="inlineStr">
        <is>
          <t>官方政策信息</t>
        </is>
      </c>
      <c r="R113" t="inlineStr">
        <is>
          <t>县级普法；国家通用语言文字；文化宣传</t>
        </is>
      </c>
      <c r="S113" t="n">
        <v>0</v>
      </c>
      <c r="T113" t="n">
        <v>0</v>
      </c>
      <c r="U113" t="n">
        <v>0</v>
      </c>
      <c r="V113" t="inlineStr">
        <is>
          <t>否</t>
        </is>
      </c>
      <c r="W113" t="inlineStr">
        <is>
          <t>是</t>
        </is>
      </c>
      <c r="X113" t="inlineStr">
        <is>
          <t>历史导入:云南东中部民族地区_舆情监测_最终修正版.xlsx；来源类型:官方实施信息</t>
        </is>
      </c>
    </row>
    <row r="114">
      <c r="A114" t="inlineStr">
        <is>
          <t>hist-fea90c6e3472acf1</t>
        </is>
      </c>
      <c r="B114" s="82" t="n">
        <v>46252.9403587963</v>
      </c>
      <c r="C114" s="82" t="n">
        <v>46237</v>
      </c>
      <c r="D114" t="inlineStr">
        <is>
          <t>微信公众号：文山民族团结进步示范创建</t>
        </is>
      </c>
      <c r="E114" t="inlineStr">
        <is>
          <t>微信公众号/视频号</t>
        </is>
      </c>
      <c r="F114" t="inlineStr">
        <is>
          <t>文山民族团结进步示范创建</t>
        </is>
      </c>
      <c r="G114" t="inlineStr">
        <is>
          <t>文山民族团结进步示范创建</t>
        </is>
      </c>
      <c r="H114" t="inlineStr">
        <is>
          <t>7月31日，文山州社科系统开展该法专题学习并赴砚山县调研。</t>
        </is>
      </c>
      <c r="I114" t="inlineStr">
        <is>
          <t>https://mp.weixin.qq.com/s/yjNvqY6ZlpALoGCigbT0uA</t>
        </is>
      </c>
      <c r="J114" t="inlineStr">
        <is>
          <t>文山壮族苗族自治州（砚山县调研）</t>
        </is>
      </c>
      <c r="L114" t="inlineStr">
        <is>
          <t>云南</t>
        </is>
      </c>
      <c r="O114" t="inlineStr">
        <is>
          <t>中文</t>
        </is>
      </c>
      <c r="P114" t="inlineStr">
        <is>
          <t>否</t>
        </is>
      </c>
      <c r="Q114" t="inlineStr">
        <is>
          <t>官方政策信息</t>
        </is>
      </c>
      <c r="R114" t="inlineStr">
        <is>
          <t>社科系统；专题学习；实地调研</t>
        </is>
      </c>
      <c r="S114" t="n">
        <v>0</v>
      </c>
      <c r="T114" t="n">
        <v>0</v>
      </c>
      <c r="U114" t="n">
        <v>0</v>
      </c>
      <c r="V114" t="inlineStr">
        <is>
          <t>否</t>
        </is>
      </c>
      <c r="W114" t="inlineStr">
        <is>
          <t>是</t>
        </is>
      </c>
      <c r="X114" t="inlineStr">
        <is>
          <t>历史导入:云南东中部民族地区_舆情监测_最终修正版.xlsx；来源类型:官方实施信息</t>
        </is>
      </c>
    </row>
    <row r="115">
      <c r="A115" t="inlineStr">
        <is>
          <t>hist-7bf0a105e74d7d3c</t>
        </is>
      </c>
      <c r="B115" s="82" t="n">
        <v>46252.9403587963</v>
      </c>
      <c r="C115" s="82" t="n">
        <v>46216</v>
      </c>
      <c r="D115" t="inlineStr">
        <is>
          <t>微信公众号：西双版纳民族团结进步创建</t>
        </is>
      </c>
      <c r="E115" t="inlineStr">
        <is>
          <t>微信公众号/视频号</t>
        </is>
      </c>
      <c r="F115" t="inlineStr">
        <is>
          <t>西双版纳民族团结进步创建</t>
        </is>
      </c>
      <c r="G115" t="inlineStr">
        <is>
          <t>西双版纳民族团结进步创建</t>
        </is>
      </c>
      <c r="H115" t="inlineStr">
        <is>
          <t>帮扶走访活动中围绕《中华人民共和国民族团结进步促进法》开展普法宣讲。</t>
        </is>
      </c>
      <c r="I115" t="inlineStr">
        <is>
          <t>https://mp.weixin.qq.com/s/8bAL3xFYgfw2SddqZ9Svpg</t>
        </is>
      </c>
      <c r="J115" t="inlineStr">
        <is>
          <t>景洪市（西双版纳州）</t>
        </is>
      </c>
      <c r="L115" t="inlineStr">
        <is>
          <t>云南</t>
        </is>
      </c>
      <c r="O115" t="inlineStr">
        <is>
          <t>中文</t>
        </is>
      </c>
      <c r="P115" t="inlineStr">
        <is>
          <t>否</t>
        </is>
      </c>
      <c r="Q115" t="inlineStr">
        <is>
          <t>官方政策信息</t>
        </is>
      </c>
      <c r="R115" t="inlineStr">
        <is>
          <t>基层帮扶；普法宣讲；乡村振兴</t>
        </is>
      </c>
      <c r="S115" t="n">
        <v>0</v>
      </c>
      <c r="T115" t="n">
        <v>0</v>
      </c>
      <c r="U115" t="n">
        <v>0</v>
      </c>
      <c r="V115" t="inlineStr">
        <is>
          <t>否</t>
        </is>
      </c>
      <c r="W115" t="inlineStr">
        <is>
          <t>是</t>
        </is>
      </c>
      <c r="X115" t="inlineStr">
        <is>
          <t>历史导入:云南东中部民族地区_舆情监测_最终修正版.xlsx；来源类型:官方实施信息</t>
        </is>
      </c>
    </row>
    <row r="116">
      <c r="A116" t="inlineStr">
        <is>
          <t>hist-eef6bdcf0fd2cfa5</t>
        </is>
      </c>
      <c r="B116" s="82" t="n">
        <v>46252.9403587963</v>
      </c>
      <c r="C116" s="82" t="n">
        <v>46212</v>
      </c>
      <c r="D116" t="inlineStr">
        <is>
          <t>微信公众号：沧源融媒</t>
        </is>
      </c>
      <c r="E116" t="inlineStr">
        <is>
          <t>微信公众号/视频号</t>
        </is>
      </c>
      <c r="F116" t="inlineStr">
        <is>
          <t>沧源融媒</t>
        </is>
      </c>
      <c r="G116" t="inlineStr">
        <is>
          <t>沧源融媒</t>
        </is>
      </c>
      <c r="H116" t="inlineStr">
        <is>
          <t>地方融媒体发布法律全文及章节目录。</t>
        </is>
      </c>
      <c r="I116" t="inlineStr">
        <is>
          <t>https://mp.weixin.qq.com/s/8M0yNdGF5ZFBoW9cNFvxTQ</t>
        </is>
      </c>
      <c r="J116" t="inlineStr">
        <is>
          <t>沧源佤族自治县</t>
        </is>
      </c>
      <c r="L116" t="inlineStr">
        <is>
          <t>云南</t>
        </is>
      </c>
      <c r="O116" t="inlineStr">
        <is>
          <t>中文</t>
        </is>
      </c>
      <c r="P116" t="inlineStr">
        <is>
          <t>否</t>
        </is>
      </c>
      <c r="Q116" t="inlineStr">
        <is>
          <t>中性信息</t>
        </is>
      </c>
      <c r="R116" t="inlineStr">
        <is>
          <t>法律全文；网络普法；地方融媒体</t>
        </is>
      </c>
      <c r="S116" t="n">
        <v>0</v>
      </c>
      <c r="T116" t="n">
        <v>0</v>
      </c>
      <c r="U116" t="n">
        <v>0</v>
      </c>
      <c r="V116" t="inlineStr">
        <is>
          <t>否</t>
        </is>
      </c>
      <c r="W116" t="inlineStr">
        <is>
          <t>是</t>
        </is>
      </c>
      <c r="X116" t="inlineStr">
        <is>
          <t>历史导入:云南东中部民族地区_舆情监测_最终修正版.xlsx；来源类型:政策全文转载／网络普法</t>
        </is>
      </c>
    </row>
    <row r="117">
      <c r="A117" t="inlineStr">
        <is>
          <t>hist-433d9cde78163ef6</t>
        </is>
      </c>
      <c r="B117" s="82" t="n">
        <v>46252.9403587963</v>
      </c>
      <c r="C117" s="82" t="n">
        <v>46210</v>
      </c>
      <c r="D117" t="inlineStr">
        <is>
          <t>微信公众号：沧源融媒</t>
        </is>
      </c>
      <c r="E117" t="inlineStr">
        <is>
          <t>微信公众号/视频号</t>
        </is>
      </c>
      <c r="F117" t="inlineStr">
        <is>
          <t>沧源融媒</t>
        </is>
      </c>
      <c r="G117" t="inlineStr">
        <is>
          <t>沧源融媒</t>
        </is>
      </c>
      <c r="H117" t="inlineStr">
        <is>
          <t>文章明确说明该法自7月1日起施行，并以图解形式介绍主要内容。</t>
        </is>
      </c>
      <c r="I117" t="inlineStr">
        <is>
          <t>https://mp.weixin.qq.com/s/QEFps9Ps-f-mYH9fJX5WPQ</t>
        </is>
      </c>
      <c r="J117" t="inlineStr">
        <is>
          <t>沧源佤族自治县</t>
        </is>
      </c>
      <c r="L117" t="inlineStr">
        <is>
          <t>云南</t>
        </is>
      </c>
      <c r="O117" t="inlineStr">
        <is>
          <t>中文</t>
        </is>
      </c>
      <c r="P117" t="inlineStr">
        <is>
          <t>否</t>
        </is>
      </c>
      <c r="Q117" t="inlineStr">
        <is>
          <t>中性信息</t>
        </is>
      </c>
      <c r="R117" t="inlineStr">
        <is>
          <t>一图读懂；普法强基；新媒体传播</t>
        </is>
      </c>
      <c r="S117" t="n">
        <v>0</v>
      </c>
      <c r="T117" t="n">
        <v>0</v>
      </c>
      <c r="U117" t="n">
        <v>0</v>
      </c>
      <c r="V117" t="inlineStr">
        <is>
          <t>否</t>
        </is>
      </c>
      <c r="W117" t="inlineStr">
        <is>
          <t>是</t>
        </is>
      </c>
      <c r="X117" t="inlineStr">
        <is>
          <t>历史导入:云南东中部民族地区_舆情监测_最终修正版.xlsx；来源类型:官方新媒体普法</t>
        </is>
      </c>
    </row>
    <row r="118">
      <c r="A118" t="inlineStr">
        <is>
          <t>hist-653e91af0c974e38</t>
        </is>
      </c>
      <c r="B118" s="82" t="n">
        <v>46252.9403587963</v>
      </c>
      <c r="D118" t="inlineStr">
        <is>
          <t>哔哩哔哩</t>
        </is>
      </c>
      <c r="E118" t="inlineStr">
        <is>
          <t>知乎/B站/百度知道</t>
        </is>
      </c>
      <c r="F118" t="inlineStr">
        <is>
          <t>B站视频页人工导出</t>
        </is>
      </c>
      <c r="G118" t="inlineStr">
        <is>
          <t>伯侯视野（站内搜索显示）</t>
        </is>
      </c>
      <c r="H118" t="inlineStr">
        <is>
          <t>视频标题直接提到“民族团结法生效”和美国议员抗议。</t>
        </is>
      </c>
      <c r="I118" t="inlineStr">
        <is>
          <t>https://www.bilibili.com/video/BV1DsTr6QEBo/</t>
        </is>
      </c>
      <c r="J118" t="inlineStr">
        <is>
          <t>全国性公众平台（非云南限定）</t>
        </is>
      </c>
      <c r="L118" t="inlineStr">
        <is>
          <t>云南</t>
        </is>
      </c>
      <c r="O118" t="inlineStr">
        <is>
          <t>中文</t>
        </is>
      </c>
      <c r="P118" t="inlineStr">
        <is>
          <t>否</t>
        </is>
      </c>
      <c r="Q118" t="inlineStr">
        <is>
          <t>中性信息</t>
        </is>
      </c>
      <c r="R118" t="inlineStr">
        <is>
          <t>法律生效；国际反应；公众评论</t>
        </is>
      </c>
      <c r="S118" t="n">
        <v>0</v>
      </c>
      <c r="T118" t="n">
        <v>0</v>
      </c>
      <c r="U118" t="n">
        <v>0</v>
      </c>
      <c r="V118" t="inlineStr">
        <is>
          <t>否</t>
        </is>
      </c>
      <c r="W118" t="inlineStr">
        <is>
          <t>是</t>
        </is>
      </c>
      <c r="X118" t="inlineStr">
        <is>
          <t>历史导入:云南东中部民族地区_舆情监测_最终修正版.xlsx；来源类型:个人视频观点／时政解读</t>
        </is>
      </c>
    </row>
    <row r="119">
      <c r="A119" t="inlineStr">
        <is>
          <t>hist-0bd14c0d30958cb9</t>
        </is>
      </c>
      <c r="B119" s="82" t="n">
        <v>46252.9403587963</v>
      </c>
      <c r="D119" t="inlineStr">
        <is>
          <t>哔哩哔哩</t>
        </is>
      </c>
      <c r="E119" t="inlineStr">
        <is>
          <t>知乎/B站/百度知道</t>
        </is>
      </c>
      <c r="F119" t="inlineStr">
        <is>
          <t>哔哩哔哩评论区人工导出</t>
        </is>
      </c>
      <c r="G119" t="inlineStr">
        <is>
          <t>vilserio</t>
        </is>
      </c>
      <c r="H119" t="inlineStr">
        <is>
          <t>“严重干扰间谍正常活动”</t>
        </is>
      </c>
      <c r="I119" t="inlineStr">
        <is>
          <t>https://www.bilibili.com/video/BV1DsTr6QEBo/</t>
        </is>
      </c>
      <c r="J119" t="inlineStr">
        <is>
          <t>全国性公众平台（非云南限定）</t>
        </is>
      </c>
      <c r="L119" t="inlineStr">
        <is>
          <t>云南</t>
        </is>
      </c>
      <c r="O119" t="inlineStr">
        <is>
          <t>中文</t>
        </is>
      </c>
      <c r="P119" t="inlineStr">
        <is>
          <t>否</t>
        </is>
      </c>
      <c r="Q119" t="inlineStr">
        <is>
          <t>支持认可</t>
        </is>
      </c>
      <c r="R119" t="inlineStr">
        <is>
          <t>对外部反对的讽刺性回应</t>
        </is>
      </c>
      <c r="S119" t="n">
        <v>0</v>
      </c>
      <c r="T119" t="n">
        <v>0</v>
      </c>
      <c r="U119" t="n">
        <v>0</v>
      </c>
      <c r="V119" t="inlineStr">
        <is>
          <t>否</t>
        </is>
      </c>
      <c r="W119" t="inlineStr">
        <is>
          <t>是</t>
        </is>
      </c>
      <c r="X119" t="inlineStr">
        <is>
          <t>历史导入:云南东中部民族地区_舆情监测_最终修正版.xlsx；来源类型:用户评论或留言</t>
        </is>
      </c>
    </row>
    <row r="120">
      <c r="A120" t="inlineStr">
        <is>
          <t>hist-765be8a6ce1eeaf4</t>
        </is>
      </c>
      <c r="B120" s="82" t="n">
        <v>46252.9403587963</v>
      </c>
      <c r="D120" t="inlineStr">
        <is>
          <t>哔哩哔哩</t>
        </is>
      </c>
      <c r="E120" t="inlineStr">
        <is>
          <t>知乎/B站/百度知道</t>
        </is>
      </c>
      <c r="F120" t="inlineStr">
        <is>
          <t>哔哩哔哩评论区人工导出</t>
        </is>
      </c>
      <c r="G120" t="inlineStr">
        <is>
          <t>黑魔导晓</t>
        </is>
      </c>
      <c r="H120" t="inlineStr">
        <is>
          <t>意思就是不管是谁对中国干涉内政，分裂和搞独都可以对此人制裁吗？</t>
        </is>
      </c>
      <c r="I120" t="inlineStr">
        <is>
          <t>https://www.bilibili.com/video/BV1DsTr6QEBo/</t>
        </is>
      </c>
      <c r="J120" t="inlineStr">
        <is>
          <t>全国性公众平台（非云南限定）</t>
        </is>
      </c>
      <c r="L120" t="inlineStr">
        <is>
          <t>云南</t>
        </is>
      </c>
      <c r="O120" t="inlineStr">
        <is>
          <t>中文</t>
        </is>
      </c>
      <c r="P120" t="inlineStr">
        <is>
          <t>否</t>
        </is>
      </c>
      <c r="Q120" t="inlineStr">
        <is>
          <t>咨询疑问</t>
        </is>
      </c>
      <c r="R120" t="inlineStr">
        <is>
          <t>境外适用；制裁范围</t>
        </is>
      </c>
      <c r="S120" t="n">
        <v>0</v>
      </c>
      <c r="T120" t="n">
        <v>0</v>
      </c>
      <c r="U120" t="n">
        <v>0</v>
      </c>
      <c r="V120" t="inlineStr">
        <is>
          <t>否</t>
        </is>
      </c>
      <c r="W120" t="inlineStr">
        <is>
          <t>是</t>
        </is>
      </c>
      <c r="X120" t="inlineStr">
        <is>
          <t>历史导入:云南东中部民族地区_舆情监测_最终修正版.xlsx；来源类型:用户评论或留言</t>
        </is>
      </c>
    </row>
    <row r="121">
      <c r="A121" t="inlineStr">
        <is>
          <t>hist-4bc2f22f73fcf84c</t>
        </is>
      </c>
      <c r="B121" s="82" t="n">
        <v>46252.9403587963</v>
      </c>
      <c r="D121" t="inlineStr">
        <is>
          <t>哔哩哔哩</t>
        </is>
      </c>
      <c r="E121" t="inlineStr">
        <is>
          <t>知乎/B站/百度知道</t>
        </is>
      </c>
      <c r="F121" t="inlineStr">
        <is>
          <t>哔哩哔哩评论区人工导出</t>
        </is>
      </c>
      <c r="G121" t="inlineStr">
        <is>
          <t>櫻桃小饅頭</t>
        </is>
      </c>
      <c r="H121" t="inlineStr">
        <is>
          <t>关键是现在老中真的能落实长臂管辖了，以后被老中制裁和被美帝制裁一样压力山大</t>
        </is>
      </c>
      <c r="I121" t="inlineStr">
        <is>
          <t>https://www.bilibili.com/video/BV1DsTr6QEBo/</t>
        </is>
      </c>
      <c r="J121" t="inlineStr">
        <is>
          <t>全国性公众平台（非云南限定）</t>
        </is>
      </c>
      <c r="L121" t="inlineStr">
        <is>
          <t>云南</t>
        </is>
      </c>
      <c r="O121" t="inlineStr">
        <is>
          <t>中文</t>
        </is>
      </c>
      <c r="P121" t="inlineStr">
        <is>
          <t>否</t>
        </is>
      </c>
      <c r="Q121" t="inlineStr">
        <is>
          <t>担忧影响</t>
        </is>
      </c>
      <c r="R121" t="inlineStr">
        <is>
          <t>境外执行；长臂管辖</t>
        </is>
      </c>
      <c r="S121" t="n">
        <v>0</v>
      </c>
      <c r="T121" t="n">
        <v>0</v>
      </c>
      <c r="U121" t="n">
        <v>0</v>
      </c>
      <c r="V121" t="inlineStr">
        <is>
          <t>否</t>
        </is>
      </c>
      <c r="W121" t="inlineStr">
        <is>
          <t>是</t>
        </is>
      </c>
      <c r="X121" t="inlineStr">
        <is>
          <t>历史导入:云南东中部民族地区_舆情监测_最终修正版.xlsx；来源类型:用户评论或留言</t>
        </is>
      </c>
    </row>
    <row r="122">
      <c r="A122" t="inlineStr">
        <is>
          <t>hist-48556a2db52eb891</t>
        </is>
      </c>
      <c r="B122" s="82" t="n">
        <v>46252.9403587963</v>
      </c>
      <c r="D122" t="inlineStr">
        <is>
          <t>哔哩哔哩</t>
        </is>
      </c>
      <c r="E122" t="inlineStr">
        <is>
          <t>知乎/B站/百度知道</t>
        </is>
      </c>
      <c r="F122" t="inlineStr">
        <is>
          <t>哔哩哔哩评论区人工导出</t>
        </is>
      </c>
      <c r="G122" t="inlineStr">
        <is>
          <t>卡布纳多</t>
        </is>
      </c>
      <c r="H122" t="inlineStr">
        <is>
          <t>民族团结促进法对我们普通人有哪些影响？</t>
        </is>
      </c>
      <c r="I122" t="inlineStr">
        <is>
          <t>https://www.bilibili.com/video/BV1DsTr6QEBo/</t>
        </is>
      </c>
      <c r="J122" t="inlineStr">
        <is>
          <t>全国性公众平台（非云南限定）</t>
        </is>
      </c>
      <c r="L122" t="inlineStr">
        <is>
          <t>云南</t>
        </is>
      </c>
      <c r="O122" t="inlineStr">
        <is>
          <t>中文</t>
        </is>
      </c>
      <c r="P122" t="inlineStr">
        <is>
          <t>否</t>
        </is>
      </c>
      <c r="Q122" t="inlineStr">
        <is>
          <t>咨询疑问</t>
        </is>
      </c>
      <c r="R122" t="inlineStr">
        <is>
          <t>普通人影响</t>
        </is>
      </c>
      <c r="S122" t="n">
        <v>0</v>
      </c>
      <c r="T122" t="n">
        <v>0</v>
      </c>
      <c r="U122" t="n">
        <v>0</v>
      </c>
      <c r="V122" t="inlineStr">
        <is>
          <t>否</t>
        </is>
      </c>
      <c r="W122" t="inlineStr">
        <is>
          <t>是</t>
        </is>
      </c>
      <c r="X122" t="inlineStr">
        <is>
          <t>历史导入:云南东中部民族地区_舆情监测_最终修正版.xlsx；来源类型:用户评论或留言</t>
        </is>
      </c>
    </row>
    <row r="123">
      <c r="A123" t="inlineStr">
        <is>
          <t>hist-e3a431ebe6fd9174</t>
        </is>
      </c>
      <c r="B123" s="82" t="n">
        <v>46252.9403587963</v>
      </c>
      <c r="D123" t="inlineStr">
        <is>
          <t>哔哩哔哩</t>
        </is>
      </c>
      <c r="E123" t="inlineStr">
        <is>
          <t>知乎/B站/百度知道</t>
        </is>
      </c>
      <c r="F123" t="inlineStr">
        <is>
          <t>哔哩哔哩评论区人工导出</t>
        </is>
      </c>
      <c r="G123" t="inlineStr">
        <is>
          <t>bili_3546824147208412</t>
        </is>
      </c>
      <c r="H123" t="inlineStr">
        <is>
          <t>啥影响都没有就是少数民族不能有毒倾向和挑动民族对立</t>
        </is>
      </c>
      <c r="I123" t="inlineStr">
        <is>
          <t>https://www.bilibili.com/video/BV1DsTr6QEBo/</t>
        </is>
      </c>
      <c r="J123" t="inlineStr">
        <is>
          <t>全国性公众平台（非云南限定）</t>
        </is>
      </c>
      <c r="L123" t="inlineStr">
        <is>
          <t>云南</t>
        </is>
      </c>
      <c r="O123" t="inlineStr">
        <is>
          <t>中文</t>
        </is>
      </c>
      <c r="P123" t="inlineStr">
        <is>
          <t>否</t>
        </is>
      </c>
      <c r="Q123" t="inlineStr">
        <is>
          <t>中性信息</t>
        </is>
      </c>
      <c r="R123" t="inlineStr">
        <is>
          <t>个人法律解读；民族对立</t>
        </is>
      </c>
      <c r="S123" t="n">
        <v>0</v>
      </c>
      <c r="T123" t="n">
        <v>0</v>
      </c>
      <c r="U123" t="n">
        <v>0</v>
      </c>
      <c r="V123" t="inlineStr">
        <is>
          <t>否</t>
        </is>
      </c>
      <c r="W123" t="inlineStr">
        <is>
          <t>是</t>
        </is>
      </c>
      <c r="X123" t="inlineStr">
        <is>
          <t>历史导入:云南东中部民族地区_舆情监测_最终修正版.xlsx；来源类型:用户评论或留言</t>
        </is>
      </c>
    </row>
    <row r="124">
      <c r="A124" t="inlineStr">
        <is>
          <t>hist-0f4156428bf4ee21</t>
        </is>
      </c>
      <c r="B124" s="82" t="n">
        <v>46252.9403587963</v>
      </c>
      <c r="D124" t="inlineStr">
        <is>
          <t>哔哩哔哩</t>
        </is>
      </c>
      <c r="E124" t="inlineStr">
        <is>
          <t>知乎/B站/百度知道</t>
        </is>
      </c>
      <c r="F124" t="inlineStr">
        <is>
          <t>哔哩哔哩评论区人工导出</t>
        </is>
      </c>
      <c r="G124" t="inlineStr">
        <is>
          <t>卡布纳多</t>
        </is>
      </c>
      <c r="H124" t="inlineStr">
        <is>
          <t>你说全国人大历时7年制定的法律对普通老百姓没影响，不大可能🤔</t>
        </is>
      </c>
      <c r="I124" t="inlineStr">
        <is>
          <t>https://www.bilibili.com/video/BV1DsTr6QEBo/</t>
        </is>
      </c>
      <c r="J124" t="inlineStr">
        <is>
          <t>全国性公众平台（非云南限定）</t>
        </is>
      </c>
      <c r="L124" t="inlineStr">
        <is>
          <t>云南</t>
        </is>
      </c>
      <c r="O124" t="inlineStr">
        <is>
          <t>中文</t>
        </is>
      </c>
      <c r="P124" t="inlineStr">
        <is>
          <t>否</t>
        </is>
      </c>
      <c r="Q124" t="inlineStr">
        <is>
          <t>咨询疑问</t>
        </is>
      </c>
      <c r="R124" t="inlineStr">
        <is>
          <t>普通人影响；立法效果</t>
        </is>
      </c>
      <c r="S124" t="n">
        <v>0</v>
      </c>
      <c r="T124" t="n">
        <v>0</v>
      </c>
      <c r="U124" t="n">
        <v>0</v>
      </c>
      <c r="V124" t="inlineStr">
        <is>
          <t>否</t>
        </is>
      </c>
      <c r="W124" t="inlineStr">
        <is>
          <t>是</t>
        </is>
      </c>
      <c r="X124" t="inlineStr">
        <is>
          <t>历史导入:云南东中部民族地区_舆情监测_最终修正版.xlsx；来源类型:用户评论或留言</t>
        </is>
      </c>
    </row>
    <row r="125">
      <c r="A125" t="inlineStr">
        <is>
          <t>hist-833fa9b343856f55</t>
        </is>
      </c>
      <c r="B125" s="82" t="n">
        <v>46252.9403587963</v>
      </c>
      <c r="D125" t="inlineStr">
        <is>
          <t>哔哩哔哩</t>
        </is>
      </c>
      <c r="E125" t="inlineStr">
        <is>
          <t>知乎/B站/百度知道</t>
        </is>
      </c>
      <c r="F125" t="inlineStr">
        <is>
          <t>哔哩哔哩评论区人工导出</t>
        </is>
      </c>
      <c r="G125" t="inlineStr">
        <is>
          <t>Bei-凌云</t>
        </is>
      </c>
      <c r="H125" t="inlineStr">
        <is>
          <t>你普通人不搞民族歧视，地域分裂就没啥影响。无论是汉族还是其他民族。</t>
        </is>
      </c>
      <c r="I125" t="inlineStr">
        <is>
          <t>https://www.bilibili.com/video/BV1DsTr6QEBo/</t>
        </is>
      </c>
      <c r="J125" t="inlineStr">
        <is>
          <t>全国性公众平台（非云南限定）</t>
        </is>
      </c>
      <c r="L125" t="inlineStr">
        <is>
          <t>云南</t>
        </is>
      </c>
      <c r="O125" t="inlineStr">
        <is>
          <t>中文</t>
        </is>
      </c>
      <c r="P125" t="inlineStr">
        <is>
          <t>否</t>
        </is>
      </c>
      <c r="Q125" t="inlineStr">
        <is>
          <t>中性信息</t>
        </is>
      </c>
      <c r="R125" t="inlineStr">
        <is>
          <t>行为边界；民族歧视</t>
        </is>
      </c>
      <c r="S125" t="n">
        <v>0</v>
      </c>
      <c r="T125" t="n">
        <v>0</v>
      </c>
      <c r="U125" t="n">
        <v>0</v>
      </c>
      <c r="V125" t="inlineStr">
        <is>
          <t>否</t>
        </is>
      </c>
      <c r="W125" t="inlineStr">
        <is>
          <t>是</t>
        </is>
      </c>
      <c r="X125" t="inlineStr">
        <is>
          <t>历史导入:云南东中部民族地区_舆情监测_最终修正版.xlsx；来源类型:用户评论或留言</t>
        </is>
      </c>
    </row>
    <row r="126">
      <c r="A126" t="inlineStr">
        <is>
          <t>hist-3b7b7495dcfa02a2</t>
        </is>
      </c>
      <c r="B126" s="82" t="n">
        <v>46252.9403587963</v>
      </c>
      <c r="D126" t="inlineStr">
        <is>
          <t>哔哩哔哩</t>
        </is>
      </c>
      <c r="E126" t="inlineStr">
        <is>
          <t>知乎/B站/百度知道</t>
        </is>
      </c>
      <c r="F126" t="inlineStr">
        <is>
          <t>哔哩哔哩评论区人工导出</t>
        </is>
      </c>
      <c r="G126" t="inlineStr">
        <is>
          <t>来炸鱼就不删</t>
        </is>
      </c>
      <c r="H126" t="inlineStr">
        <is>
          <t>我个人理解，就是发言要注意，不能相互攻击国内各兄弟姐妹，地域黑，搞民族对立，要以华夏族，中华民族一致对外。</t>
        </is>
      </c>
      <c r="I126" t="inlineStr">
        <is>
          <t>https://www.bilibili.com/video/BV1DsTr6QEBo/</t>
        </is>
      </c>
      <c r="J126" t="inlineStr">
        <is>
          <t>全国性公众平台（非云南限定）</t>
        </is>
      </c>
      <c r="L126" t="inlineStr">
        <is>
          <t>云南</t>
        </is>
      </c>
      <c r="O126" t="inlineStr">
        <is>
          <t>中文</t>
        </is>
      </c>
      <c r="P126" t="inlineStr">
        <is>
          <t>否</t>
        </is>
      </c>
      <c r="Q126" t="inlineStr">
        <is>
          <t>中性信息</t>
        </is>
      </c>
      <c r="R126" t="inlineStr">
        <is>
          <t>网络言论；地域黑；民族对立</t>
        </is>
      </c>
      <c r="S126" t="n">
        <v>0</v>
      </c>
      <c r="T126" t="n">
        <v>0</v>
      </c>
      <c r="U126" t="n">
        <v>0</v>
      </c>
      <c r="V126" t="inlineStr">
        <is>
          <t>否</t>
        </is>
      </c>
      <c r="W126" t="inlineStr">
        <is>
          <t>是</t>
        </is>
      </c>
      <c r="X126" t="inlineStr">
        <is>
          <t>历史导入:云南东中部民族地区_舆情监测_最终修正版.xlsx；来源类型:用户评论或留言</t>
        </is>
      </c>
    </row>
    <row r="127">
      <c r="A127" t="inlineStr">
        <is>
          <t>hist-b965bf2c91db7331</t>
        </is>
      </c>
      <c r="B127" s="82" t="n">
        <v>46252.9403587963</v>
      </c>
      <c r="D127" t="inlineStr">
        <is>
          <t>哔哩哔哩</t>
        </is>
      </c>
      <c r="E127" t="inlineStr">
        <is>
          <t>知乎/B站/百度知道</t>
        </is>
      </c>
      <c r="F127" t="inlineStr">
        <is>
          <t>哔哩哔哩评论区人工导出</t>
        </is>
      </c>
      <c r="G127" t="inlineStr">
        <is>
          <t>忈崈乚</t>
        </is>
      </c>
      <c r="H127" t="inlineStr">
        <is>
          <t>这个只是原则性文件。没有细则。</t>
        </is>
      </c>
      <c r="I127" t="inlineStr">
        <is>
          <t>https://www.bilibili.com/video/BV1DsTr6QEBo/</t>
        </is>
      </c>
      <c r="J127" t="inlineStr">
        <is>
          <t>全国性公众平台（非云南限定）</t>
        </is>
      </c>
      <c r="L127" t="inlineStr">
        <is>
          <t>云南</t>
        </is>
      </c>
      <c r="O127" t="inlineStr">
        <is>
          <t>中文</t>
        </is>
      </c>
      <c r="P127" t="inlineStr">
        <is>
          <t>否</t>
        </is>
      </c>
      <c r="Q127" t="inlineStr">
        <is>
          <t>实施问题</t>
        </is>
      </c>
      <c r="R127" t="inlineStr">
        <is>
          <t>配套细则；可操作性</t>
        </is>
      </c>
      <c r="S127" t="n">
        <v>0</v>
      </c>
      <c r="T127" t="n">
        <v>0</v>
      </c>
      <c r="U127" t="n">
        <v>0</v>
      </c>
      <c r="V127" t="inlineStr">
        <is>
          <t>否</t>
        </is>
      </c>
      <c r="W127" t="inlineStr">
        <is>
          <t>是</t>
        </is>
      </c>
      <c r="X127" t="inlineStr">
        <is>
          <t>历史导入:云南东中部民族地区_舆情监测_最终修正版.xlsx；来源类型:用户评论或留言</t>
        </is>
      </c>
    </row>
    <row r="128">
      <c r="A128" t="inlineStr">
        <is>
          <t>hist-d354f5a7f66a30ce</t>
        </is>
      </c>
      <c r="B128" s="82" t="n">
        <v>46252.9403587963</v>
      </c>
      <c r="D128" t="inlineStr">
        <is>
          <t>哔哩哔哩</t>
        </is>
      </c>
      <c r="E128" t="inlineStr">
        <is>
          <t>知乎/B站/百度知道</t>
        </is>
      </c>
      <c r="F128" t="inlineStr">
        <is>
          <t>哔哩哔哩评论区人工导出</t>
        </is>
      </c>
      <c r="G128" t="inlineStr">
        <is>
          <t>俺是小小强</t>
        </is>
      </c>
      <c r="H128" t="inlineStr">
        <is>
          <t>细则还没写上去呢</t>
        </is>
      </c>
      <c r="I128" t="inlineStr">
        <is>
          <t>https://www.bilibili.com/video/BV1DsTr6QEBo/</t>
        </is>
      </c>
      <c r="J128" t="inlineStr">
        <is>
          <t>全国性公众平台（非云南限定）</t>
        </is>
      </c>
      <c r="L128" t="inlineStr">
        <is>
          <t>云南</t>
        </is>
      </c>
      <c r="O128" t="inlineStr">
        <is>
          <t>中文</t>
        </is>
      </c>
      <c r="P128" t="inlineStr">
        <is>
          <t>否</t>
        </is>
      </c>
      <c r="Q128" t="inlineStr">
        <is>
          <t>实施问题</t>
        </is>
      </c>
      <c r="R128" t="inlineStr">
        <is>
          <t>配套细则</t>
        </is>
      </c>
      <c r="S128" t="n">
        <v>0</v>
      </c>
      <c r="T128" t="n">
        <v>0</v>
      </c>
      <c r="U128" t="n">
        <v>0</v>
      </c>
      <c r="V128" t="inlineStr">
        <is>
          <t>否</t>
        </is>
      </c>
      <c r="W128" t="inlineStr">
        <is>
          <t>是</t>
        </is>
      </c>
      <c r="X128" t="inlineStr">
        <is>
          <t>历史导入:云南东中部民族地区_舆情监测_最终修正版.xlsx；来源类型:用户评论或留言</t>
        </is>
      </c>
    </row>
    <row r="129">
      <c r="A129" t="inlineStr">
        <is>
          <t>hist-5e887b96b21194c0</t>
        </is>
      </c>
      <c r="B129" s="82" t="n">
        <v>46252.9403587963</v>
      </c>
      <c r="D129" t="inlineStr">
        <is>
          <t>哔哩哔哩</t>
        </is>
      </c>
      <c r="E129" t="inlineStr">
        <is>
          <t>知乎/B站/百度知道</t>
        </is>
      </c>
      <c r="F129" t="inlineStr">
        <is>
          <t>哔哩哔哩评论区人工导出</t>
        </is>
      </c>
      <c r="G129" t="inlineStr">
        <is>
          <t>舉棋不定_</t>
        </is>
      </c>
      <c r="H129" t="inlineStr">
        <is>
          <t>写得越少，范围越广</t>
        </is>
      </c>
      <c r="I129" t="inlineStr">
        <is>
          <t>https://www.bilibili.com/video/BV1DsTr6QEBo/</t>
        </is>
      </c>
      <c r="J129" t="inlineStr">
        <is>
          <t>全国性公众平台（非云南限定）</t>
        </is>
      </c>
      <c r="L129" t="inlineStr">
        <is>
          <t>云南</t>
        </is>
      </c>
      <c r="O129" t="inlineStr">
        <is>
          <t>中文</t>
        </is>
      </c>
      <c r="P129" t="inlineStr">
        <is>
          <t>否</t>
        </is>
      </c>
      <c r="Q129" t="inlineStr">
        <is>
          <t>担忧影响</t>
        </is>
      </c>
      <c r="R129" t="inlineStr">
        <is>
          <t>条款边界；解释空间</t>
        </is>
      </c>
      <c r="S129" t="n">
        <v>0</v>
      </c>
      <c r="T129" t="n">
        <v>0</v>
      </c>
      <c r="U129" t="n">
        <v>0</v>
      </c>
      <c r="V129" t="inlineStr">
        <is>
          <t>否</t>
        </is>
      </c>
      <c r="W129" t="inlineStr">
        <is>
          <t>是</t>
        </is>
      </c>
      <c r="X129" t="inlineStr">
        <is>
          <t>历史导入:云南东中部民族地区_舆情监测_最终修正版.xlsx；来源类型:用户评论或留言</t>
        </is>
      </c>
    </row>
    <row r="130">
      <c r="A130" t="inlineStr">
        <is>
          <t>hist-83b7ed600ed1d291</t>
        </is>
      </c>
      <c r="B130" s="82" t="n">
        <v>46252.9403587963</v>
      </c>
      <c r="D130" t="inlineStr">
        <is>
          <t>哔哩哔哩</t>
        </is>
      </c>
      <c r="E130" t="inlineStr">
        <is>
          <t>知乎/B站/百度知道</t>
        </is>
      </c>
      <c r="F130" t="inlineStr">
        <is>
          <t>哔哩哔哩评论区人工导出</t>
        </is>
      </c>
      <c r="G130" t="inlineStr">
        <is>
          <t>夜承洲</t>
        </is>
      </c>
      <c r="H130" t="inlineStr">
        <is>
          <t>本来都没关注过这个事情是好是坏，现在可以确定这是绝对的好事了[喜极而泣]</t>
        </is>
      </c>
      <c r="I130" t="inlineStr">
        <is>
          <t>https://www.bilibili.com/video/BV1DsTr6QEBo/</t>
        </is>
      </c>
      <c r="J130" t="inlineStr">
        <is>
          <t>全国性公众平台（非云南限定）</t>
        </is>
      </c>
      <c r="L130" t="inlineStr">
        <is>
          <t>云南</t>
        </is>
      </c>
      <c r="O130" t="inlineStr">
        <is>
          <t>中文</t>
        </is>
      </c>
      <c r="P130" t="inlineStr">
        <is>
          <t>否</t>
        </is>
      </c>
      <c r="Q130" t="inlineStr">
        <is>
          <t>支持认可</t>
        </is>
      </c>
      <c r="R130" t="inlineStr">
        <is>
          <t>总体评价</t>
        </is>
      </c>
      <c r="S130" t="n">
        <v>0</v>
      </c>
      <c r="T130" t="n">
        <v>0</v>
      </c>
      <c r="U130" t="n">
        <v>0</v>
      </c>
      <c r="V130" t="inlineStr">
        <is>
          <t>否</t>
        </is>
      </c>
      <c r="W130" t="inlineStr">
        <is>
          <t>是</t>
        </is>
      </c>
      <c r="X130" t="inlineStr">
        <is>
          <t>历史导入:云南东中部民族地区_舆情监测_最终修正版.xlsx；来源类型:用户评论或留言</t>
        </is>
      </c>
    </row>
    <row r="131">
      <c r="A131" t="inlineStr">
        <is>
          <t>hist-7151ddd4b77d3c10</t>
        </is>
      </c>
      <c r="B131" s="82" t="n">
        <v>46252.9403587963</v>
      </c>
      <c r="D131" t="inlineStr">
        <is>
          <t>哔哩哔哩</t>
        </is>
      </c>
      <c r="E131" t="inlineStr">
        <is>
          <t>知乎/B站/百度知道</t>
        </is>
      </c>
      <c r="F131" t="inlineStr">
        <is>
          <t>哔哩哔哩评论区人工导出</t>
        </is>
      </c>
      <c r="G131" t="inlineStr">
        <is>
          <t>豪哥来者</t>
        </is>
      </c>
      <c r="H131" t="inlineStr">
        <is>
          <t>敌人越反对说明我们做对！加大力度实施！</t>
        </is>
      </c>
      <c r="I131" t="inlineStr">
        <is>
          <t>https://www.bilibili.com/video/BV1DsTr6QEBo/</t>
        </is>
      </c>
      <c r="J131" t="inlineStr">
        <is>
          <t>全国性公众平台（非云南限定）</t>
        </is>
      </c>
      <c r="L131" t="inlineStr">
        <is>
          <t>云南</t>
        </is>
      </c>
      <c r="O131" t="inlineStr">
        <is>
          <t>中文</t>
        </is>
      </c>
      <c r="P131" t="inlineStr">
        <is>
          <t>否</t>
        </is>
      </c>
      <c r="Q131" t="inlineStr">
        <is>
          <t>支持认可</t>
        </is>
      </c>
      <c r="R131" t="inlineStr">
        <is>
          <t>实施力度；对外回应</t>
        </is>
      </c>
      <c r="S131" t="n">
        <v>0</v>
      </c>
      <c r="T131" t="n">
        <v>0</v>
      </c>
      <c r="U131" t="n">
        <v>0</v>
      </c>
      <c r="V131" t="inlineStr">
        <is>
          <t>否</t>
        </is>
      </c>
      <c r="W131" t="inlineStr">
        <is>
          <t>是</t>
        </is>
      </c>
      <c r="X131" t="inlineStr">
        <is>
          <t>历史导入:云南东中部民族地区_舆情监测_最终修正版.xlsx；来源类型:用户评论或留言</t>
        </is>
      </c>
    </row>
    <row r="132">
      <c r="A132" t="inlineStr">
        <is>
          <t>hist-53b7442a2be29fa8</t>
        </is>
      </c>
      <c r="B132" s="82" t="n">
        <v>46252.9403587963</v>
      </c>
      <c r="D132" t="inlineStr">
        <is>
          <t>哔哩哔哩</t>
        </is>
      </c>
      <c r="E132" t="inlineStr">
        <is>
          <t>知乎/B站/百度知道</t>
        </is>
      </c>
      <c r="F132" t="inlineStr">
        <is>
          <t>哔哩哔哩评论区人工导出</t>
        </is>
      </c>
      <c r="G132" t="inlineStr">
        <is>
          <t>Xnormal</t>
        </is>
      </c>
      <c r="H132" t="inlineStr">
        <is>
          <t>管的真宽啊，中国的法律跟美国人有啥关系[笑哭]</t>
        </is>
      </c>
      <c r="I132" t="inlineStr">
        <is>
          <t>https://www.bilibili.com/video/BV1DsTr6QEBo/</t>
        </is>
      </c>
      <c r="J132" t="inlineStr">
        <is>
          <t>全国性公众平台（非云南限定）</t>
        </is>
      </c>
      <c r="L132" t="inlineStr">
        <is>
          <t>云南</t>
        </is>
      </c>
      <c r="O132" t="inlineStr">
        <is>
          <t>中文</t>
        </is>
      </c>
      <c r="P132" t="inlineStr">
        <is>
          <t>否</t>
        </is>
      </c>
      <c r="Q132" t="inlineStr">
        <is>
          <t>支持认可</t>
        </is>
      </c>
      <c r="R132" t="inlineStr">
        <is>
          <t>主权；外部干预</t>
        </is>
      </c>
      <c r="S132" t="n">
        <v>0</v>
      </c>
      <c r="T132" t="n">
        <v>0</v>
      </c>
      <c r="U132" t="n">
        <v>0</v>
      </c>
      <c r="V132" t="inlineStr">
        <is>
          <t>否</t>
        </is>
      </c>
      <c r="W132" t="inlineStr">
        <is>
          <t>是</t>
        </is>
      </c>
      <c r="X132" t="inlineStr">
        <is>
          <t>历史导入:云南东中部民族地区_舆情监测_最终修正版.xlsx；来源类型:用户评论或留言</t>
        </is>
      </c>
    </row>
    <row r="133">
      <c r="A133" t="inlineStr">
        <is>
          <t>hist-2a5c9e40bd220815</t>
        </is>
      </c>
      <c r="B133" s="82" t="n">
        <v>46252.9403587963</v>
      </c>
      <c r="D133" t="inlineStr">
        <is>
          <t>哔哩哔哩</t>
        </is>
      </c>
      <c r="E133" t="inlineStr">
        <is>
          <t>知乎/B站/百度知道</t>
        </is>
      </c>
      <c r="F133" t="inlineStr">
        <is>
          <t>哔哩哔哩评论区人工导出</t>
        </is>
      </c>
      <c r="G133" t="inlineStr">
        <is>
          <t>凤凰火炎焱燚</t>
        </is>
      </c>
      <c r="H133" t="inlineStr">
        <is>
          <t>笑死了，这些人肯定没细读过法案文本吧[吃瓜]</t>
        </is>
      </c>
      <c r="I133" t="inlineStr">
        <is>
          <t>https://www.bilibili.com/video/BV1DsTr6QEBo/</t>
        </is>
      </c>
      <c r="J133" t="inlineStr">
        <is>
          <t>全国性公众平台（非云南限定）</t>
        </is>
      </c>
      <c r="L133" t="inlineStr">
        <is>
          <t>云南</t>
        </is>
      </c>
      <c r="O133" t="inlineStr">
        <is>
          <t>中文</t>
        </is>
      </c>
      <c r="P133" t="inlineStr">
        <is>
          <t>否</t>
        </is>
      </c>
      <c r="Q133" t="inlineStr">
        <is>
          <t>中性信息</t>
        </is>
      </c>
      <c r="R133" t="inlineStr">
        <is>
          <t>法案文本；外部评价</t>
        </is>
      </c>
      <c r="S133" t="n">
        <v>0</v>
      </c>
      <c r="T133" t="n">
        <v>0</v>
      </c>
      <c r="U133" t="n">
        <v>0</v>
      </c>
      <c r="V133" t="inlineStr">
        <is>
          <t>否</t>
        </is>
      </c>
      <c r="W133" t="inlineStr">
        <is>
          <t>是</t>
        </is>
      </c>
      <c r="X133" t="inlineStr">
        <is>
          <t>历史导入:云南东中部民族地区_舆情监测_最终修正版.xlsx；来源类型:用户评论或留言</t>
        </is>
      </c>
    </row>
    <row r="134">
      <c r="A134" t="inlineStr">
        <is>
          <t>hist-85c36f5871b6764a</t>
        </is>
      </c>
      <c r="B134" s="82" t="n">
        <v>46252.9403587963</v>
      </c>
      <c r="D134" t="inlineStr">
        <is>
          <t>哔哩哔哩</t>
        </is>
      </c>
      <c r="E134" t="inlineStr">
        <is>
          <t>知乎/B站/百度知道</t>
        </is>
      </c>
      <c r="F134" t="inlineStr">
        <is>
          <t>哔哩哔哩评论区人工导出</t>
        </is>
      </c>
      <c r="G134" t="inlineStr">
        <is>
          <t>阆苑石头</t>
        </is>
      </c>
      <c r="H134" t="inlineStr">
        <is>
          <t>终于完善立法了！你鹰酱有搞别人国家的国安法？我熊猫也有治你的民族团结法！胆敢伸手过来？斩之！</t>
        </is>
      </c>
      <c r="I134" t="inlineStr">
        <is>
          <t>https://www.bilibili.com/video/BV1DsTr6QEBo/</t>
        </is>
      </c>
      <c r="J134" t="inlineStr">
        <is>
          <t>全国性公众平台（非云南限定）</t>
        </is>
      </c>
      <c r="L134" t="inlineStr">
        <is>
          <t>云南</t>
        </is>
      </c>
      <c r="O134" t="inlineStr">
        <is>
          <t>中文</t>
        </is>
      </c>
      <c r="P134" t="inlineStr">
        <is>
          <t>否</t>
        </is>
      </c>
      <c r="Q134" t="inlineStr">
        <is>
          <t>支持认可</t>
        </is>
      </c>
      <c r="R134" t="inlineStr">
        <is>
          <t>完善立法；对外追责</t>
        </is>
      </c>
      <c r="S134" t="n">
        <v>0</v>
      </c>
      <c r="T134" t="n">
        <v>0</v>
      </c>
      <c r="U134" t="n">
        <v>0</v>
      </c>
      <c r="V134" t="inlineStr">
        <is>
          <t>否</t>
        </is>
      </c>
      <c r="W134" t="inlineStr">
        <is>
          <t>是</t>
        </is>
      </c>
      <c r="X134" t="inlineStr">
        <is>
          <t>历史导入:云南东中部民族地区_舆情监测_最终修正版.xlsx；来源类型:用户评论或留言</t>
        </is>
      </c>
    </row>
    <row r="135">
      <c r="A135" t="inlineStr">
        <is>
          <t>hist-a1fd0428e31a602a</t>
        </is>
      </c>
      <c r="B135" s="82" t="n">
        <v>46252.9403587963</v>
      </c>
      <c r="D135" t="inlineStr">
        <is>
          <t>哔哩哔哩</t>
        </is>
      </c>
      <c r="E135" t="inlineStr">
        <is>
          <t>知乎/B站/百度知道</t>
        </is>
      </c>
      <c r="F135" t="inlineStr">
        <is>
          <t>哔哩哔哩评论区人工导出</t>
        </is>
      </c>
      <c r="G135" t="inlineStr">
        <is>
          <t>低调的箱箱</t>
        </is>
      </c>
      <c r="H135" t="inlineStr">
        <is>
          <t>刚才去官网下载看了一下，居然才十九页。。。我一直以为这类文件会很长呢。。。</t>
        </is>
      </c>
      <c r="I135" t="inlineStr">
        <is>
          <t>https://www.bilibili.com/video/BV1DsTr6QEBo/</t>
        </is>
      </c>
      <c r="J135" t="inlineStr">
        <is>
          <t>全国性公众平台（非云南限定）</t>
        </is>
      </c>
      <c r="L135" t="inlineStr">
        <is>
          <t>云南</t>
        </is>
      </c>
      <c r="O135" t="inlineStr">
        <is>
          <t>中文</t>
        </is>
      </c>
      <c r="P135" t="inlineStr">
        <is>
          <t>否</t>
        </is>
      </c>
      <c r="Q135" t="inlineStr">
        <is>
          <t>中性信息</t>
        </is>
      </c>
      <c r="R135" t="inlineStr">
        <is>
          <t>法律文本篇幅</t>
        </is>
      </c>
      <c r="S135" t="n">
        <v>0</v>
      </c>
      <c r="T135" t="n">
        <v>0</v>
      </c>
      <c r="U135" t="n">
        <v>0</v>
      </c>
      <c r="V135" t="inlineStr">
        <is>
          <t>否</t>
        </is>
      </c>
      <c r="W135" t="inlineStr">
        <is>
          <t>是</t>
        </is>
      </c>
      <c r="X135" t="inlineStr">
        <is>
          <t>历史导入:云南东中部民族地区_舆情监测_最终修正版.xlsx；来源类型:用户评论或留言</t>
        </is>
      </c>
    </row>
    <row r="136">
      <c r="A136" t="inlineStr">
        <is>
          <t>hist-0b9dd3aae406f73f</t>
        </is>
      </c>
      <c r="B136" s="82" t="n">
        <v>46252.9403587963</v>
      </c>
      <c r="D136" t="inlineStr">
        <is>
          <t>哔哩哔哩</t>
        </is>
      </c>
      <c r="E136" t="inlineStr">
        <is>
          <t>知乎/B站/百度知道</t>
        </is>
      </c>
      <c r="F136" t="inlineStr">
        <is>
          <t>哔哩哔哩评论区人工导出</t>
        </is>
      </c>
      <c r="G136" t="inlineStr">
        <is>
          <t>阮铖鸱</t>
        </is>
      </c>
      <c r="H136" t="inlineStr">
        <is>
          <t>法条本身是很简短的东西，哪怕是民法典本身也不是很厚，但如果加上各级法律解释和指导性案例就非常多了[笑哭]</t>
        </is>
      </c>
      <c r="I136" t="inlineStr">
        <is>
          <t>https://www.bilibili.com/video/BV1DsTr6QEBo/</t>
        </is>
      </c>
      <c r="J136" t="inlineStr">
        <is>
          <t>全国性公众平台（非云南限定）</t>
        </is>
      </c>
      <c r="L136" t="inlineStr">
        <is>
          <t>云南</t>
        </is>
      </c>
      <c r="O136" t="inlineStr">
        <is>
          <t>中文</t>
        </is>
      </c>
      <c r="P136" t="inlineStr">
        <is>
          <t>否</t>
        </is>
      </c>
      <c r="Q136" t="inlineStr">
        <is>
          <t>中性信息</t>
        </is>
      </c>
      <c r="R136" t="inlineStr">
        <is>
          <t>法律解释；指导案例</t>
        </is>
      </c>
      <c r="S136" t="n">
        <v>0</v>
      </c>
      <c r="T136" t="n">
        <v>0</v>
      </c>
      <c r="U136" t="n">
        <v>0</v>
      </c>
      <c r="V136" t="inlineStr">
        <is>
          <t>否</t>
        </is>
      </c>
      <c r="W136" t="inlineStr">
        <is>
          <t>是</t>
        </is>
      </c>
      <c r="X136" t="inlineStr">
        <is>
          <t>历史导入:云南东中部民族地区_舆情监测_最终修正版.xlsx；来源类型:用户评论或留言</t>
        </is>
      </c>
    </row>
    <row r="137">
      <c r="A137" t="inlineStr">
        <is>
          <t>hist-521995d4f31db8b1</t>
        </is>
      </c>
      <c r="B137" s="82" t="n">
        <v>46252.9403587963</v>
      </c>
      <c r="D137" t="inlineStr">
        <is>
          <t>哔哩哔哩</t>
        </is>
      </c>
      <c r="E137" t="inlineStr">
        <is>
          <t>知乎/B站/百度知道</t>
        </is>
      </c>
      <c r="F137" t="inlineStr">
        <is>
          <t>哔哩哔哩评论区人工导出</t>
        </is>
      </c>
      <c r="G137" t="inlineStr">
        <is>
          <t>庞加莱文明</t>
        </is>
      </c>
      <c r="H137" t="inlineStr">
        <is>
          <t>美国就是双标，他们的反犹太法案我们党从来不说他啥</t>
        </is>
      </c>
      <c r="I137" t="inlineStr">
        <is>
          <t>https://www.bilibili.com/video/BV1DsTr6QEBo/</t>
        </is>
      </c>
      <c r="J137" t="inlineStr">
        <is>
          <t>全国性公众平台（非云南限定）</t>
        </is>
      </c>
      <c r="L137" t="inlineStr">
        <is>
          <t>云南</t>
        </is>
      </c>
      <c r="O137" t="inlineStr">
        <is>
          <t>中文</t>
        </is>
      </c>
      <c r="P137" t="inlineStr">
        <is>
          <t>否</t>
        </is>
      </c>
      <c r="Q137" t="inlineStr">
        <is>
          <t>支持认可</t>
        </is>
      </c>
      <c r="R137" t="inlineStr">
        <is>
          <t>外部评价；双重标准</t>
        </is>
      </c>
      <c r="S137" t="n">
        <v>0</v>
      </c>
      <c r="T137" t="n">
        <v>0</v>
      </c>
      <c r="U137" t="n">
        <v>0</v>
      </c>
      <c r="V137" t="inlineStr">
        <is>
          <t>否</t>
        </is>
      </c>
      <c r="W137" t="inlineStr">
        <is>
          <t>是</t>
        </is>
      </c>
      <c r="X137" t="inlineStr">
        <is>
          <t>历史导入:云南东中部民族地区_舆情监测_最终修正版.xlsx；来源类型:用户评论或留言</t>
        </is>
      </c>
    </row>
    <row r="138">
      <c r="A138" t="inlineStr">
        <is>
          <t>hist-bf7993206a5bd983</t>
        </is>
      </c>
      <c r="B138" s="82" t="n">
        <v>46252.9403587963</v>
      </c>
      <c r="D138" t="inlineStr">
        <is>
          <t>哔哩哔哩</t>
        </is>
      </c>
      <c r="E138" t="inlineStr">
        <is>
          <t>知乎/B站/百度知道</t>
        </is>
      </c>
      <c r="F138" t="inlineStr">
        <is>
          <t>哔哩哔哩评论区人工导出</t>
        </is>
      </c>
      <c r="G138" t="inlineStr">
        <is>
          <t>moshenqq</t>
        </is>
      </c>
      <c r="H138" t="inlineStr">
        <is>
          <t>这个法律可以抓外国人</t>
        </is>
      </c>
      <c r="I138" t="inlineStr">
        <is>
          <t>https://www.bilibili.com/video/BV1DsTr6QEBo/</t>
        </is>
      </c>
      <c r="J138" t="inlineStr">
        <is>
          <t>全国性公众平台（非云南限定）</t>
        </is>
      </c>
      <c r="L138" t="inlineStr">
        <is>
          <t>云南</t>
        </is>
      </c>
      <c r="O138" t="inlineStr">
        <is>
          <t>中文</t>
        </is>
      </c>
      <c r="P138" t="inlineStr">
        <is>
          <t>否</t>
        </is>
      </c>
      <c r="Q138" t="inlineStr">
        <is>
          <t>中性信息</t>
        </is>
      </c>
      <c r="R138" t="inlineStr">
        <is>
          <t>境外适用；法律责任；错误/过度简化解读</t>
        </is>
      </c>
      <c r="S138" t="n">
        <v>0</v>
      </c>
      <c r="T138" t="n">
        <v>0</v>
      </c>
      <c r="U138" t="n">
        <v>0</v>
      </c>
      <c r="V138" t="inlineStr">
        <is>
          <t>否</t>
        </is>
      </c>
      <c r="W138" t="inlineStr">
        <is>
          <t>是</t>
        </is>
      </c>
      <c r="X138" t="inlineStr">
        <is>
          <t>历史导入:云南东中部民族地区_舆情监测_最终修正版.xlsx；来源类型:用户评论或留言</t>
        </is>
      </c>
    </row>
    <row r="139">
      <c r="A139" t="inlineStr">
        <is>
          <t>hist-c8fb91ea41ed0ccd</t>
        </is>
      </c>
      <c r="B139" s="82" t="n">
        <v>46252.9403587963</v>
      </c>
      <c r="D139" t="inlineStr">
        <is>
          <t>哔哩哔哩</t>
        </is>
      </c>
      <c r="E139" t="inlineStr">
        <is>
          <t>知乎/B站/百度知道</t>
        </is>
      </c>
      <c r="F139" t="inlineStr">
        <is>
          <t>哔哩哔哩评论区人工导出</t>
        </is>
      </c>
      <c r="G139" t="inlineStr">
        <is>
          <t>李言午-</t>
        </is>
      </c>
      <c r="H139" t="inlineStr">
        <is>
          <t>仅限中国籍</t>
        </is>
      </c>
      <c r="I139" t="inlineStr">
        <is>
          <t>https://www.bilibili.com/video/BV1DsTr6QEBo/</t>
        </is>
      </c>
      <c r="J139" t="inlineStr">
        <is>
          <t>全国性公众平台（非云南限定）</t>
        </is>
      </c>
      <c r="L139" t="inlineStr">
        <is>
          <t>云南</t>
        </is>
      </c>
      <c r="O139" t="inlineStr">
        <is>
          <t>中文</t>
        </is>
      </c>
      <c r="P139" t="inlineStr">
        <is>
          <t>否</t>
        </is>
      </c>
      <c r="Q139" t="inlineStr">
        <is>
          <t>中性信息</t>
        </is>
      </c>
      <c r="R139" t="inlineStr">
        <is>
          <t>适用主体；国籍范围；错误法律解读</t>
        </is>
      </c>
      <c r="S139" t="n">
        <v>0</v>
      </c>
      <c r="T139" t="n">
        <v>0</v>
      </c>
      <c r="U139" t="n">
        <v>0</v>
      </c>
      <c r="V139" t="inlineStr">
        <is>
          <t>否</t>
        </is>
      </c>
      <c r="W139" t="inlineStr">
        <is>
          <t>是</t>
        </is>
      </c>
      <c r="X139" t="inlineStr">
        <is>
          <t>历史导入:云南东中部民族地区_舆情监测_最终修正版.xlsx；来源类型:用户评论或留言</t>
        </is>
      </c>
    </row>
    <row r="140">
      <c r="A140" t="inlineStr">
        <is>
          <t>hist-bc059e27f67866b9</t>
        </is>
      </c>
      <c r="B140" s="82" t="n">
        <v>46252.9403587963</v>
      </c>
      <c r="D140" t="inlineStr">
        <is>
          <t>哔哩哔哩</t>
        </is>
      </c>
      <c r="E140" t="inlineStr">
        <is>
          <t>知乎/B站/百度知道</t>
        </is>
      </c>
      <c r="F140" t="inlineStr">
        <is>
          <t>哔哩哔哩评论区人工导出</t>
        </is>
      </c>
      <c r="G140" t="inlineStr">
        <is>
          <t>蜜桃奈</t>
        </is>
      </c>
      <c r="H140" t="inlineStr">
        <is>
          <t>错误，不管任何国家、任何国籍的人</t>
        </is>
      </c>
      <c r="I140" t="inlineStr">
        <is>
          <t>https://www.bilibili.com/video/BV1DsTr6QEBo/</t>
        </is>
      </c>
      <c r="J140" t="inlineStr">
        <is>
          <t>全国性公众平台（非云南限定）</t>
        </is>
      </c>
      <c r="L140" t="inlineStr">
        <is>
          <t>云南</t>
        </is>
      </c>
      <c r="O140" t="inlineStr">
        <is>
          <t>中文</t>
        </is>
      </c>
      <c r="P140" t="inlineStr">
        <is>
          <t>否</t>
        </is>
      </c>
      <c r="Q140" t="inlineStr">
        <is>
          <t>中性信息</t>
        </is>
      </c>
      <c r="R140" t="inlineStr">
        <is>
          <t>适用主体；国籍范围；不完整法律解读</t>
        </is>
      </c>
      <c r="S140" t="n">
        <v>0</v>
      </c>
      <c r="T140" t="n">
        <v>0</v>
      </c>
      <c r="U140" t="n">
        <v>0</v>
      </c>
      <c r="V140" t="inlineStr">
        <is>
          <t>否</t>
        </is>
      </c>
      <c r="W140" t="inlineStr">
        <is>
          <t>是</t>
        </is>
      </c>
      <c r="X140" t="inlineStr">
        <is>
          <t>历史导入:云南东中部民族地区_舆情监测_最终修正版.xlsx；来源类型:用户评论或留言</t>
        </is>
      </c>
    </row>
    <row r="141">
      <c r="A141" t="inlineStr">
        <is>
          <t>hist-d9ee8e0ac95b7caa</t>
        </is>
      </c>
      <c r="B141" s="82" t="n">
        <v>46252.9403587963</v>
      </c>
      <c r="D141" t="inlineStr">
        <is>
          <t>哔哩哔哩</t>
        </is>
      </c>
      <c r="E141" t="inlineStr">
        <is>
          <t>知乎/B站/百度知道</t>
        </is>
      </c>
      <c r="F141" t="inlineStr">
        <is>
          <t>哔哩哔哩评论区人工导出</t>
        </is>
      </c>
      <c r="G141" t="inlineStr">
        <is>
          <t>热心网友1020</t>
        </is>
      </c>
      <c r="H141" t="inlineStr">
        <is>
          <t>现在不是外面大镜子太亮了开始疯狂自救法理性？这么伟光正呢？[嗑瓜子]</t>
        </is>
      </c>
      <c r="I141" t="inlineStr">
        <is>
          <t>https://www.bilibili.com/video/BV1gWEw6gECq/</t>
        </is>
      </c>
      <c r="J141" t="inlineStr">
        <is>
          <t>全国性公众平台（非云南限定）</t>
        </is>
      </c>
      <c r="L141" t="inlineStr">
        <is>
          <t>云南</t>
        </is>
      </c>
      <c r="O141" t="inlineStr">
        <is>
          <t>中文</t>
        </is>
      </c>
      <c r="P141" t="inlineStr">
        <is>
          <t>否</t>
        </is>
      </c>
      <c r="Q141" t="inlineStr">
        <is>
          <t>明确批评</t>
        </is>
      </c>
      <c r="R141" t="inlineStr">
        <is>
          <t>政策转向；法理正当性；民族优惠政策调整</t>
        </is>
      </c>
      <c r="S141" t="n">
        <v>0</v>
      </c>
      <c r="T141" t="n">
        <v>0</v>
      </c>
      <c r="U141" t="n">
        <v>0</v>
      </c>
      <c r="V141" t="inlineStr">
        <is>
          <t>否</t>
        </is>
      </c>
      <c r="W141" t="inlineStr">
        <is>
          <t>是</t>
        </is>
      </c>
      <c r="X141" t="inlineStr">
        <is>
          <t>历史导入:云南东中部民族地区_舆情监测_最终修正版.xlsx；来源类型:用户评论或留言</t>
        </is>
      </c>
    </row>
    <row r="142">
      <c r="A142" t="inlineStr">
        <is>
          <t>hist-e8d878d466bcf3ae</t>
        </is>
      </c>
      <c r="B142" s="82" t="n">
        <v>46252.9403587963</v>
      </c>
      <c r="D142" t="inlineStr">
        <is>
          <t>哔哩哔哩</t>
        </is>
      </c>
      <c r="E142" t="inlineStr">
        <is>
          <t>知乎/B站/百度知道</t>
        </is>
      </c>
      <c r="F142" t="inlineStr">
        <is>
          <t>哔哩哔哩评论区人工导出</t>
        </is>
      </c>
      <c r="G142" t="inlineStr">
        <is>
          <t>trtetew233</t>
        </is>
      </c>
      <c r="H142" t="inlineStr">
        <is>
          <t>加速取消是大趋势，以后按照地域，优待贫穷落后地区。</t>
        </is>
      </c>
      <c r="I142" t="inlineStr">
        <is>
          <t>https://www.bilibili.com/video/BV1gWEw6gECq/</t>
        </is>
      </c>
      <c r="J142" t="inlineStr">
        <is>
          <t>全国性公众平台（非云南限定）</t>
        </is>
      </c>
      <c r="L142" t="inlineStr">
        <is>
          <t>云南</t>
        </is>
      </c>
      <c r="O142" t="inlineStr">
        <is>
          <t>中文</t>
        </is>
      </c>
      <c r="P142" t="inlineStr">
        <is>
          <t>否</t>
        </is>
      </c>
      <c r="Q142" t="inlineStr">
        <is>
          <t>公平争议</t>
        </is>
      </c>
      <c r="R142" t="inlineStr">
        <is>
          <t>民族优惠；地域扶持</t>
        </is>
      </c>
      <c r="S142" t="n">
        <v>0</v>
      </c>
      <c r="T142" t="n">
        <v>0</v>
      </c>
      <c r="U142" t="n">
        <v>0</v>
      </c>
      <c r="V142" t="inlineStr">
        <is>
          <t>否</t>
        </is>
      </c>
      <c r="W142" t="inlineStr">
        <is>
          <t>是</t>
        </is>
      </c>
      <c r="X142" t="inlineStr">
        <is>
          <t>历史导入:云南东中部民族地区_舆情监测_最终修正版.xlsx；来源类型:用户评论或留言</t>
        </is>
      </c>
    </row>
    <row r="143">
      <c r="A143" t="inlineStr">
        <is>
          <t>hist-1ea70bc5e40544b3</t>
        </is>
      </c>
      <c r="B143" s="82" t="n">
        <v>46252.9403587963</v>
      </c>
      <c r="D143" t="inlineStr">
        <is>
          <t>哔哩哔哩</t>
        </is>
      </c>
      <c r="E143" t="inlineStr">
        <is>
          <t>知乎/B站/百度知道</t>
        </is>
      </c>
      <c r="F143" t="inlineStr">
        <is>
          <t>哔哩哔哩评论区人工导出</t>
        </is>
      </c>
      <c r="G143" t="inlineStr">
        <is>
          <t>LV顶级</t>
        </is>
      </c>
      <c r="H143" t="inlineStr">
        <is>
          <t>肯定要统一啊，多元化意味着分裂，想重蹈大唐覆辙吗。统一不止是国土，思想文化也是要统一的。</t>
        </is>
      </c>
      <c r="I143" t="inlineStr">
        <is>
          <t>https://www.bilibili.com/video/BV1gWEw6gECq/</t>
        </is>
      </c>
      <c r="J143" t="inlineStr">
        <is>
          <t>全国性公众平台（非云南限定）</t>
        </is>
      </c>
      <c r="L143" t="inlineStr">
        <is>
          <t>云南</t>
        </is>
      </c>
      <c r="O143" t="inlineStr">
        <is>
          <t>中文</t>
        </is>
      </c>
      <c r="P143" t="inlineStr">
        <is>
          <t>否</t>
        </is>
      </c>
      <c r="Q143" t="inlineStr">
        <is>
          <t>支持认可</t>
        </is>
      </c>
      <c r="R143" t="inlineStr">
        <is>
          <t>多元一体；国族认同</t>
        </is>
      </c>
      <c r="S143" t="n">
        <v>0</v>
      </c>
      <c r="T143" t="n">
        <v>0</v>
      </c>
      <c r="U143" t="n">
        <v>0</v>
      </c>
      <c r="V143" t="inlineStr">
        <is>
          <t>否</t>
        </is>
      </c>
      <c r="W143" t="inlineStr">
        <is>
          <t>是</t>
        </is>
      </c>
      <c r="X143" t="inlineStr">
        <is>
          <t>历史导入:云南东中部民族地区_舆情监测_最终修正版.xlsx；来源类型:用户评论或留言</t>
        </is>
      </c>
    </row>
    <row r="144">
      <c r="A144" t="inlineStr">
        <is>
          <t>hist-913de270a827a47d</t>
        </is>
      </c>
      <c r="B144" s="82" t="n">
        <v>46252.9403587963</v>
      </c>
      <c r="D144" t="inlineStr">
        <is>
          <t>哔哩哔哩</t>
        </is>
      </c>
      <c r="E144" t="inlineStr">
        <is>
          <t>知乎/B站/百度知道</t>
        </is>
      </c>
      <c r="F144" t="inlineStr">
        <is>
          <t>哔哩哔哩评论区人工导出</t>
        </is>
      </c>
      <c r="G144" t="inlineStr">
        <is>
          <t>盖尔森基兴的斑马</t>
        </is>
      </c>
      <c r="H144" t="inlineStr">
        <is>
          <t>民族主义本来就是现代民族国家合法性动员性组织性叙事的重要来源</t>
        </is>
      </c>
      <c r="I144" t="inlineStr">
        <is>
          <t>https://www.bilibili.com/video/BV1gWEw6gECq/</t>
        </is>
      </c>
      <c r="J144" t="inlineStr">
        <is>
          <t>全国性公众平台（非云南限定）</t>
        </is>
      </c>
      <c r="L144" t="inlineStr">
        <is>
          <t>云南</t>
        </is>
      </c>
      <c r="O144" t="inlineStr">
        <is>
          <t>中文</t>
        </is>
      </c>
      <c r="P144" t="inlineStr">
        <is>
          <t>否</t>
        </is>
      </c>
      <c r="Q144" t="inlineStr">
        <is>
          <t>中性信息</t>
        </is>
      </c>
      <c r="R144" t="inlineStr">
        <is>
          <t>民族主义；国家认同</t>
        </is>
      </c>
      <c r="S144" t="n">
        <v>0</v>
      </c>
      <c r="T144" t="n">
        <v>0</v>
      </c>
      <c r="U144" t="n">
        <v>0</v>
      </c>
      <c r="V144" t="inlineStr">
        <is>
          <t>否</t>
        </is>
      </c>
      <c r="W144" t="inlineStr">
        <is>
          <t>是</t>
        </is>
      </c>
      <c r="X144" t="inlineStr">
        <is>
          <t>历史导入:云南东中部民族地区_舆情监测_最终修正版.xlsx；来源类型:用户评论或留言</t>
        </is>
      </c>
    </row>
    <row r="145">
      <c r="A145" t="inlineStr">
        <is>
          <t>hist-cbe5e6e62ffc3bdd</t>
        </is>
      </c>
      <c r="B145" s="82" t="n">
        <v>46252.9403587963</v>
      </c>
      <c r="D145" t="inlineStr">
        <is>
          <t>知乎</t>
        </is>
      </c>
      <c r="E145" t="inlineStr">
        <is>
          <t>知乎/B站/百度知道</t>
        </is>
      </c>
      <c r="F145" t="inlineStr">
        <is>
          <t>知乎评论区人工导出</t>
        </is>
      </c>
      <c r="G145" t="inlineStr">
        <is>
          <t>点绛唇-飘扬的旗</t>
        </is>
      </c>
      <c r="H145" t="inlineStr">
        <is>
          <t>首崇融合，而不是去打击“不团结”不巴结</t>
        </is>
      </c>
      <c r="I145" t="inlineStr">
        <is>
          <t>https://zhuanlan.zhihu.com/p/2019133845102970358</t>
        </is>
      </c>
      <c r="J145" t="inlineStr">
        <is>
          <t>IP属地：辽宁</t>
        </is>
      </c>
      <c r="L145" t="inlineStr">
        <is>
          <t>辽宁</t>
        </is>
      </c>
      <c r="O145" t="inlineStr">
        <is>
          <t>中文</t>
        </is>
      </c>
      <c r="P145" t="inlineStr">
        <is>
          <t>否</t>
        </is>
      </c>
      <c r="Q145" t="inlineStr">
        <is>
          <t>实施问题</t>
        </is>
      </c>
      <c r="R145" t="inlineStr">
        <is>
          <t>融合导向；执法边界</t>
        </is>
      </c>
      <c r="S145" t="n">
        <v>0</v>
      </c>
      <c r="T145" t="n">
        <v>0</v>
      </c>
      <c r="U145" t="n">
        <v>0</v>
      </c>
      <c r="V145" t="inlineStr">
        <is>
          <t>否</t>
        </is>
      </c>
      <c r="W145" t="inlineStr">
        <is>
          <t>是</t>
        </is>
      </c>
      <c r="X145" t="inlineStr">
        <is>
          <t>历史导入:云南东中部民族地区_舆情监测_最终修正版.xlsx；来源类型:用户评论或留言</t>
        </is>
      </c>
    </row>
    <row r="146">
      <c r="A146" t="inlineStr">
        <is>
          <t>hist-b829de5a3f4e98b3</t>
        </is>
      </c>
      <c r="B146" s="82" t="n">
        <v>46252.9403587963</v>
      </c>
      <c r="D146" t="inlineStr">
        <is>
          <t>知乎</t>
        </is>
      </c>
      <c r="E146" t="inlineStr">
        <is>
          <t>知乎/B站/百度知道</t>
        </is>
      </c>
      <c r="F146" t="inlineStr">
        <is>
          <t>知乎评论区人工导出</t>
        </is>
      </c>
      <c r="G146" t="inlineStr">
        <is>
          <t>你好</t>
        </is>
      </c>
      <c r="H146" t="inlineStr">
        <is>
          <t>问题的核心是，你承认了多元！</t>
        </is>
      </c>
      <c r="I146" t="inlineStr">
        <is>
          <t>https://zhuanlan.zhihu.com/p/2019133845102970358</t>
        </is>
      </c>
      <c r="J146" t="inlineStr">
        <is>
          <t>IP属地：甘肃</t>
        </is>
      </c>
      <c r="L146" t="inlineStr">
        <is>
          <t>甘肃</t>
        </is>
      </c>
      <c r="O146" t="inlineStr">
        <is>
          <t>中文</t>
        </is>
      </c>
      <c r="P146" t="inlineStr">
        <is>
          <t>否</t>
        </is>
      </c>
      <c r="Q146" t="inlineStr">
        <is>
          <t>中性信息</t>
        </is>
      </c>
      <c r="R146" t="inlineStr">
        <is>
          <t>多元一体；观点争议；态度不明</t>
        </is>
      </c>
      <c r="S146" t="n">
        <v>0</v>
      </c>
      <c r="T146" t="n">
        <v>0</v>
      </c>
      <c r="U146" t="n">
        <v>0</v>
      </c>
      <c r="V146" t="inlineStr">
        <is>
          <t>否</t>
        </is>
      </c>
      <c r="W146" t="inlineStr">
        <is>
          <t>是</t>
        </is>
      </c>
      <c r="X146" t="inlineStr">
        <is>
          <t>历史导入:云南东中部民族地区_舆情监测_最终修正版.xlsx；来源类型:用户评论或留言</t>
        </is>
      </c>
    </row>
    <row r="147">
      <c r="A147" t="inlineStr">
        <is>
          <t>hist-8b845cf4e08c4f9e</t>
        </is>
      </c>
      <c r="B147" s="82" t="n">
        <v>46252.9403587963</v>
      </c>
      <c r="D147" t="inlineStr">
        <is>
          <t>知乎</t>
        </is>
      </c>
      <c r="E147" t="inlineStr">
        <is>
          <t>知乎/B站/百度知道</t>
        </is>
      </c>
      <c r="F147" t="inlineStr">
        <is>
          <t>知乎评论区人工导出</t>
        </is>
      </c>
      <c r="G147" t="inlineStr">
        <is>
          <t>feiyu1004</t>
        </is>
      </c>
      <c r="H147" t="inlineStr">
        <is>
          <t>法并不是越多越好，如果本身就有法可依，其实完全没有必要，还会出现该文作者所说的情况。</t>
        </is>
      </c>
      <c r="I147" t="inlineStr">
        <is>
          <t>https://zhuanlan.zhihu.com/p/2019133845102970358</t>
        </is>
      </c>
      <c r="J147" t="inlineStr">
        <is>
          <t>IP属地：广东</t>
        </is>
      </c>
      <c r="L147" t="inlineStr">
        <is>
          <t>广东</t>
        </is>
      </c>
      <c r="O147" t="inlineStr">
        <is>
          <t>中文</t>
        </is>
      </c>
      <c r="P147" t="inlineStr">
        <is>
          <t>否</t>
        </is>
      </c>
      <c r="Q147" t="inlineStr">
        <is>
          <t>明确批评</t>
        </is>
      </c>
      <c r="R147" t="inlineStr">
        <is>
          <t>立法必要性；滥用风险</t>
        </is>
      </c>
      <c r="S147" t="n">
        <v>0</v>
      </c>
      <c r="T147" t="n">
        <v>0</v>
      </c>
      <c r="U147" t="n">
        <v>0</v>
      </c>
      <c r="V147" t="inlineStr">
        <is>
          <t>否</t>
        </is>
      </c>
      <c r="W147" t="inlineStr">
        <is>
          <t>是</t>
        </is>
      </c>
      <c r="X147" t="inlineStr">
        <is>
          <t>历史导入:云南东中部民族地区_舆情监测_最终修正版.xlsx；来源类型:用户评论或留言</t>
        </is>
      </c>
    </row>
    <row r="148">
      <c r="A148" t="inlineStr">
        <is>
          <t>hist-99294432406af1d3</t>
        </is>
      </c>
      <c r="B148" s="82" t="n">
        <v>46252.9403587963</v>
      </c>
      <c r="D148" t="inlineStr">
        <is>
          <t>知乎</t>
        </is>
      </c>
      <c r="E148" t="inlineStr">
        <is>
          <t>知乎/B站/百度知道</t>
        </is>
      </c>
      <c r="F148" t="inlineStr">
        <is>
          <t>知乎评论区人工导出</t>
        </is>
      </c>
      <c r="G148" t="inlineStr">
        <is>
          <t>夏烨</t>
        </is>
      </c>
      <c r="H148" t="inlineStr">
        <is>
          <t>现在是法治社会，违反该法且构成违反治安管理处罚法的才会被处罚，违反该法且构成犯罪的才会被判刑，违反该法破坏了国家和公共利益的才会被人民检察院提起公益诉讼，只要别去网暴穿旗袍马褂的小姑娘小孩子，根本不用怕这部法律会影响日常生活。</t>
        </is>
      </c>
      <c r="I148" t="inlineStr">
        <is>
          <t>https://zhuanlan.zhihu.com/p/2019133845102970358</t>
        </is>
      </c>
      <c r="J148" t="inlineStr">
        <is>
          <t>IP属地：上海</t>
        </is>
      </c>
      <c r="L148" t="inlineStr">
        <is>
          <t>上海</t>
        </is>
      </c>
      <c r="O148" t="inlineStr">
        <is>
          <t>中文</t>
        </is>
      </c>
      <c r="P148" t="inlineStr">
        <is>
          <t>否</t>
        </is>
      </c>
      <c r="Q148" t="inlineStr">
        <is>
          <t>中性信息</t>
        </is>
      </c>
      <c r="R148" t="inlineStr">
        <is>
          <t>法律责任；日常生活影响</t>
        </is>
      </c>
      <c r="S148" t="n">
        <v>0</v>
      </c>
      <c r="T148" t="n">
        <v>0</v>
      </c>
      <c r="U148" t="n">
        <v>0</v>
      </c>
      <c r="V148" t="inlineStr">
        <is>
          <t>否</t>
        </is>
      </c>
      <c r="W148" t="inlineStr">
        <is>
          <t>是</t>
        </is>
      </c>
      <c r="X148" t="inlineStr">
        <is>
          <t>历史导入:云南东中部民族地区_舆情监测_最终修正版.xlsx；来源类型:用户评论或留言</t>
        </is>
      </c>
    </row>
    <row r="149">
      <c r="A149" t="inlineStr">
        <is>
          <t>hist-a8acbb67ea7dd792</t>
        </is>
      </c>
      <c r="B149" s="82" t="n">
        <v>46252.9403587963</v>
      </c>
      <c r="D149" t="inlineStr">
        <is>
          <t>知乎</t>
        </is>
      </c>
      <c r="E149" t="inlineStr">
        <is>
          <t>知乎/B站/百度知道</t>
        </is>
      </c>
      <c r="F149" t="inlineStr">
        <is>
          <t>知乎评论区人工导出</t>
        </is>
      </c>
      <c r="G149" t="inlineStr">
        <is>
          <t>知乎用户CsqtVw</t>
        </is>
      </c>
      <c r="H149" t="inlineStr">
        <is>
          <t>多元一体。台独很担忧</t>
        </is>
      </c>
      <c r="I149" t="inlineStr">
        <is>
          <t>https://zhuanlan.zhihu.com/p/2019133845102970358</t>
        </is>
      </c>
      <c r="J149" t="inlineStr">
        <is>
          <t>IP属地：辽宁</t>
        </is>
      </c>
      <c r="L149" t="inlineStr">
        <is>
          <t>辽宁</t>
        </is>
      </c>
      <c r="O149" t="inlineStr">
        <is>
          <t>中文</t>
        </is>
      </c>
      <c r="P149" t="inlineStr">
        <is>
          <t>否</t>
        </is>
      </c>
      <c r="Q149" t="inlineStr">
        <is>
          <t>支持认可</t>
        </is>
      </c>
      <c r="R149" t="inlineStr">
        <is>
          <t>多元一体；国家统一；反分裂倾向</t>
        </is>
      </c>
      <c r="S149" t="n">
        <v>0</v>
      </c>
      <c r="T149" t="n">
        <v>0</v>
      </c>
      <c r="U149" t="n">
        <v>0</v>
      </c>
      <c r="V149" t="inlineStr">
        <is>
          <t>否</t>
        </is>
      </c>
      <c r="W149" t="inlineStr">
        <is>
          <t>是</t>
        </is>
      </c>
      <c r="X149" t="inlineStr">
        <is>
          <t>历史导入:云南东中部民族地区_舆情监测_最终修正版.xlsx；来源类型:用户评论或留言</t>
        </is>
      </c>
    </row>
    <row r="150">
      <c r="A150" t="inlineStr">
        <is>
          <t>hist-0bddd2d716cabfde</t>
        </is>
      </c>
      <c r="B150" s="82" t="n">
        <v>46252.9403587963</v>
      </c>
      <c r="D150" t="inlineStr">
        <is>
          <t>知乎</t>
        </is>
      </c>
      <c r="E150" t="inlineStr">
        <is>
          <t>知乎/B站/百度知道</t>
        </is>
      </c>
      <c r="F150" t="inlineStr">
        <is>
          <t>知乎评论区人工导出</t>
        </is>
      </c>
      <c r="G150" t="inlineStr">
        <is>
          <t>木水</t>
        </is>
      </c>
      <c r="H150" t="inlineStr">
        <is>
          <t>得出台实施细则！</t>
        </is>
      </c>
      <c r="I150" t="inlineStr">
        <is>
          <t>https://zhuanlan.zhihu.com/p/2019133845102970358</t>
        </is>
      </c>
      <c r="J150" t="inlineStr">
        <is>
          <t>IP属地：河北</t>
        </is>
      </c>
      <c r="L150" t="inlineStr">
        <is>
          <t>河北</t>
        </is>
      </c>
      <c r="O150" t="inlineStr">
        <is>
          <t>中文</t>
        </is>
      </c>
      <c r="P150" t="inlineStr">
        <is>
          <t>否</t>
        </is>
      </c>
      <c r="Q150" t="inlineStr">
        <is>
          <t>实施问题</t>
        </is>
      </c>
      <c r="R150" t="inlineStr">
        <is>
          <t>配套细则</t>
        </is>
      </c>
      <c r="S150" t="n">
        <v>0</v>
      </c>
      <c r="T150" t="n">
        <v>0</v>
      </c>
      <c r="U150" t="n">
        <v>0</v>
      </c>
      <c r="V150" t="inlineStr">
        <is>
          <t>否</t>
        </is>
      </c>
      <c r="W150" t="inlineStr">
        <is>
          <t>是</t>
        </is>
      </c>
      <c r="X150" t="inlineStr">
        <is>
          <t>历史导入:云南东中部民族地区_舆情监测_最终修正版.xlsx；来源类型:用户评论或留言</t>
        </is>
      </c>
    </row>
    <row r="151">
      <c r="A151" t="inlineStr">
        <is>
          <t>hist-0724d1556a9aeebe</t>
        </is>
      </c>
      <c r="B151" s="82" t="n">
        <v>46252.9403587963</v>
      </c>
      <c r="D151" t="inlineStr">
        <is>
          <t>知乎</t>
        </is>
      </c>
      <c r="E151" t="inlineStr">
        <is>
          <t>知乎/B站/百度知道</t>
        </is>
      </c>
      <c r="F151" t="inlineStr">
        <is>
          <t>知乎评论区人工导出</t>
        </is>
      </c>
      <c r="G151" t="inlineStr">
        <is>
          <t>人生处处是惊喜</t>
        </is>
      </c>
      <c r="H151" t="inlineStr">
        <is>
          <t>应该界定下民族矛盾，经常把个人矛盾上升为民族矛盾</t>
        </is>
      </c>
      <c r="I151" t="inlineStr">
        <is>
          <t>https://zhuanlan.zhihu.com/p/2019133845102970358</t>
        </is>
      </c>
      <c r="J151" t="inlineStr">
        <is>
          <t>IP属地：陕西</t>
        </is>
      </c>
      <c r="L151" t="inlineStr">
        <is>
          <t>陕西</t>
        </is>
      </c>
      <c r="O151" t="inlineStr">
        <is>
          <t>中文</t>
        </is>
      </c>
      <c r="P151" t="inlineStr">
        <is>
          <t>否</t>
        </is>
      </c>
      <c r="Q151" t="inlineStr">
        <is>
          <t>实施问题</t>
        </is>
      </c>
      <c r="R151" t="inlineStr">
        <is>
          <t>概念界定；个人矛盾</t>
        </is>
      </c>
      <c r="S151" t="n">
        <v>0</v>
      </c>
      <c r="T151" t="n">
        <v>0</v>
      </c>
      <c r="U151" t="n">
        <v>0</v>
      </c>
      <c r="V151" t="inlineStr">
        <is>
          <t>否</t>
        </is>
      </c>
      <c r="W151" t="inlineStr">
        <is>
          <t>是</t>
        </is>
      </c>
      <c r="X151" t="inlineStr">
        <is>
          <t>历史导入:云南东中部民族地区_舆情监测_最终修正版.xlsx；来源类型:用户评论或留言</t>
        </is>
      </c>
    </row>
    <row r="152">
      <c r="A152" t="inlineStr">
        <is>
          <t>hist-f58f0aecdcadb337</t>
        </is>
      </c>
      <c r="B152" s="82" t="n">
        <v>46252.9403587963</v>
      </c>
      <c r="D152" t="inlineStr">
        <is>
          <t>知乎</t>
        </is>
      </c>
      <c r="E152" t="inlineStr">
        <is>
          <t>知乎/B站/百度知道</t>
        </is>
      </c>
      <c r="F152" t="inlineStr">
        <is>
          <t>知乎评论区人工导出</t>
        </is>
      </c>
      <c r="G152" t="inlineStr">
        <is>
          <t>木土归一</t>
        </is>
      </c>
      <c r="H152" t="inlineStr">
        <is>
          <t>拥护团结法，法律的建立是规范人类的行为，最终使广大人民群众生活都幸福起来</t>
        </is>
      </c>
      <c r="I152" t="inlineStr">
        <is>
          <t>https://zhuanlan.zhihu.com/p/2019133845102970358</t>
        </is>
      </c>
      <c r="J152" t="inlineStr">
        <is>
          <t>IP属地：河南</t>
        </is>
      </c>
      <c r="L152" t="inlineStr">
        <is>
          <t>河南</t>
        </is>
      </c>
      <c r="O152" t="inlineStr">
        <is>
          <t>中文</t>
        </is>
      </c>
      <c r="P152" t="inlineStr">
        <is>
          <t>否</t>
        </is>
      </c>
      <c r="Q152" t="inlineStr">
        <is>
          <t>支持认可</t>
        </is>
      </c>
      <c r="R152" t="inlineStr">
        <is>
          <t>总体评价；行为规范</t>
        </is>
      </c>
      <c r="S152" t="n">
        <v>0</v>
      </c>
      <c r="T152" t="n">
        <v>0</v>
      </c>
      <c r="U152" t="n">
        <v>0</v>
      </c>
      <c r="V152" t="inlineStr">
        <is>
          <t>否</t>
        </is>
      </c>
      <c r="W152" t="inlineStr">
        <is>
          <t>是</t>
        </is>
      </c>
      <c r="X152" t="inlineStr">
        <is>
          <t>历史导入:云南东中部民族地区_舆情监测_最终修正版.xlsx；来源类型:用户评论或留言</t>
        </is>
      </c>
    </row>
    <row r="153">
      <c r="A153" t="inlineStr">
        <is>
          <t>hist-eb0c53ccbdd2fc52</t>
        </is>
      </c>
      <c r="B153" s="82" t="n">
        <v>46238</v>
      </c>
      <c r="C153" s="82" t="n">
        <v>46206</v>
      </c>
      <c r="D153" t="inlineStr">
        <is>
          <t>云南省民族宗教事务委员会网站</t>
        </is>
      </c>
      <c r="E153" t="inlineStr">
        <is>
          <t>其他</t>
        </is>
      </c>
      <c r="F153" t="inlineStr">
        <is>
          <t>官方实施信息</t>
        </is>
      </c>
      <c r="G153" t="inlineStr">
        <is>
          <t>地方动态</t>
        </is>
      </c>
      <c r="H153" t="inlineStr">
        <is>
          <t>文山州在法律施行后制定学习贯彻工作方案，组织培训并部署多部门学习宣传，属于明确的地方实施信息。</t>
        </is>
      </c>
      <c r="I153" t="inlineStr">
        <is>
          <t>https://mzzj.yn.gov.cn/html/2026/difangdongtai_0703/4064409.html</t>
        </is>
      </c>
      <c r="J153" t="inlineStr">
        <is>
          <t>文山壮族苗族自治州</t>
        </is>
      </c>
      <c r="L153" t="inlineStr">
        <is>
          <t>云南</t>
        </is>
      </c>
      <c r="O153" t="inlineStr">
        <is>
          <t>中文</t>
        </is>
      </c>
      <c r="P153" t="inlineStr">
        <is>
          <t>否</t>
        </is>
      </c>
      <c r="Q153" t="inlineStr">
        <is>
          <t>官方政策信息</t>
        </is>
      </c>
      <c r="R153" t="inlineStr">
        <is>
          <t>实施方案；干部培训；学习宣传</t>
        </is>
      </c>
      <c r="S153" t="n">
        <v>0</v>
      </c>
      <c r="T153" t="n">
        <v>0</v>
      </c>
      <c r="U153" t="n">
        <v>0</v>
      </c>
      <c r="V153" t="inlineStr">
        <is>
          <t>否</t>
        </is>
      </c>
      <c r="W153" t="inlineStr">
        <is>
          <t>是</t>
        </is>
      </c>
      <c r="X153" t="inlineStr">
        <is>
          <t>历史导入:云南东中部民族地区_舆情监测_最终修正版.xlsx；数据编号:YN12-003；来源类型:官方实施信息；检索关键词:民族团结进步促进法＋文山壮族苗族自治州＋学习贯彻/公众意见</t>
        </is>
      </c>
    </row>
    <row r="154">
      <c r="A154" t="inlineStr">
        <is>
          <t>hist-03be6729bab30021</t>
        </is>
      </c>
      <c r="B154" s="82" t="n">
        <v>46238</v>
      </c>
      <c r="C154" s="82" t="n">
        <v>46209</v>
      </c>
      <c r="D154" t="inlineStr">
        <is>
          <t>峨山县人民政府网站</t>
        </is>
      </c>
      <c r="E154" t="inlineStr">
        <is>
          <t>省市政务/媒体网站</t>
        </is>
      </c>
      <c r="F154" t="inlineStr">
        <is>
          <t>官方实施信息</t>
        </is>
      </c>
      <c r="G154" t="inlineStr">
        <is>
          <t>小街街道工作动态</t>
        </is>
      </c>
      <c r="H154" t="inlineStr">
        <is>
          <t>文明社区面向社区干部、党员、网格员、居民代表和宗教活动场所人员开展法律专题宣讲。</t>
        </is>
      </c>
      <c r="I154" t="inlineStr">
        <is>
          <t>https://www.yxes.gov.cn/es/esxjjdgzdt7322/20260706/1669928.html</t>
        </is>
      </c>
      <c r="J154" t="inlineStr">
        <is>
          <t>峨山彝族自治县</t>
        </is>
      </c>
      <c r="L154" t="inlineStr">
        <is>
          <t>云南</t>
        </is>
      </c>
      <c r="O154" t="inlineStr">
        <is>
          <t>中文</t>
        </is>
      </c>
      <c r="P154" t="inlineStr">
        <is>
          <t>否</t>
        </is>
      </c>
      <c r="Q154" t="inlineStr">
        <is>
          <t>官方政策信息</t>
        </is>
      </c>
      <c r="R154" t="inlineStr">
        <is>
          <t>基层普法；宗教条款；社区治理</t>
        </is>
      </c>
      <c r="S154" t="n">
        <v>0</v>
      </c>
      <c r="T154" t="n">
        <v>0</v>
      </c>
      <c r="U154" t="n">
        <v>0</v>
      </c>
      <c r="V154" t="inlineStr">
        <is>
          <t>否</t>
        </is>
      </c>
      <c r="W154" t="inlineStr">
        <is>
          <t>是</t>
        </is>
      </c>
      <c r="X154" t="inlineStr">
        <is>
          <t>历史导入:云南东中部民族地区_舆情监测_最终修正版.xlsx；数据编号:YN12-004；来源类型:官方实施信息；检索关键词:民族团结进步促进法＋峨山彝族自治县＋学习贯彻/公众意见</t>
        </is>
      </c>
    </row>
    <row r="155">
      <c r="A155" t="inlineStr">
        <is>
          <t>hist-ce302442b50d00b1</t>
        </is>
      </c>
      <c r="B155" s="82" t="n">
        <v>46238</v>
      </c>
      <c r="C155" s="82" t="n">
        <v>46223</v>
      </c>
      <c r="D155" t="inlineStr">
        <is>
          <t>云南宣传网</t>
        </is>
      </c>
      <c r="E155" t="inlineStr">
        <is>
          <t>其他</t>
        </is>
      </c>
      <c r="F155" t="inlineStr">
        <is>
          <t>媒体报道／实施信息汇总</t>
        </is>
      </c>
      <c r="G155" t="inlineStr">
        <is>
          <t>理论社科／社科动态</t>
        </is>
      </c>
      <c r="H155" t="inlineStr">
        <is>
          <t>理论文章系统梳理云南省贯彻实施措施，并点名楚雄、红河和西双版纳的学习宣传实践。</t>
        </is>
      </c>
      <c r="I155" t="inlineStr">
        <is>
          <t>https://www.ynxc.gov.cn/html/2026/shekedongtai_0720/3035760.html</t>
        </is>
      </c>
      <c r="J155" t="inlineStr">
        <is>
          <t>楚雄州；红河州；西双版纳州</t>
        </is>
      </c>
      <c r="L155" t="inlineStr">
        <is>
          <t>云南</t>
        </is>
      </c>
      <c r="O155" t="inlineStr">
        <is>
          <t>中文</t>
        </is>
      </c>
      <c r="P155" t="inlineStr">
        <is>
          <t>否</t>
        </is>
      </c>
      <c r="Q155" t="inlineStr">
        <is>
          <t>官方政策信息</t>
        </is>
      </c>
      <c r="R155" t="inlineStr">
        <is>
          <t>省级工作方案；地方专项方案；宣传教育</t>
        </is>
      </c>
      <c r="S155" t="n">
        <v>0</v>
      </c>
      <c r="T155" t="n">
        <v>0</v>
      </c>
      <c r="U155" t="n">
        <v>0</v>
      </c>
      <c r="V155" t="inlineStr">
        <is>
          <t>否</t>
        </is>
      </c>
      <c r="W155" t="inlineStr">
        <is>
          <t>是</t>
        </is>
      </c>
      <c r="X155" t="inlineStr">
        <is>
          <t>历史导入:云南东中部民族地区_舆情监测_最终修正版.xlsx；数据编号:YN12-005；来源类型:媒体报道／实施信息汇总；检索关键词:民族团结进步促进法＋楚雄州＋学习贯彻/公众意见</t>
        </is>
      </c>
    </row>
    <row r="156">
      <c r="A156" t="inlineStr">
        <is>
          <t>hist-93605e6b3ce4c3e0</t>
        </is>
      </c>
      <c r="B156" s="82" t="n">
        <v>46238</v>
      </c>
      <c r="C156" s="82" t="n">
        <v>46223</v>
      </c>
      <c r="D156" t="inlineStr">
        <is>
          <t>红河州人民政府网站</t>
        </is>
      </c>
      <c r="E156" t="inlineStr">
        <is>
          <t>省市政务/媒体网站</t>
        </is>
      </c>
      <c r="F156" t="inlineStr">
        <is>
          <t>官方实施信息</t>
        </is>
      </c>
      <c r="G156" t="inlineStr">
        <is>
          <t>县市动态</t>
        </is>
      </c>
      <c r="H156" t="inlineStr">
        <is>
          <t>元阳县结合多民族聚居实际，由多个部门开展学习、普法、法治宣传和纠纷化解工作。</t>
        </is>
      </c>
      <c r="I156" t="inlineStr">
        <is>
          <t>https://www.hh.gov.cn/info/10491/1274342.htm</t>
        </is>
      </c>
      <c r="J156" t="inlineStr">
        <is>
          <t>红河哈尼族彝族自治州（元阳县）</t>
        </is>
      </c>
      <c r="L156" t="inlineStr">
        <is>
          <t>云南</t>
        </is>
      </c>
      <c r="O156" t="inlineStr">
        <is>
          <t>中文</t>
        </is>
      </c>
      <c r="P156" t="inlineStr">
        <is>
          <t>否</t>
        </is>
      </c>
      <c r="Q156" t="inlineStr">
        <is>
          <t>官方政策信息</t>
        </is>
      </c>
      <c r="R156" t="inlineStr">
        <is>
          <t>部门协同；普法宣传；基层法治</t>
        </is>
      </c>
      <c r="S156" t="n">
        <v>0</v>
      </c>
      <c r="T156" t="n">
        <v>0</v>
      </c>
      <c r="U156" t="n">
        <v>0</v>
      </c>
      <c r="V156" t="inlineStr">
        <is>
          <t>否</t>
        </is>
      </c>
      <c r="W156" t="inlineStr">
        <is>
          <t>是</t>
        </is>
      </c>
      <c r="X156" t="inlineStr">
        <is>
          <t>历史导入:云南东中部民族地区_舆情监测_最终修正版.xlsx；数据编号:YN12-006；来源类型:官方实施信息；检索关键词:民族团结进步促进法＋红河哈尼族彝族自治州＋学习贯彻/公众意见</t>
        </is>
      </c>
    </row>
    <row r="157">
      <c r="A157" t="inlineStr">
        <is>
          <t>hist-06fb2a8856eaa348</t>
        </is>
      </c>
      <c r="B157" s="82" t="n">
        <v>46238</v>
      </c>
      <c r="C157" s="82" t="n">
        <v>46216</v>
      </c>
      <c r="D157" t="inlineStr">
        <is>
          <t>新浪财经／微信公众号转载</t>
        </is>
      </c>
      <c r="E157" t="inlineStr">
        <is>
          <t>微信公众号/视频号</t>
        </is>
      </c>
      <c r="F157" t="inlineStr">
        <is>
          <t>官方活动信息</t>
        </is>
      </c>
      <c r="G157" t="inlineStr">
        <is>
          <t>政务新媒体转载</t>
        </is>
      </c>
      <c r="H157" t="inlineStr">
        <is>
          <t>省级主题活动直接提及法律施行，并有沧源干部和群众代表参与；活动地点不在沧源，关联度低于县内直接实施。</t>
        </is>
      </c>
      <c r="I157" t="inlineStr">
        <is>
          <t>https://finance.sina.com.cn/wm/2026-07-13/doc-inihscma8968285.shtml?froms=ggmp</t>
        </is>
      </c>
      <c r="J157" t="inlineStr">
        <is>
          <t>沧源佤族自治县（代表参与）</t>
        </is>
      </c>
      <c r="L157" t="inlineStr">
        <is>
          <t>云南</t>
        </is>
      </c>
      <c r="O157" t="inlineStr">
        <is>
          <t>中文</t>
        </is>
      </c>
      <c r="P157" t="inlineStr">
        <is>
          <t>否</t>
        </is>
      </c>
      <c r="Q157" t="inlineStr">
        <is>
          <t>官方政策信息</t>
        </is>
      </c>
      <c r="R157" t="inlineStr">
        <is>
          <t>群团组织；群众宣传；主题活动</t>
        </is>
      </c>
      <c r="S157" t="n">
        <v>0</v>
      </c>
      <c r="T157" t="n">
        <v>0</v>
      </c>
      <c r="U157" t="n">
        <v>0</v>
      </c>
      <c r="V157" t="inlineStr">
        <is>
          <t>否</t>
        </is>
      </c>
      <c r="W157" t="inlineStr">
        <is>
          <t>是</t>
        </is>
      </c>
      <c r="X157" t="inlineStr">
        <is>
          <t>历史导入:云南东中部民族地区_舆情监测_最终修正版.xlsx；数据编号:YN12-007；来源类型:官方活动信息；检索关键词:民族团结进步促进法＋沧源佤族自治县＋学习贯彻/公众意见</t>
        </is>
      </c>
    </row>
    <row r="158">
      <c r="A158" t="inlineStr">
        <is>
          <t>hist-5ba4bff80a451fd1</t>
        </is>
      </c>
      <c r="B158" s="82" t="n">
        <v>46238</v>
      </c>
      <c r="C158" s="82" t="n">
        <v>46226</v>
      </c>
      <c r="D158" t="inlineStr">
        <is>
          <t>搜狐</t>
        </is>
      </c>
      <c r="E158" t="inlineStr">
        <is>
          <t>其他</t>
        </is>
      </c>
      <c r="F158" t="inlineStr">
        <is>
          <t>公共文化机构转载</t>
        </is>
      </c>
      <c r="G158" t="inlineStr">
        <is>
          <t>云贵高原生活指南</t>
        </is>
      </c>
      <c r="H158" t="inlineStr">
        <is>
          <t>文山州文化馆相关账号转载法律图解，属于地方公共文化机构开展的网络普法线索。</t>
        </is>
      </c>
      <c r="I158" t="inlineStr">
        <is>
          <t>https://www.sohu.com/a/1053849380_121106902</t>
        </is>
      </c>
      <c r="J158" t="inlineStr">
        <is>
          <t>文山壮族苗族自治州</t>
        </is>
      </c>
      <c r="L158" t="inlineStr">
        <is>
          <t>云南</t>
        </is>
      </c>
      <c r="O158" t="inlineStr">
        <is>
          <t>中文</t>
        </is>
      </c>
      <c r="P158" t="inlineStr">
        <is>
          <t>否</t>
        </is>
      </c>
      <c r="Q158" t="inlineStr">
        <is>
          <t>中性信息</t>
        </is>
      </c>
      <c r="R158" t="inlineStr">
        <is>
          <t>一图读懂；网络普法；公共文化机构</t>
        </is>
      </c>
      <c r="S158" t="n">
        <v>0</v>
      </c>
      <c r="T158" t="n">
        <v>0</v>
      </c>
      <c r="U158" t="n">
        <v>0</v>
      </c>
      <c r="V158" t="inlineStr">
        <is>
          <t>否</t>
        </is>
      </c>
      <c r="W158" t="inlineStr">
        <is>
          <t>是</t>
        </is>
      </c>
      <c r="X158" t="inlineStr">
        <is>
          <t>历史导入:云南东中部民族地区_舆情监测_最终修正版.xlsx；数据编号:YN12-008；来源类型:公共文化机构转载；检索关键词:民族团结进步促进法＋文山壮族苗族自治州＋学习贯彻/公众意见</t>
        </is>
      </c>
    </row>
    <row r="159">
      <c r="A159" t="inlineStr">
        <is>
          <t>hist-9ba7c9bd67baa9c5</t>
        </is>
      </c>
      <c r="B159" s="82" t="n">
        <v>46238</v>
      </c>
      <c r="C159" s="82" t="n">
        <v>46230</v>
      </c>
      <c r="D159" t="inlineStr">
        <is>
          <t>国家民族事务委员会网站</t>
        </is>
      </c>
      <c r="E159" t="inlineStr">
        <is>
          <t>其他</t>
        </is>
      </c>
      <c r="F159" t="inlineStr">
        <is>
          <t>官方实施信息</t>
        </is>
      </c>
      <c r="G159" t="inlineStr">
        <is>
          <t>地方动态</t>
        </is>
      </c>
      <c r="H159" t="inlineStr">
        <is>
          <t>国家民委报道楚雄州示范宣讲及后续学习、全域普法和机制完善安排，并单列禄丰市落实举措。</t>
        </is>
      </c>
      <c r="I159" t="inlineStr">
        <is>
          <t>https://www.neac.gov.cn/seac/xwzx/202607/1193046.shtml</t>
        </is>
      </c>
      <c r="J159" t="inlineStr">
        <is>
          <t>楚雄彝族自治州</t>
        </is>
      </c>
      <c r="L159" t="inlineStr">
        <is>
          <t>云南</t>
        </is>
      </c>
      <c r="O159" t="inlineStr">
        <is>
          <t>中文</t>
        </is>
      </c>
      <c r="P159" t="inlineStr">
        <is>
          <t>否</t>
        </is>
      </c>
      <c r="Q159" t="inlineStr">
        <is>
          <t>官方政策信息</t>
        </is>
      </c>
      <c r="R159" t="inlineStr">
        <is>
          <t>示范宣讲；普法十进；干部教育</t>
        </is>
      </c>
      <c r="S159" t="n">
        <v>0</v>
      </c>
      <c r="T159" t="n">
        <v>0</v>
      </c>
      <c r="U159" t="n">
        <v>0</v>
      </c>
      <c r="V159" t="inlineStr">
        <is>
          <t>否</t>
        </is>
      </c>
      <c r="W159" t="inlineStr">
        <is>
          <t>是</t>
        </is>
      </c>
      <c r="X159" t="inlineStr">
        <is>
          <t>历史导入:云南东中部民族地区_舆情监测_最终修正版.xlsx；数据编号:YN12-009；来源类型:官方实施信息；检索关键词:民族团结进步促进法＋楚雄彝族自治州＋学习贯彻/公众意见</t>
        </is>
      </c>
    </row>
    <row r="160">
      <c r="A160" t="inlineStr">
        <is>
          <t>hist-812324c4f2d530f9</t>
        </is>
      </c>
      <c r="B160" s="82" t="n">
        <v>46238</v>
      </c>
      <c r="C160" s="82" t="n">
        <v>46231</v>
      </c>
      <c r="D160" t="inlineStr">
        <is>
          <t>云南宣传网</t>
        </is>
      </c>
      <c r="E160" t="inlineStr">
        <is>
          <t>其他</t>
        </is>
      </c>
      <c r="F160" t="inlineStr">
        <is>
          <t>官方政策信息</t>
        </is>
      </c>
      <c r="G160" t="inlineStr">
        <is>
          <t>焦点／新闻发布会实录</t>
        </is>
      </c>
      <c r="H160" t="inlineStr">
        <is>
          <t>省级新闻发布会系统说明法律施行后的学习培训、宣传教育、制度建设和民族语言传播安排。</t>
        </is>
      </c>
      <c r="I160" t="inlineStr">
        <is>
          <t>https://www.ynxc.gov.cn/html/2026/focus_0728/3036137.html</t>
        </is>
      </c>
      <c r="J160" t="inlineStr">
        <is>
          <t>云南全省（覆盖本人分工地区）</t>
        </is>
      </c>
      <c r="L160" t="inlineStr">
        <is>
          <t>云南</t>
        </is>
      </c>
      <c r="O160" t="inlineStr">
        <is>
          <t>中文</t>
        </is>
      </c>
      <c r="P160" t="inlineStr">
        <is>
          <t>否</t>
        </is>
      </c>
      <c r="Q160" t="inlineStr">
        <is>
          <t>官方政策信息</t>
        </is>
      </c>
      <c r="R160" t="inlineStr">
        <is>
          <t>省级实施；专题培训；民族语言普法；配套法规</t>
        </is>
      </c>
      <c r="S160" t="n">
        <v>0</v>
      </c>
      <c r="T160" t="n">
        <v>0</v>
      </c>
      <c r="U160" t="n">
        <v>0</v>
      </c>
      <c r="V160" t="inlineStr">
        <is>
          <t>否</t>
        </is>
      </c>
      <c r="W160" t="inlineStr">
        <is>
          <t>是</t>
        </is>
      </c>
      <c r="X160" t="inlineStr">
        <is>
          <t>历史导入:云南东中部民族地区_舆情监测_最终修正版.xlsx；数据编号:YN12-011；来源类型:官方政策信息；检索关键词:民族团结进步促进法＋云南全省＋学习贯彻/公众意见</t>
        </is>
      </c>
    </row>
    <row r="161">
      <c r="A161" t="inlineStr">
        <is>
          <t>hist-d8e7b01c08cc350c</t>
        </is>
      </c>
      <c r="B161" s="82" t="n">
        <v>46238</v>
      </c>
      <c r="C161" s="82" t="n">
        <v>46232</v>
      </c>
      <c r="D161" t="inlineStr">
        <is>
          <t>国家民族事务委员会网站</t>
        </is>
      </c>
      <c r="E161" t="inlineStr">
        <is>
          <t>其他</t>
        </is>
      </c>
      <c r="F161" t="inlineStr">
        <is>
          <t>官方实施／媒体报道</t>
        </is>
      </c>
      <c r="G161" t="inlineStr">
        <is>
          <t>地方动态</t>
        </is>
      </c>
      <c r="H161" t="inlineStr">
        <is>
          <t>报道云南人大以立法清理、监督和基层联系点推动法律实施，并提及多个本人负责地区的实践。</t>
        </is>
      </c>
      <c r="I161" t="inlineStr">
        <is>
          <t>https://www.neac.gov.cn/seac/xwzx/202607/1193171.shtml</t>
        </is>
      </c>
      <c r="J161" t="inlineStr">
        <is>
          <t>云南全省；涉及楚雄、文山、西双版纳、石林等</t>
        </is>
      </c>
      <c r="L161" t="inlineStr">
        <is>
          <t>云南</t>
        </is>
      </c>
      <c r="O161" t="inlineStr">
        <is>
          <t>中文</t>
        </is>
      </c>
      <c r="P161" t="inlineStr">
        <is>
          <t>否</t>
        </is>
      </c>
      <c r="Q161" t="inlineStr">
        <is>
          <t>官方政策信息</t>
        </is>
      </c>
      <c r="R161" t="inlineStr">
        <is>
          <t>法规清理；人大监督；基层联系点</t>
        </is>
      </c>
      <c r="S161" t="n">
        <v>0</v>
      </c>
      <c r="T161" t="n">
        <v>0</v>
      </c>
      <c r="U161" t="n">
        <v>0</v>
      </c>
      <c r="V161" t="inlineStr">
        <is>
          <t>否</t>
        </is>
      </c>
      <c r="W161" t="inlineStr">
        <is>
          <t>是</t>
        </is>
      </c>
      <c r="X161" t="inlineStr">
        <is>
          <t>历史导入:云南东中部民族地区_舆情监测_最终修正版.xlsx；数据编号:YN12-012；来源类型:官方实施／媒体报道；检索关键词:民族团结进步促进法＋云南全省＋学习贯彻/公众意见</t>
        </is>
      </c>
    </row>
    <row r="162">
      <c r="A162" t="inlineStr">
        <is>
          <t>hist-7dfbfffe2e518721</t>
        </is>
      </c>
      <c r="B162" s="82" t="n">
        <v>46238</v>
      </c>
      <c r="C162" s="82" t="n">
        <v>46233</v>
      </c>
      <c r="D162" t="inlineStr">
        <is>
          <t>红河州人民政府网站</t>
        </is>
      </c>
      <c r="E162" t="inlineStr">
        <is>
          <t>省市政务/媒体网站</t>
        </is>
      </c>
      <c r="F162" t="inlineStr">
        <is>
          <t>官方实施信息</t>
        </is>
      </c>
      <c r="G162" t="inlineStr">
        <is>
          <t>政务动态</t>
        </is>
      </c>
      <c r="H162" t="inlineStr">
        <is>
          <t>红河州以视频会议形式面向州县开展示范宣讲，并部署学习培训、宣传教育和贯彻落实。</t>
        </is>
      </c>
      <c r="I162" t="inlineStr">
        <is>
          <t>https://www.hh.gov.cn/info/195822/1275862.htm</t>
        </is>
      </c>
      <c r="J162" t="inlineStr">
        <is>
          <t>红河哈尼族彝族自治州</t>
        </is>
      </c>
      <c r="L162" t="inlineStr">
        <is>
          <t>云南</t>
        </is>
      </c>
      <c r="O162" t="inlineStr">
        <is>
          <t>中文</t>
        </is>
      </c>
      <c r="P162" t="inlineStr">
        <is>
          <t>否</t>
        </is>
      </c>
      <c r="Q162" t="inlineStr">
        <is>
          <t>官方政策信息</t>
        </is>
      </c>
      <c r="R162" t="inlineStr">
        <is>
          <t>示范宣讲；干部培训；边境普法</t>
        </is>
      </c>
      <c r="S162" t="n">
        <v>0</v>
      </c>
      <c r="T162" t="n">
        <v>0</v>
      </c>
      <c r="U162" t="n">
        <v>0</v>
      </c>
      <c r="V162" t="inlineStr">
        <is>
          <t>否</t>
        </is>
      </c>
      <c r="W162" t="inlineStr">
        <is>
          <t>是</t>
        </is>
      </c>
      <c r="X162" t="inlineStr">
        <is>
          <t>历史导入:云南东中部民族地区_舆情监测_最终修正版.xlsx；数据编号:YN12-013；来源类型:官方实施信息；检索关键词:民族团结进步促进法＋红河哈尼族彝族自治州＋学习贯彻/公众意见</t>
        </is>
      </c>
    </row>
    <row r="163">
      <c r="A163" t="inlineStr">
        <is>
          <t>hist-2cc422be2c449da5</t>
        </is>
      </c>
      <c r="B163" s="82" t="n">
        <v>46239</v>
      </c>
      <c r="C163" s="82" t="n">
        <v>46226</v>
      </c>
      <c r="D163" t="inlineStr">
        <is>
          <t>微信公众号：楚雄发布</t>
        </is>
      </c>
      <c r="E163" t="inlineStr">
        <is>
          <t>微信公众号/视频号</t>
        </is>
      </c>
      <c r="F163" t="inlineStr">
        <is>
          <t>官方实施信息</t>
        </is>
      </c>
      <c r="G163" t="inlineStr">
        <is>
          <t>楚雄发布</t>
        </is>
      </c>
      <c r="H163" t="inlineStr">
        <is>
          <t>国家民委专题宣讲团在楚雄州开展示范宣讲，楚雄州部署干部学习、普法“十进”和贯彻实施工作。</t>
        </is>
      </c>
      <c r="I163" t="inlineStr">
        <is>
          <t>https://mp.weixin.qq.com/s/rjvhuYTkjGL1WAalM_Khdg</t>
        </is>
      </c>
      <c r="J163" t="inlineStr">
        <is>
          <t>楚雄彝族自治州</t>
        </is>
      </c>
      <c r="L163" t="inlineStr">
        <is>
          <t>云南</t>
        </is>
      </c>
      <c r="O163" t="inlineStr">
        <is>
          <t>中文</t>
        </is>
      </c>
      <c r="P163" t="inlineStr">
        <is>
          <t>否</t>
        </is>
      </c>
      <c r="Q163" t="inlineStr">
        <is>
          <t>官方政策信息</t>
        </is>
      </c>
      <c r="R163" t="inlineStr">
        <is>
          <t>示范宣讲；普法十进；干部学习；州县联动</t>
        </is>
      </c>
      <c r="S163" t="n">
        <v>6</v>
      </c>
      <c r="T163" t="n">
        <v>0</v>
      </c>
      <c r="U163" t="n">
        <v>22</v>
      </c>
      <c r="V163" t="inlineStr">
        <is>
          <t>否</t>
        </is>
      </c>
      <c r="W163" t="inlineStr">
        <is>
          <t>是</t>
        </is>
      </c>
      <c r="X163" t="inlineStr">
        <is>
          <t>历史导入:云南东中部民族地区_舆情监测_最终修正版.xlsx；数据编号:YN12-014；来源类型:官方实施信息；检索关键词:民族团结进步促进法＋楚雄＋示范宣讲</t>
        </is>
      </c>
    </row>
    <row r="164">
      <c r="A164" t="inlineStr">
        <is>
          <t>hist-ebab88040f8f2043</t>
        </is>
      </c>
      <c r="B164" s="82" t="n">
        <v>46239</v>
      </c>
      <c r="C164" s="82" t="n">
        <v>46234</v>
      </c>
      <c r="D164" t="inlineStr">
        <is>
          <t>微信公众号：文山发布</t>
        </is>
      </c>
      <c r="E164" t="inlineStr">
        <is>
          <t>微信公众号/视频号</t>
        </is>
      </c>
      <c r="F164" t="inlineStr">
        <is>
          <t>官方新媒体普法</t>
        </is>
      </c>
      <c r="G164" t="inlineStr">
        <is>
          <t>文山发布</t>
        </is>
      </c>
      <c r="H164" t="inlineStr">
        <is>
          <t>文山发布制作短视频，介绍法律施行时间和主要内容。</t>
        </is>
      </c>
      <c r="I164" t="inlineStr">
        <is>
          <t>https://mp.weixin.qq.com/s/Ln_MjF0kzEB28LkYwuWJuQ</t>
        </is>
      </c>
      <c r="J164" t="inlineStr">
        <is>
          <t>文山壮族苗族自治州</t>
        </is>
      </c>
      <c r="L164" t="inlineStr">
        <is>
          <t>云南</t>
        </is>
      </c>
      <c r="O164" t="inlineStr">
        <is>
          <t>中文</t>
        </is>
      </c>
      <c r="P164" t="inlineStr">
        <is>
          <t>否</t>
        </is>
      </c>
      <c r="Q164" t="inlineStr">
        <is>
          <t>官方政策信息</t>
        </is>
      </c>
      <c r="R164" t="inlineStr">
        <is>
          <t>短视频普法；法律解读</t>
        </is>
      </c>
      <c r="S164" t="n">
        <v>3</v>
      </c>
      <c r="T164" t="n">
        <v>0</v>
      </c>
      <c r="U164" t="n">
        <v>15</v>
      </c>
      <c r="V164" t="inlineStr">
        <is>
          <t>否</t>
        </is>
      </c>
      <c r="W164" t="inlineStr">
        <is>
          <t>是</t>
        </is>
      </c>
      <c r="X164" t="inlineStr">
        <is>
          <t>历史导入:云南东中部民族地区_舆情监测_最终修正版.xlsx；数据编号:YN12-015；来源类型:官方新媒体普法；检索关键词:民族团结进步促进法＋文山＋短视频普法</t>
        </is>
      </c>
    </row>
    <row r="165">
      <c r="A165" t="inlineStr">
        <is>
          <t>hist-7ff0bb43a1bb7381</t>
        </is>
      </c>
      <c r="B165" s="82" t="n">
        <v>46239</v>
      </c>
      <c r="C165" s="82" t="n">
        <v>46231</v>
      </c>
      <c r="D165" t="inlineStr">
        <is>
          <t>微信公众号：文山发布</t>
        </is>
      </c>
      <c r="E165" t="inlineStr">
        <is>
          <t>微信公众号/视频号</t>
        </is>
      </c>
      <c r="F165" t="inlineStr">
        <is>
          <t>官方实施信息</t>
        </is>
      </c>
      <c r="G165" t="inlineStr">
        <is>
          <t>文山发布</t>
        </is>
      </c>
      <c r="H165" t="inlineStr">
        <is>
          <t>国家民委宣讲团在文山开展示范宣讲并部署学习贯彻。</t>
        </is>
      </c>
      <c r="I165" t="inlineStr">
        <is>
          <t>https://mp.weixin.qq.com/s/eiK-qw_JIC9ZK36k0vWw-A</t>
        </is>
      </c>
      <c r="J165" t="inlineStr">
        <is>
          <t>文山壮族苗族自治州</t>
        </is>
      </c>
      <c r="L165" t="inlineStr">
        <is>
          <t>云南</t>
        </is>
      </c>
      <c r="O165" t="inlineStr">
        <is>
          <t>中文</t>
        </is>
      </c>
      <c r="P165" t="inlineStr">
        <is>
          <t>否</t>
        </is>
      </c>
      <c r="Q165" t="inlineStr">
        <is>
          <t>官方政策信息</t>
        </is>
      </c>
      <c r="R165" t="inlineStr">
        <is>
          <t>示范宣讲；干部学习</t>
        </is>
      </c>
      <c r="S165" t="n">
        <v>4</v>
      </c>
      <c r="T165" t="n">
        <v>0</v>
      </c>
      <c r="U165" t="n">
        <v>26</v>
      </c>
      <c r="V165" t="inlineStr">
        <is>
          <t>否</t>
        </is>
      </c>
      <c r="W165" t="inlineStr">
        <is>
          <t>是</t>
        </is>
      </c>
      <c r="X165" t="inlineStr">
        <is>
          <t>历史导入:云南东中部民族地区_舆情监测_最终修正版.xlsx；数据编号:YN12-016；来源类型:官方实施信息；检索关键词:民族团结进步促进法＋文山＋示范宣讲</t>
        </is>
      </c>
    </row>
    <row r="166">
      <c r="A166" t="inlineStr">
        <is>
          <t>hist-8c0031fcbe931409</t>
        </is>
      </c>
      <c r="B166" s="82" t="n">
        <v>46239</v>
      </c>
      <c r="C166" s="82" t="n">
        <v>46232</v>
      </c>
      <c r="D166" t="inlineStr">
        <is>
          <t>微信公众号：文山民族团结进步示范创建</t>
        </is>
      </c>
      <c r="E166" t="inlineStr">
        <is>
          <t>微信公众号/视频号</t>
        </is>
      </c>
      <c r="F166" t="inlineStr">
        <is>
          <t>官方实施信息</t>
        </is>
      </c>
      <c r="G166" t="inlineStr">
        <is>
          <t>文山民族团结进步示范创建</t>
        </is>
      </c>
      <c r="H166" t="inlineStr">
        <is>
          <t>麻栗坡县开展县级法律宣传和国家通用语言文字推广活动。</t>
        </is>
      </c>
      <c r="I166" t="inlineStr">
        <is>
          <t>https://mp.weixin.qq.com/s/LsNpcKSvh_TQi85RILfrcQ</t>
        </is>
      </c>
      <c r="J166" t="inlineStr">
        <is>
          <t>麻栗坡县（文山州）</t>
        </is>
      </c>
      <c r="L166" t="inlineStr">
        <is>
          <t>云南</t>
        </is>
      </c>
      <c r="O166" t="inlineStr">
        <is>
          <t>中文</t>
        </is>
      </c>
      <c r="P166" t="inlineStr">
        <is>
          <t>否</t>
        </is>
      </c>
      <c r="Q166" t="inlineStr">
        <is>
          <t>官方政策信息</t>
        </is>
      </c>
      <c r="R166" t="inlineStr">
        <is>
          <t>县级普法；国家通用语言文字</t>
        </is>
      </c>
      <c r="S166" t="n">
        <v>0</v>
      </c>
      <c r="T166" t="n">
        <v>0</v>
      </c>
      <c r="U166" t="n">
        <v>2</v>
      </c>
      <c r="V166" t="inlineStr">
        <is>
          <t>否</t>
        </is>
      </c>
      <c r="W166" t="inlineStr">
        <is>
          <t>是</t>
        </is>
      </c>
      <c r="X166" t="inlineStr">
        <is>
          <t>历史导入:云南东中部民族地区_舆情监测_最终修正版.xlsx；数据编号:YN12-017；来源类型:官方实施信息；检索关键词:民族团结进步促进法＋麻栗坡＋国家通用语言文字</t>
        </is>
      </c>
    </row>
    <row r="167">
      <c r="A167" t="inlineStr">
        <is>
          <t>hist-e9e517c12afd99c1</t>
        </is>
      </c>
      <c r="B167" s="82" t="n">
        <v>46239</v>
      </c>
      <c r="C167" s="82" t="n">
        <v>46237</v>
      </c>
      <c r="D167" t="inlineStr">
        <is>
          <t>微信公众号：文山民族团结进步示范创建</t>
        </is>
      </c>
      <c r="E167" t="inlineStr">
        <is>
          <t>微信公众号/视频号</t>
        </is>
      </c>
      <c r="F167" t="inlineStr">
        <is>
          <t>官方实施信息</t>
        </is>
      </c>
      <c r="G167" t="inlineStr">
        <is>
          <t>文山民族团结进步示范创建</t>
        </is>
      </c>
      <c r="H167" t="inlineStr">
        <is>
          <t>社科系统开展法律专题学习并赴砚山县调研。</t>
        </is>
      </c>
      <c r="I167" t="inlineStr">
        <is>
          <t>https://mp.weixin.qq.com/s/yjNvqY6ZlpALoGCigbT0uA</t>
        </is>
      </c>
      <c r="J167" t="inlineStr">
        <is>
          <t>文山壮族苗族自治州</t>
        </is>
      </c>
      <c r="L167" t="inlineStr">
        <is>
          <t>云南</t>
        </is>
      </c>
      <c r="O167" t="inlineStr">
        <is>
          <t>中文</t>
        </is>
      </c>
      <c r="P167" t="inlineStr">
        <is>
          <t>否</t>
        </is>
      </c>
      <c r="Q167" t="inlineStr">
        <is>
          <t>官方政策信息</t>
        </is>
      </c>
      <c r="R167" t="inlineStr">
        <is>
          <t>专题学习；实地调研</t>
        </is>
      </c>
      <c r="S167" t="n">
        <v>0</v>
      </c>
      <c r="T167" t="n">
        <v>0</v>
      </c>
      <c r="U167" t="n">
        <v>2</v>
      </c>
      <c r="V167" t="inlineStr">
        <is>
          <t>否</t>
        </is>
      </c>
      <c r="W167" t="inlineStr">
        <is>
          <t>是</t>
        </is>
      </c>
      <c r="X167" t="inlineStr">
        <is>
          <t>历史导入:云南东中部民族地区_舆情监测_最终修正版.xlsx；数据编号:YN12-018；来源类型:官方实施信息；检索关键词:民族团结进步促进法＋文山＋社科系统＋调研</t>
        </is>
      </c>
    </row>
    <row r="168">
      <c r="A168" t="inlineStr">
        <is>
          <t>hist-7c22b55c3ca87796</t>
        </is>
      </c>
      <c r="B168" s="82" t="n">
        <v>46239</v>
      </c>
      <c r="C168" s="82" t="n">
        <v>46216</v>
      </c>
      <c r="D168" t="inlineStr">
        <is>
          <t>微信公众号：西双版纳民族团结进步创建</t>
        </is>
      </c>
      <c r="E168" t="inlineStr">
        <is>
          <t>微信公众号/视频号</t>
        </is>
      </c>
      <c r="F168" t="inlineStr">
        <is>
          <t>官方实施信息</t>
        </is>
      </c>
      <c r="G168" t="inlineStr">
        <is>
          <t>西双版纳民族团结进步创建</t>
        </is>
      </c>
      <c r="H168" t="inlineStr">
        <is>
          <t>州民委在基层帮扶活动中围绕本法开展普法宣讲。</t>
        </is>
      </c>
      <c r="I168" t="inlineStr">
        <is>
          <t>https://mp.weixin.qq.com/s/8bAL3xFYgfw2SddqZ9Svpg</t>
        </is>
      </c>
      <c r="J168" t="inlineStr">
        <is>
          <t>景洪市（西双版纳州）</t>
        </is>
      </c>
      <c r="L168" t="inlineStr">
        <is>
          <t>云南</t>
        </is>
      </c>
      <c r="O168" t="inlineStr">
        <is>
          <t>中文</t>
        </is>
      </c>
      <c r="P168" t="inlineStr">
        <is>
          <t>否</t>
        </is>
      </c>
      <c r="Q168" t="inlineStr">
        <is>
          <t>官方政策信息</t>
        </is>
      </c>
      <c r="R168" t="inlineStr">
        <is>
          <t>基层帮扶；普法宣讲</t>
        </is>
      </c>
      <c r="S168" t="n">
        <v>1</v>
      </c>
      <c r="T168" t="n">
        <v>0</v>
      </c>
      <c r="U168" t="n">
        <v>3</v>
      </c>
      <c r="V168" t="inlineStr">
        <is>
          <t>否</t>
        </is>
      </c>
      <c r="W168" t="inlineStr">
        <is>
          <t>是</t>
        </is>
      </c>
      <c r="X168" t="inlineStr">
        <is>
          <t>历史导入:云南东中部民族地区_舆情监测_最终修正版.xlsx；数据编号:YN12-019；来源类型:官方实施信息；检索关键词:民族团结进步促进法＋西双版纳＋帮扶＋普法</t>
        </is>
      </c>
    </row>
    <row r="169">
      <c r="A169" t="inlineStr">
        <is>
          <t>hist-4bfa4224e68d5ab4</t>
        </is>
      </c>
      <c r="B169" s="82" t="n">
        <v>46239</v>
      </c>
      <c r="C169" s="82" t="n">
        <v>46212</v>
      </c>
      <c r="D169" t="inlineStr">
        <is>
          <t>微信公众号：沧源融媒</t>
        </is>
      </c>
      <c r="E169" t="inlineStr">
        <is>
          <t>微信公众号/视频号</t>
        </is>
      </c>
      <c r="F169" t="inlineStr">
        <is>
          <t>政策全文转载／网络普法</t>
        </is>
      </c>
      <c r="G169" t="inlineStr">
        <is>
          <t>沧源融媒</t>
        </is>
      </c>
      <c r="H169" t="inlineStr">
        <is>
          <t>沧源融媒发布法律全文和章节目录。</t>
        </is>
      </c>
      <c r="I169" t="inlineStr">
        <is>
          <t>https://mp.weixin.qq.com/s/8M0yNdGF5ZFBoW9cNFvxTQ</t>
        </is>
      </c>
      <c r="J169" t="inlineStr">
        <is>
          <t>沧源佤族自治县</t>
        </is>
      </c>
      <c r="L169" t="inlineStr">
        <is>
          <t>云南</t>
        </is>
      </c>
      <c r="O169" t="inlineStr">
        <is>
          <t>中文</t>
        </is>
      </c>
      <c r="P169" t="inlineStr">
        <is>
          <t>否</t>
        </is>
      </c>
      <c r="Q169" t="inlineStr">
        <is>
          <t>中性信息</t>
        </is>
      </c>
      <c r="R169" t="inlineStr">
        <is>
          <t>法律全文；网络普法</t>
        </is>
      </c>
      <c r="S169" t="n">
        <v>10</v>
      </c>
      <c r="T169" t="n">
        <v>0</v>
      </c>
      <c r="U169" t="n">
        <v>17</v>
      </c>
      <c r="V169" t="inlineStr">
        <is>
          <t>否</t>
        </is>
      </c>
      <c r="W169" t="inlineStr">
        <is>
          <t>是</t>
        </is>
      </c>
      <c r="X169" t="inlineStr">
        <is>
          <t>历史导入:云南东中部民族地区_舆情监测_最终修正版.xlsx；数据编号:YN12-020；来源类型:政策全文转载／网络普法；检索关键词:民族团结进步促进法＋沧源＋法律全文</t>
        </is>
      </c>
    </row>
    <row r="170">
      <c r="A170" t="inlineStr">
        <is>
          <t>hist-fcaa5c4791413dec</t>
        </is>
      </c>
      <c r="B170" s="82" t="n">
        <v>46239</v>
      </c>
      <c r="C170" s="82" t="n">
        <v>46210</v>
      </c>
      <c r="D170" t="inlineStr">
        <is>
          <t>微信公众号：沧源融媒</t>
        </is>
      </c>
      <c r="E170" t="inlineStr">
        <is>
          <t>微信公众号/视频号</t>
        </is>
      </c>
      <c r="F170" t="inlineStr">
        <is>
          <t>官方新媒体普法</t>
        </is>
      </c>
      <c r="G170" t="inlineStr">
        <is>
          <t>沧源融媒</t>
        </is>
      </c>
      <c r="H170" t="inlineStr">
        <is>
          <t>沧源融媒通过图解形式介绍法律主要内容。</t>
        </is>
      </c>
      <c r="I170" t="inlineStr">
        <is>
          <t>https://mp.weixin.qq.com/s/QEFps9Ps-f-mYH9fJX5WPQ</t>
        </is>
      </c>
      <c r="J170" t="inlineStr">
        <is>
          <t>沧源佤族自治县</t>
        </is>
      </c>
      <c r="L170" t="inlineStr">
        <is>
          <t>云南</t>
        </is>
      </c>
      <c r="O170" t="inlineStr">
        <is>
          <t>中文</t>
        </is>
      </c>
      <c r="P170" t="inlineStr">
        <is>
          <t>否</t>
        </is>
      </c>
      <c r="Q170" t="inlineStr">
        <is>
          <t>中性信息</t>
        </is>
      </c>
      <c r="R170" t="inlineStr">
        <is>
          <t>一图了解；普法强基</t>
        </is>
      </c>
      <c r="S170" t="n">
        <v>0</v>
      </c>
      <c r="T170" t="n">
        <v>0</v>
      </c>
      <c r="U170" t="n">
        <v>0</v>
      </c>
      <c r="V170" t="inlineStr">
        <is>
          <t>否</t>
        </is>
      </c>
      <c r="W170" t="inlineStr">
        <is>
          <t>是</t>
        </is>
      </c>
      <c r="X170" t="inlineStr">
        <is>
          <t>历史导入:云南东中部民族地区_舆情监测_最终修正版.xlsx；数据编号:YN12-021；来源类型:官方新媒体普法；检索关键词:民族团结进步促进法＋沧源＋一图了解</t>
        </is>
      </c>
    </row>
    <row r="171">
      <c r="A171" t="inlineStr">
        <is>
          <t>hist-abb97af89d43edac</t>
        </is>
      </c>
      <c r="B171" s="82" t="n">
        <v>46252.9403587963</v>
      </c>
      <c r="D171" t="inlineStr">
        <is>
          <t>哔哩哔哩</t>
        </is>
      </c>
      <c r="E171" t="inlineStr">
        <is>
          <t>知乎/B站/百度知道</t>
        </is>
      </c>
      <c r="F171" t="inlineStr">
        <is>
          <t>个人视频观点／时政解读</t>
        </is>
      </c>
      <c r="G171" t="inlineStr">
        <is>
          <t>伯侯视野（站内搜索显示）</t>
        </is>
      </c>
      <c r="H171" t="inlineStr">
        <is>
          <t>B站视频围绕法律生效后的国际反应展开，页面显示评论258条。</t>
        </is>
      </c>
      <c r="I171" t="inlineStr">
        <is>
          <t>https://www.bilibili.com/video/BV1DsTr6QEBo/</t>
        </is>
      </c>
      <c r="J171" t="inlineStr">
        <is>
          <t>全国性公众平台（非云南限定）</t>
        </is>
      </c>
      <c r="L171" t="inlineStr">
        <is>
          <t>云南</t>
        </is>
      </c>
      <c r="O171" t="inlineStr">
        <is>
          <t>中文</t>
        </is>
      </c>
      <c r="P171" t="inlineStr">
        <is>
          <t>否</t>
        </is>
      </c>
      <c r="Q171" t="inlineStr">
        <is>
          <t>中性信息</t>
        </is>
      </c>
      <c r="R171" t="inlineStr">
        <is>
          <t>法律生效；国际反应；公众评论</t>
        </is>
      </c>
      <c r="S171" t="n">
        <v>0</v>
      </c>
      <c r="T171" t="n">
        <v>258</v>
      </c>
      <c r="U171" t="n">
        <v>0</v>
      </c>
      <c r="V171" t="inlineStr">
        <is>
          <t>否</t>
        </is>
      </c>
      <c r="W171" t="inlineStr">
        <is>
          <t>是</t>
        </is>
      </c>
      <c r="X171" t="inlineStr">
        <is>
          <t>历史导入:云南东中部民族地区_舆情监测_最终修正版.xlsx；数据编号:YN12-022；来源类型:个人视频观点／时政解读；检索关键词:民族团结法＋B站＋美国议员抗议</t>
        </is>
      </c>
    </row>
    <row r="172">
      <c r="A172" t="inlineStr">
        <is>
          <t>hist-b62fb04d27ac8a6c</t>
        </is>
      </c>
      <c r="B172" s="82" t="n">
        <v>46240</v>
      </c>
      <c r="D172" t="inlineStr">
        <is>
          <t>抖音</t>
        </is>
      </c>
      <c r="E172" t="inlineStr">
        <is>
          <t>抖音等视频平台</t>
        </is>
      </c>
      <c r="F172" t="inlineStr">
        <is>
          <t>公众评论</t>
        </is>
      </c>
      <c r="G172" t="inlineStr">
        <is>
          <t>五菱宏光三挡起步如何操作</t>
        </is>
      </c>
      <c r="H172" t="inlineStr">
        <is>
          <t>我是一个回族😂 证照基本已经听的疲倦了！给国家点赞！！</t>
        </is>
      </c>
      <c r="I172" t="inlineStr">
        <is>
          <t>https://v.douyin.com/BgWA2HKnRL8/</t>
        </is>
      </c>
      <c r="J172" t="inlineStr">
        <is>
          <t>云南</t>
        </is>
      </c>
      <c r="L172" t="inlineStr">
        <is>
          <t>云南</t>
        </is>
      </c>
      <c r="O172" t="inlineStr">
        <is>
          <t>中文</t>
        </is>
      </c>
      <c r="P172" t="inlineStr">
        <is>
          <t>否</t>
        </is>
      </c>
      <c r="Q172" t="inlineStr">
        <is>
          <t>支持认可</t>
        </is>
      </c>
      <c r="R172" t="inlineStr">
        <is>
          <t>法律出台与平等保障</t>
        </is>
      </c>
      <c r="S172" t="n">
        <v>0</v>
      </c>
      <c r="T172" t="n">
        <v>0</v>
      </c>
      <c r="U172" t="n">
        <v>0</v>
      </c>
      <c r="V172" t="inlineStr">
        <is>
          <t>否</t>
        </is>
      </c>
      <c r="W172" t="inlineStr">
        <is>
          <t>否</t>
        </is>
      </c>
      <c r="X172" t="inlineStr">
        <is>
          <t>历史导入:云南地区民族团结进步促进法舆情监测_最终修正版.xlsx；数据编号:20260806-11-001；来源类型:公众评论；检索关键词:中华人民共和国民族团结进步促进法</t>
        </is>
      </c>
    </row>
    <row r="173">
      <c r="A173" t="inlineStr">
        <is>
          <t>hist-66410d89c159a51b</t>
        </is>
      </c>
      <c r="B173" s="82" t="n">
        <v>46240</v>
      </c>
      <c r="D173" t="inlineStr">
        <is>
          <t>抖音</t>
        </is>
      </c>
      <c r="E173" t="inlineStr">
        <is>
          <t>抖音等视频平台</t>
        </is>
      </c>
      <c r="F173" t="inlineStr">
        <is>
          <t>公众评论</t>
        </is>
      </c>
      <c r="G173" t="inlineStr">
        <is>
          <t>西幼</t>
        </is>
      </c>
      <c r="H173" t="inlineStr">
        <is>
          <t>不止，很多岗位都歧视少数民族的😊</t>
        </is>
      </c>
      <c r="I173" t="inlineStr">
        <is>
          <t>https://v.douyin.com/BgWA2HKnRL8/</t>
        </is>
      </c>
      <c r="J173" t="inlineStr">
        <is>
          <t>云南</t>
        </is>
      </c>
      <c r="L173" t="inlineStr">
        <is>
          <t>云南</t>
        </is>
      </c>
      <c r="O173" t="inlineStr">
        <is>
          <t>中文</t>
        </is>
      </c>
      <c r="P173" t="inlineStr">
        <is>
          <t>否</t>
        </is>
      </c>
      <c r="Q173" t="inlineStr">
        <is>
          <t>投诉维权</t>
        </is>
      </c>
      <c r="R173" t="inlineStr">
        <is>
          <t>就业招聘歧视</t>
        </is>
      </c>
      <c r="S173" t="n">
        <v>0</v>
      </c>
      <c r="T173" t="n">
        <v>0</v>
      </c>
      <c r="U173" t="n">
        <v>0</v>
      </c>
      <c r="V173" t="inlineStr">
        <is>
          <t>否</t>
        </is>
      </c>
      <c r="W173" t="inlineStr">
        <is>
          <t>否</t>
        </is>
      </c>
      <c r="X173" t="inlineStr">
        <is>
          <t>历史导入:云南地区民族团结进步促进法舆情监测_最终修正版.xlsx；数据编号:20260806-11-002；来源类型:公众评论；检索关键词:中华人民共和国民族团结进步促进法</t>
        </is>
      </c>
    </row>
    <row r="174">
      <c r="A174" t="inlineStr">
        <is>
          <t>hist-1dc5478c97f0b62d</t>
        </is>
      </c>
      <c r="B174" s="82" t="n">
        <v>46240</v>
      </c>
      <c r="D174" t="inlineStr">
        <is>
          <t>抖音</t>
        </is>
      </c>
      <c r="E174" t="inlineStr">
        <is>
          <t>抖音等视频平台</t>
        </is>
      </c>
      <c r="F174" t="inlineStr">
        <is>
          <t>公众评论</t>
        </is>
      </c>
      <c r="G174" t="inlineStr">
        <is>
          <t>阿伊莎穆伊</t>
        </is>
      </c>
      <c r="H174" t="inlineStr">
        <is>
          <t>太好了，回族经常被歧视😭</t>
        </is>
      </c>
      <c r="I174" t="inlineStr">
        <is>
          <t>https://v.douyin.com/BgWA2HKnRL8/</t>
        </is>
      </c>
      <c r="J174" t="inlineStr">
        <is>
          <t>云南</t>
        </is>
      </c>
      <c r="L174" t="inlineStr">
        <is>
          <t>云南</t>
        </is>
      </c>
      <c r="O174" t="inlineStr">
        <is>
          <t>中文</t>
        </is>
      </c>
      <c r="P174" t="inlineStr">
        <is>
          <t>否</t>
        </is>
      </c>
      <c r="Q174" t="inlineStr">
        <is>
          <t>支持认可</t>
        </is>
      </c>
      <c r="R174" t="inlineStr">
        <is>
          <t>日常歧视与平等保障</t>
        </is>
      </c>
      <c r="S174" t="n">
        <v>0</v>
      </c>
      <c r="T174" t="n">
        <v>0</v>
      </c>
      <c r="U174" t="n">
        <v>0</v>
      </c>
      <c r="V174" t="inlineStr">
        <is>
          <t>否</t>
        </is>
      </c>
      <c r="W174" t="inlineStr">
        <is>
          <t>否</t>
        </is>
      </c>
      <c r="X174" t="inlineStr">
        <is>
          <t>历史导入:云南地区民族团结进步促进法舆情监测_最终修正版.xlsx；数据编号:20260806-11-003；来源类型:公众评论；检索关键词:中华人民共和国民族团结进步促进法</t>
        </is>
      </c>
    </row>
    <row r="175">
      <c r="A175" t="inlineStr">
        <is>
          <t>hist-458e1d005f589775</t>
        </is>
      </c>
      <c r="B175" s="82" t="n">
        <v>46240</v>
      </c>
      <c r="D175" t="inlineStr">
        <is>
          <t>抖音</t>
        </is>
      </c>
      <c r="E175" t="inlineStr">
        <is>
          <t>抖音等视频平台</t>
        </is>
      </c>
      <c r="F175" t="inlineStr">
        <is>
          <t>公众评论</t>
        </is>
      </c>
      <c r="G175" t="inlineStr">
        <is>
          <t>小酸奶</t>
        </is>
      </c>
      <c r="H175" t="inlineStr">
        <is>
          <t>在云南，他们都骂我们苗子，给可以抓一哈😡😡😡，他们自以为是自以为很清高，哈哈莫名其妙骂我们</t>
        </is>
      </c>
      <c r="I175" t="inlineStr">
        <is>
          <t>https://v.douyin.com/BgWA2HKnRL8/</t>
        </is>
      </c>
      <c r="J175" t="inlineStr">
        <is>
          <t>云南</t>
        </is>
      </c>
      <c r="L175" t="inlineStr">
        <is>
          <t>云南</t>
        </is>
      </c>
      <c r="O175" t="inlineStr">
        <is>
          <t>中文</t>
        </is>
      </c>
      <c r="P175" t="inlineStr">
        <is>
          <t>否</t>
        </is>
      </c>
      <c r="Q175" t="inlineStr">
        <is>
          <t>投诉维权</t>
        </is>
      </c>
      <c r="R175" t="inlineStr">
        <is>
          <t>民族称谓与侮辱</t>
        </is>
      </c>
      <c r="S175" t="n">
        <v>0</v>
      </c>
      <c r="T175" t="n">
        <v>0</v>
      </c>
      <c r="U175" t="n">
        <v>0</v>
      </c>
      <c r="V175" t="inlineStr">
        <is>
          <t>否</t>
        </is>
      </c>
      <c r="W175" t="inlineStr">
        <is>
          <t>否</t>
        </is>
      </c>
      <c r="X175" t="inlineStr">
        <is>
          <t>历史导入:云南地区民族团结进步促进法舆情监测_最终修正版.xlsx；数据编号:20260806-11-004；来源类型:公众评论；检索关键词:中华人民共和国民族团结进步促进法</t>
        </is>
      </c>
    </row>
    <row r="176">
      <c r="A176" t="inlineStr">
        <is>
          <t>hist-62bd8b285f8d2c4f</t>
        </is>
      </c>
      <c r="B176" s="82" t="n">
        <v>46240</v>
      </c>
      <c r="D176" t="inlineStr">
        <is>
          <t>抖音</t>
        </is>
      </c>
      <c r="E176" t="inlineStr">
        <is>
          <t>抖音等视频平台</t>
        </is>
      </c>
      <c r="F176" t="inlineStr">
        <is>
          <t>公众评论</t>
        </is>
      </c>
      <c r="G176" t="inlineStr">
        <is>
          <t>冷知识</t>
        </is>
      </c>
      <c r="H176" t="inlineStr">
        <is>
          <t>希望早点落实👍👍👍</t>
        </is>
      </c>
      <c r="I176" t="inlineStr">
        <is>
          <t>https://v.douyin.com/BgWA2HKnRL8/</t>
        </is>
      </c>
      <c r="J176" t="inlineStr">
        <is>
          <t>新疆</t>
        </is>
      </c>
      <c r="L176" t="inlineStr">
        <is>
          <t>新疆</t>
        </is>
      </c>
      <c r="O176" t="inlineStr">
        <is>
          <t>中文</t>
        </is>
      </c>
      <c r="P176" t="inlineStr">
        <is>
          <t>否</t>
        </is>
      </c>
      <c r="Q176" t="inlineStr">
        <is>
          <t>支持认可</t>
        </is>
      </c>
      <c r="R176" t="inlineStr">
        <is>
          <t>实施期待</t>
        </is>
      </c>
      <c r="S176" t="n">
        <v>0</v>
      </c>
      <c r="T176" t="n">
        <v>0</v>
      </c>
      <c r="U176" t="n">
        <v>0</v>
      </c>
      <c r="V176" t="inlineStr">
        <is>
          <t>否</t>
        </is>
      </c>
      <c r="W176" t="inlineStr">
        <is>
          <t>否</t>
        </is>
      </c>
      <c r="X176" t="inlineStr">
        <is>
          <t>历史导入:云南地区民族团结进步促进法舆情监测_最终修正版.xlsx；数据编号:20260806-11-005；来源类型:公众评论；检索关键词:中华人民共和国民族团结进步促进法</t>
        </is>
      </c>
    </row>
    <row r="177">
      <c r="A177" t="inlineStr">
        <is>
          <t>hist-5cca7330948082e9</t>
        </is>
      </c>
      <c r="B177" s="82" t="n">
        <v>46240</v>
      </c>
      <c r="D177" t="inlineStr">
        <is>
          <t>抖音</t>
        </is>
      </c>
      <c r="E177" t="inlineStr">
        <is>
          <t>抖音等视频平台</t>
        </is>
      </c>
      <c r="F177" t="inlineStr">
        <is>
          <t>公众评论</t>
        </is>
      </c>
      <c r="G177" t="inlineStr">
        <is>
          <t>阿牛</t>
        </is>
      </c>
      <c r="H177" t="inlineStr">
        <is>
          <t>请问怎么举报？打什么电话举报？省得经常有人歧视我们回族，叫我们滚回阿拉伯去，我们是中国的回族，是热爱祖国的回族</t>
        </is>
      </c>
      <c r="I177" t="inlineStr">
        <is>
          <t>https://v.douyin.com/BgWA2HKnRL8/</t>
        </is>
      </c>
      <c r="J177" t="inlineStr">
        <is>
          <t>云南</t>
        </is>
      </c>
      <c r="L177" t="inlineStr">
        <is>
          <t>云南</t>
        </is>
      </c>
      <c r="O177" t="inlineStr">
        <is>
          <t>中文</t>
        </is>
      </c>
      <c r="P177" t="inlineStr">
        <is>
          <t>否</t>
        </is>
      </c>
      <c r="Q177" t="inlineStr">
        <is>
          <t>咨询疑问</t>
        </is>
      </c>
      <c r="R177" t="inlineStr">
        <is>
          <t>举报渠道与民族歧视</t>
        </is>
      </c>
      <c r="S177" t="n">
        <v>0</v>
      </c>
      <c r="T177" t="n">
        <v>0</v>
      </c>
      <c r="U177" t="n">
        <v>0</v>
      </c>
      <c r="V177" t="inlineStr">
        <is>
          <t>否</t>
        </is>
      </c>
      <c r="W177" t="inlineStr">
        <is>
          <t>否</t>
        </is>
      </c>
      <c r="X177" t="inlineStr">
        <is>
          <t>历史导入:云南地区民族团结进步促进法舆情监测_最终修正版.xlsx；数据编号:20260806-11-006；来源类型:公众评论；检索关键词:中华人民共和国民族团结进步促进法</t>
        </is>
      </c>
    </row>
    <row r="178">
      <c r="A178" t="inlineStr">
        <is>
          <t>hist-8563d5cb47f5a2e7</t>
        </is>
      </c>
      <c r="B178" s="82" t="n">
        <v>46240</v>
      </c>
      <c r="D178" t="inlineStr">
        <is>
          <t>抖音</t>
        </is>
      </c>
      <c r="E178" t="inlineStr">
        <is>
          <t>抖音等视频平台</t>
        </is>
      </c>
      <c r="F178" t="inlineStr">
        <is>
          <t>公众评论</t>
        </is>
      </c>
      <c r="G178" t="inlineStr">
        <is>
          <t>雨路</t>
        </is>
      </c>
      <c r="H178" t="inlineStr">
        <is>
          <t>有人打着各族团结的名誉，干恶心的事</t>
        </is>
      </c>
      <c r="I178" t="inlineStr">
        <is>
          <t>https://v.douyin.com/BgWA2HKnRL8/</t>
        </is>
      </c>
      <c r="J178" t="inlineStr">
        <is>
          <t>云南</t>
        </is>
      </c>
      <c r="L178" t="inlineStr">
        <is>
          <t>云南</t>
        </is>
      </c>
      <c r="O178" t="inlineStr">
        <is>
          <t>中文</t>
        </is>
      </c>
      <c r="P178" t="inlineStr">
        <is>
          <t>否</t>
        </is>
      </c>
      <c r="Q178" t="inlineStr">
        <is>
          <t>质疑反对</t>
        </is>
      </c>
      <c r="R178" t="inlineStr">
        <is>
          <t>制度执行与滥用担忧</t>
        </is>
      </c>
      <c r="S178" t="n">
        <v>0</v>
      </c>
      <c r="T178" t="n">
        <v>0</v>
      </c>
      <c r="U178" t="n">
        <v>0</v>
      </c>
      <c r="V178" t="inlineStr">
        <is>
          <t>否</t>
        </is>
      </c>
      <c r="W178" t="inlineStr">
        <is>
          <t>否</t>
        </is>
      </c>
      <c r="X178" t="inlineStr">
        <is>
          <t>历史导入:云南地区民族团结进步促进法舆情监测_最终修正版.xlsx；数据编号:20260806-11-007；来源类型:公众评论；检索关键词:中华人民共和国民族团结进步促进法</t>
        </is>
      </c>
    </row>
    <row r="179">
      <c r="A179" t="inlineStr">
        <is>
          <t>hist-e1d282a13ee08ed8</t>
        </is>
      </c>
      <c r="B179" s="82" t="n">
        <v>46240</v>
      </c>
      <c r="D179" t="inlineStr">
        <is>
          <t>抖音</t>
        </is>
      </c>
      <c r="E179" t="inlineStr">
        <is>
          <t>抖音等视频平台</t>
        </is>
      </c>
      <c r="F179" t="inlineStr">
        <is>
          <t>公众评论</t>
        </is>
      </c>
      <c r="G179" t="inlineStr">
        <is>
          <t>稀豆粉</t>
        </is>
      </c>
      <c r="H179" t="inlineStr">
        <is>
          <t>有些公司或者店铺，又不明确招多少工人，有些人家故意歧视某些民族说招聘满额了，你能怎么办？</t>
        </is>
      </c>
      <c r="I179" t="inlineStr">
        <is>
          <t>https://v.douyin.com/BgWA2HKnRL8/</t>
        </is>
      </c>
      <c r="J179" t="inlineStr">
        <is>
          <t>云南</t>
        </is>
      </c>
      <c r="L179" t="inlineStr">
        <is>
          <t>云南</t>
        </is>
      </c>
      <c r="O179" t="inlineStr">
        <is>
          <t>中文</t>
        </is>
      </c>
      <c r="P179" t="inlineStr">
        <is>
          <t>否</t>
        </is>
      </c>
      <c r="Q179" t="inlineStr">
        <is>
          <t>投诉维权</t>
        </is>
      </c>
      <c r="R179" t="inlineStr">
        <is>
          <t>就业招聘歧视</t>
        </is>
      </c>
      <c r="S179" t="n">
        <v>0</v>
      </c>
      <c r="T179" t="n">
        <v>0</v>
      </c>
      <c r="U179" t="n">
        <v>0</v>
      </c>
      <c r="V179" t="inlineStr">
        <is>
          <t>否</t>
        </is>
      </c>
      <c r="W179" t="inlineStr">
        <is>
          <t>否</t>
        </is>
      </c>
      <c r="X179" t="inlineStr">
        <is>
          <t>历史导入:云南地区民族团结进步促进法舆情监测_最终修正版.xlsx；数据编号:20260806-11-008；来源类型:公众评论；检索关键词:中华人民共和国民族团结进步促进法</t>
        </is>
      </c>
    </row>
    <row r="180">
      <c r="A180" t="inlineStr">
        <is>
          <t>hist-1a8f6bf1223c758e</t>
        </is>
      </c>
      <c r="B180" s="82" t="n">
        <v>46240</v>
      </c>
      <c r="D180" t="inlineStr">
        <is>
          <t>抖音</t>
        </is>
      </c>
      <c r="E180" t="inlineStr">
        <is>
          <t>抖音等视频平台</t>
        </is>
      </c>
      <c r="F180" t="inlineStr">
        <is>
          <t>公众评论</t>
        </is>
      </c>
      <c r="G180" t="inlineStr">
        <is>
          <t>北宸</t>
        </is>
      </c>
      <c r="H180" t="inlineStr">
        <is>
          <t>什么时候来个宗教团结进步促进法</t>
        </is>
      </c>
      <c r="I180" t="inlineStr">
        <is>
          <t>https://v.douyin.com/BgWA2HKnRL8/</t>
        </is>
      </c>
      <c r="J180" t="inlineStr">
        <is>
          <t>福建</t>
        </is>
      </c>
      <c r="L180" t="inlineStr">
        <is>
          <t>福建</t>
        </is>
      </c>
      <c r="O180" t="inlineStr">
        <is>
          <t>中文</t>
        </is>
      </c>
      <c r="P180" t="inlineStr">
        <is>
          <t>否</t>
        </is>
      </c>
      <c r="Q180" t="inlineStr">
        <is>
          <t>咨询疑问</t>
        </is>
      </c>
      <c r="R180" t="inlineStr">
        <is>
          <t>宗教与民族关系</t>
        </is>
      </c>
      <c r="S180" t="n">
        <v>0</v>
      </c>
      <c r="T180" t="n">
        <v>0</v>
      </c>
      <c r="U180" t="n">
        <v>0</v>
      </c>
      <c r="V180" t="inlineStr">
        <is>
          <t>否</t>
        </is>
      </c>
      <c r="W180" t="inlineStr">
        <is>
          <t>否</t>
        </is>
      </c>
      <c r="X180" t="inlineStr">
        <is>
          <t>历史导入:云南地区民族团结进步促进法舆情监测_最终修正版.xlsx；数据编号:20260806-11-009；来源类型:公众评论；检索关键词:中华人民共和国民族团结进步促进法</t>
        </is>
      </c>
    </row>
    <row r="181">
      <c r="A181" t="inlineStr">
        <is>
          <t>hist-868b51eed8c151a5</t>
        </is>
      </c>
      <c r="B181" s="82" t="n">
        <v>46240</v>
      </c>
      <c r="D181" t="inlineStr">
        <is>
          <t>抖音</t>
        </is>
      </c>
      <c r="E181" t="inlineStr">
        <is>
          <t>抖音等视频平台</t>
        </is>
      </c>
      <c r="F181" t="inlineStr">
        <is>
          <t>公众评论</t>
        </is>
      </c>
      <c r="G181" t="inlineStr">
        <is>
          <t>西幼</t>
        </is>
      </c>
      <c r="H181" t="inlineStr">
        <is>
          <t>还有民族团结吗？？？？我找个地方上班不要彝族😅</t>
        </is>
      </c>
      <c r="I181" t="inlineStr">
        <is>
          <t>https://v.douyin.com/BgWA2HKnRL8/</t>
        </is>
      </c>
      <c r="J181" t="inlineStr">
        <is>
          <t>云南</t>
        </is>
      </c>
      <c r="L181" t="inlineStr">
        <is>
          <t>云南</t>
        </is>
      </c>
      <c r="O181" t="inlineStr">
        <is>
          <t>中文</t>
        </is>
      </c>
      <c r="P181" t="inlineStr">
        <is>
          <t>否</t>
        </is>
      </c>
      <c r="Q181" t="inlineStr">
        <is>
          <t>投诉维权</t>
        </is>
      </c>
      <c r="R181" t="inlineStr">
        <is>
          <t>就业招聘歧视</t>
        </is>
      </c>
      <c r="S181" t="n">
        <v>0</v>
      </c>
      <c r="T181" t="n">
        <v>0</v>
      </c>
      <c r="U181" t="n">
        <v>0</v>
      </c>
      <c r="V181" t="inlineStr">
        <is>
          <t>否</t>
        </is>
      </c>
      <c r="W181" t="inlineStr">
        <is>
          <t>否</t>
        </is>
      </c>
      <c r="X181" t="inlineStr">
        <is>
          <t>历史导入:云南地区民族团结进步促进法舆情监测_最终修正版.xlsx；数据编号:20260806-11-010；来源类型:公众评论；检索关键词:中华人民共和国民族团结进步促进法</t>
        </is>
      </c>
    </row>
    <row r="182">
      <c r="A182" t="inlineStr">
        <is>
          <t>hist-9379e49bc47e3a85</t>
        </is>
      </c>
      <c r="B182" s="82" t="n">
        <v>46240</v>
      </c>
      <c r="D182" t="inlineStr">
        <is>
          <t>抖音</t>
        </is>
      </c>
      <c r="E182" t="inlineStr">
        <is>
          <t>抖音等视频平台</t>
        </is>
      </c>
      <c r="F182" t="inlineStr">
        <is>
          <t>公众评论</t>
        </is>
      </c>
      <c r="G182" t="inlineStr">
        <is>
          <t>西幼</t>
        </is>
      </c>
      <c r="H182" t="inlineStr">
        <is>
          <t>我云南彝族，很多地方不要彝族？？？</t>
        </is>
      </c>
      <c r="I182" t="inlineStr">
        <is>
          <t>https://v.douyin.com/BgWA2HKnRL8/</t>
        </is>
      </c>
      <c r="J182" t="inlineStr">
        <is>
          <t>云南</t>
        </is>
      </c>
      <c r="L182" t="inlineStr">
        <is>
          <t>云南</t>
        </is>
      </c>
      <c r="O182" t="inlineStr">
        <is>
          <t>中文</t>
        </is>
      </c>
      <c r="P182" t="inlineStr">
        <is>
          <t>否</t>
        </is>
      </c>
      <c r="Q182" t="inlineStr">
        <is>
          <t>投诉维权</t>
        </is>
      </c>
      <c r="R182" t="inlineStr">
        <is>
          <t>就业招聘歧视</t>
        </is>
      </c>
      <c r="S182" t="n">
        <v>0</v>
      </c>
      <c r="T182" t="n">
        <v>0</v>
      </c>
      <c r="U182" t="n">
        <v>0</v>
      </c>
      <c r="V182" t="inlineStr">
        <is>
          <t>否</t>
        </is>
      </c>
      <c r="W182" t="inlineStr">
        <is>
          <t>否</t>
        </is>
      </c>
      <c r="X182" t="inlineStr">
        <is>
          <t>历史导入:云南地区民族团结进步促进法舆情监测_最终修正版.xlsx；数据编号:20260806-11-011；来源类型:公众评论；检索关键词:中华人民共和国民族团结进步促进法</t>
        </is>
      </c>
    </row>
    <row r="183">
      <c r="A183" t="inlineStr">
        <is>
          <t>hist-c1f487a91c17a8e9</t>
        </is>
      </c>
      <c r="B183" s="82" t="n">
        <v>46240</v>
      </c>
      <c r="D183" t="inlineStr">
        <is>
          <t>抖音</t>
        </is>
      </c>
      <c r="E183" t="inlineStr">
        <is>
          <t>抖音等视频平台</t>
        </is>
      </c>
      <c r="F183" t="inlineStr">
        <is>
          <t>公众评论</t>
        </is>
      </c>
      <c r="G183" t="inlineStr">
        <is>
          <t>终是姬负了将军</t>
        </is>
      </c>
      <c r="H183" t="inlineStr">
        <is>
          <t>我们云南这边的汉族以前都叫我们苗子，现在不敢了</t>
        </is>
      </c>
      <c r="I183" t="inlineStr">
        <is>
          <t>https://v.douyin.com/BgWA2HKnRL8/</t>
        </is>
      </c>
      <c r="J183" t="inlineStr">
        <is>
          <t>云南</t>
        </is>
      </c>
      <c r="L183" t="inlineStr">
        <is>
          <t>云南</t>
        </is>
      </c>
      <c r="O183" t="inlineStr">
        <is>
          <t>中文</t>
        </is>
      </c>
      <c r="P183" t="inlineStr">
        <is>
          <t>否</t>
        </is>
      </c>
      <c r="Q183" t="inlineStr">
        <is>
          <t>支持认可</t>
        </is>
      </c>
      <c r="R183" t="inlineStr">
        <is>
          <t>改善结果</t>
        </is>
      </c>
      <c r="S183" t="n">
        <v>0</v>
      </c>
      <c r="T183" t="n">
        <v>0</v>
      </c>
      <c r="U183" t="n">
        <v>0</v>
      </c>
      <c r="V183" t="inlineStr">
        <is>
          <t>否</t>
        </is>
      </c>
      <c r="W183" t="inlineStr">
        <is>
          <t>否</t>
        </is>
      </c>
      <c r="X183" t="inlineStr">
        <is>
          <t>历史导入:云南地区民族团结进步促进法舆情监测_最终修正版.xlsx；数据编号:20260806-11-012；来源类型:公众评论；检索关键词:中华人民共和国民族团结进步促进法</t>
        </is>
      </c>
    </row>
    <row r="184">
      <c r="A184" t="inlineStr">
        <is>
          <t>hist-1e1cb33b6af0c151</t>
        </is>
      </c>
      <c r="B184" s="82" t="n">
        <v>46240</v>
      </c>
      <c r="D184" t="inlineStr">
        <is>
          <t>抖音</t>
        </is>
      </c>
      <c r="E184" t="inlineStr">
        <is>
          <t>抖音等视频平台</t>
        </is>
      </c>
      <c r="F184" t="inlineStr">
        <is>
          <t>公众评论</t>
        </is>
      </c>
      <c r="G184" t="inlineStr">
        <is>
          <t>哈基米德</t>
        </is>
      </c>
      <c r="H184" t="inlineStr">
        <is>
          <t>外省的一些厂就不要云南少数民族</t>
        </is>
      </c>
      <c r="I184" t="inlineStr">
        <is>
          <t>https://v.douyin.com/BgWA2HKnRL8/</t>
        </is>
      </c>
      <c r="J184" t="inlineStr">
        <is>
          <t>云南</t>
        </is>
      </c>
      <c r="L184" t="inlineStr">
        <is>
          <t>云南</t>
        </is>
      </c>
      <c r="O184" t="inlineStr">
        <is>
          <t>中文</t>
        </is>
      </c>
      <c r="P184" t="inlineStr">
        <is>
          <t>否</t>
        </is>
      </c>
      <c r="Q184" t="inlineStr">
        <is>
          <t>投诉维权</t>
        </is>
      </c>
      <c r="R184" t="inlineStr">
        <is>
          <t>就业招聘歧视</t>
        </is>
      </c>
      <c r="S184" t="n">
        <v>0</v>
      </c>
      <c r="T184" t="n">
        <v>0</v>
      </c>
      <c r="U184" t="n">
        <v>0</v>
      </c>
      <c r="V184" t="inlineStr">
        <is>
          <t>否</t>
        </is>
      </c>
      <c r="W184" t="inlineStr">
        <is>
          <t>否</t>
        </is>
      </c>
      <c r="X184" t="inlineStr">
        <is>
          <t>历史导入:云南地区民族团结进步促进法舆情监测_最终修正版.xlsx；数据编号:20260806-11-013；来源类型:公众评论；检索关键词:中华人民共和国民族团结进步促进法</t>
        </is>
      </c>
    </row>
    <row r="185">
      <c r="A185" t="inlineStr">
        <is>
          <t>hist-c52aa67adbcd98d8</t>
        </is>
      </c>
      <c r="B185" s="82" t="n">
        <v>46240</v>
      </c>
      <c r="D185" t="inlineStr">
        <is>
          <t>抖音</t>
        </is>
      </c>
      <c r="E185" t="inlineStr">
        <is>
          <t>抖音等视频平台</t>
        </is>
      </c>
      <c r="F185" t="inlineStr">
        <is>
          <t>公众评论</t>
        </is>
      </c>
      <c r="G185" t="inlineStr">
        <is>
          <t>午夜台风游</t>
        </is>
      </c>
      <c r="H185" t="inlineStr">
        <is>
          <t>好多厂招聘都有歧视啊</t>
        </is>
      </c>
      <c r="I185" t="inlineStr">
        <is>
          <t>https://v.douyin.com/BgWA2HKnRL8/</t>
        </is>
      </c>
      <c r="J185" t="inlineStr">
        <is>
          <t>云南</t>
        </is>
      </c>
      <c r="L185" t="inlineStr">
        <is>
          <t>云南</t>
        </is>
      </c>
      <c r="O185" t="inlineStr">
        <is>
          <t>中文</t>
        </is>
      </c>
      <c r="P185" t="inlineStr">
        <is>
          <t>否</t>
        </is>
      </c>
      <c r="Q185" t="inlineStr">
        <is>
          <t>投诉维权</t>
        </is>
      </c>
      <c r="R185" t="inlineStr">
        <is>
          <t>就业招聘歧视</t>
        </is>
      </c>
      <c r="S185" t="n">
        <v>0</v>
      </c>
      <c r="T185" t="n">
        <v>0</v>
      </c>
      <c r="U185" t="n">
        <v>0</v>
      </c>
      <c r="V185" t="inlineStr">
        <is>
          <t>否</t>
        </is>
      </c>
      <c r="W185" t="inlineStr">
        <is>
          <t>否</t>
        </is>
      </c>
      <c r="X185" t="inlineStr">
        <is>
          <t>历史导入:云南地区民族团结进步促进法舆情监测_最终修正版.xlsx；数据编号:20260806-11-015；来源类型:公众评论；检索关键词:中华人民共和国民族团结进步促进法</t>
        </is>
      </c>
    </row>
    <row r="186">
      <c r="A186" t="inlineStr">
        <is>
          <t>hist-c0457889d6108c31</t>
        </is>
      </c>
      <c r="B186" s="82" t="n">
        <v>46240</v>
      </c>
      <c r="D186" t="inlineStr">
        <is>
          <t>抖音</t>
        </is>
      </c>
      <c r="E186" t="inlineStr">
        <is>
          <t>抖音等视频平台</t>
        </is>
      </c>
      <c r="F186" t="inlineStr">
        <is>
          <t>公众评论</t>
        </is>
      </c>
      <c r="G186" t="inlineStr">
        <is>
          <t>云芸众生</t>
        </is>
      </c>
      <c r="H186" t="inlineStr">
        <is>
          <t>我说我是少数民族，连厂都不要。😂😂😂</t>
        </is>
      </c>
      <c r="I186" t="inlineStr">
        <is>
          <t>https://v.douyin.com/BgWA2HKnRL8/</t>
        </is>
      </c>
      <c r="J186" t="inlineStr">
        <is>
          <t>云南</t>
        </is>
      </c>
      <c r="L186" t="inlineStr">
        <is>
          <t>云南</t>
        </is>
      </c>
      <c r="O186" t="inlineStr">
        <is>
          <t>中文</t>
        </is>
      </c>
      <c r="P186" t="inlineStr">
        <is>
          <t>否</t>
        </is>
      </c>
      <c r="Q186" t="inlineStr">
        <is>
          <t>投诉维权</t>
        </is>
      </c>
      <c r="R186" t="inlineStr">
        <is>
          <t>就业招聘歧视</t>
        </is>
      </c>
      <c r="S186" t="n">
        <v>0</v>
      </c>
      <c r="T186" t="n">
        <v>0</v>
      </c>
      <c r="U186" t="n">
        <v>0</v>
      </c>
      <c r="V186" t="inlineStr">
        <is>
          <t>否</t>
        </is>
      </c>
      <c r="W186" t="inlineStr">
        <is>
          <t>否</t>
        </is>
      </c>
      <c r="X186" t="inlineStr">
        <is>
          <t>历史导入:云南地区民族团结进步促进法舆情监测_最终修正版.xlsx；数据编号:20260806-11-016；来源类型:公众评论；检索关键词:中华人民共和国民族团结进步促进法</t>
        </is>
      </c>
    </row>
    <row r="187">
      <c r="A187" t="inlineStr">
        <is>
          <t>hist-b8fa6c6b00ff4984</t>
        </is>
      </c>
      <c r="B187" s="82" t="n">
        <v>46240</v>
      </c>
      <c r="D187" t="inlineStr">
        <is>
          <t>抖音</t>
        </is>
      </c>
      <c r="E187" t="inlineStr">
        <is>
          <t>抖音等视频平台</t>
        </is>
      </c>
      <c r="F187" t="inlineStr">
        <is>
          <t>公众评论</t>
        </is>
      </c>
      <c r="G187" t="inlineStr">
        <is>
          <t>用户5953934987888</t>
        </is>
      </c>
      <c r="H187" t="inlineStr">
        <is>
          <t>平台有钱，违法成本太低，对大家不友好</t>
        </is>
      </c>
      <c r="I187" t="inlineStr">
        <is>
          <t>https://v.douyin.com/BgWA2HKnRL8/</t>
        </is>
      </c>
      <c r="J187" t="inlineStr">
        <is>
          <t>云南</t>
        </is>
      </c>
      <c r="L187" t="inlineStr">
        <is>
          <t>云南</t>
        </is>
      </c>
      <c r="O187" t="inlineStr">
        <is>
          <t>中文</t>
        </is>
      </c>
      <c r="P187" t="inlineStr">
        <is>
          <t>否</t>
        </is>
      </c>
      <c r="Q187" t="inlineStr">
        <is>
          <t>质疑反对</t>
        </is>
      </c>
      <c r="R187" t="inlineStr">
        <is>
          <t>处罚力度与平台责任</t>
        </is>
      </c>
      <c r="S187" t="n">
        <v>0</v>
      </c>
      <c r="T187" t="n">
        <v>0</v>
      </c>
      <c r="U187" t="n">
        <v>0</v>
      </c>
      <c r="V187" t="inlineStr">
        <is>
          <t>否</t>
        </is>
      </c>
      <c r="W187" t="inlineStr">
        <is>
          <t>否</t>
        </is>
      </c>
      <c r="X187" t="inlineStr">
        <is>
          <t>历史导入:云南地区民族团结进步促进法舆情监测_最终修正版.xlsx；数据编号:20260806-11-017；来源类型:公众评论；检索关键词:中华人民共和国民族团结进步促进法</t>
        </is>
      </c>
    </row>
    <row r="188">
      <c r="A188" t="inlineStr">
        <is>
          <t>hist-dfa401876a2cf0d6</t>
        </is>
      </c>
      <c r="B188" s="82" t="n">
        <v>46240</v>
      </c>
      <c r="D188" t="inlineStr">
        <is>
          <t>抖音</t>
        </is>
      </c>
      <c r="E188" t="inlineStr">
        <is>
          <t>抖音等视频平台</t>
        </is>
      </c>
      <c r="F188" t="inlineStr">
        <is>
          <t>公众评论</t>
        </is>
      </c>
      <c r="G188" t="inlineStr">
        <is>
          <t>知足常乐</t>
        </is>
      </c>
      <c r="H188" t="inlineStr">
        <is>
          <t>能加上一条地域歧视吗</t>
        </is>
      </c>
      <c r="I188" t="inlineStr">
        <is>
          <t>https://v.douyin.com/BgWA2HKnRL8/</t>
        </is>
      </c>
      <c r="J188" t="inlineStr">
        <is>
          <t>云南</t>
        </is>
      </c>
      <c r="L188" t="inlineStr">
        <is>
          <t>云南</t>
        </is>
      </c>
      <c r="O188" t="inlineStr">
        <is>
          <t>中文</t>
        </is>
      </c>
      <c r="P188" t="inlineStr">
        <is>
          <t>否</t>
        </is>
      </c>
      <c r="Q188" t="inlineStr">
        <is>
          <t>担忧建议</t>
        </is>
      </c>
      <c r="R188" t="inlineStr">
        <is>
          <t>地域歧视与法律适用</t>
        </is>
      </c>
      <c r="S188" t="n">
        <v>0</v>
      </c>
      <c r="T188" t="n">
        <v>0</v>
      </c>
      <c r="U188" t="n">
        <v>0</v>
      </c>
      <c r="V188" t="inlineStr">
        <is>
          <t>否</t>
        </is>
      </c>
      <c r="W188" t="inlineStr">
        <is>
          <t>否</t>
        </is>
      </c>
      <c r="X188" t="inlineStr">
        <is>
          <t>历史导入:云南地区民族团结进步促进法舆情监测_最终修正版.xlsx；数据编号:20260806-11-018；来源类型:公众评论；检索关键词:中华人民共和国民族团结进步促进法</t>
        </is>
      </c>
    </row>
    <row r="189">
      <c r="A189" t="inlineStr">
        <is>
          <t>hist-6fbf970465a75612</t>
        </is>
      </c>
      <c r="B189" s="82" t="n">
        <v>46240</v>
      </c>
      <c r="D189" t="inlineStr">
        <is>
          <t>抖音</t>
        </is>
      </c>
      <c r="E189" t="inlineStr">
        <is>
          <t>抖音等视频平台</t>
        </is>
      </c>
      <c r="F189" t="inlineStr">
        <is>
          <t>公众评论</t>
        </is>
      </c>
      <c r="G189" t="inlineStr">
        <is>
          <t>惊蛰</t>
        </is>
      </c>
      <c r="H189" t="inlineStr">
        <is>
          <t>彝族同胞有福了</t>
        </is>
      </c>
      <c r="I189" t="inlineStr">
        <is>
          <t>https://v.douyin.com/BgWA2HKnRL8/</t>
        </is>
      </c>
      <c r="J189" t="inlineStr">
        <is>
          <t>云南</t>
        </is>
      </c>
      <c r="L189" t="inlineStr">
        <is>
          <t>云南</t>
        </is>
      </c>
      <c r="O189" t="inlineStr">
        <is>
          <t>中文</t>
        </is>
      </c>
      <c r="P189" t="inlineStr">
        <is>
          <t>否</t>
        </is>
      </c>
      <c r="Q189" t="inlineStr">
        <is>
          <t>支持认可</t>
        </is>
      </c>
      <c r="R189" t="inlineStr">
        <is>
          <t>平等保障</t>
        </is>
      </c>
      <c r="S189" t="n">
        <v>0</v>
      </c>
      <c r="T189" t="n">
        <v>0</v>
      </c>
      <c r="U189" t="n">
        <v>0</v>
      </c>
      <c r="V189" t="inlineStr">
        <is>
          <t>否</t>
        </is>
      </c>
      <c r="W189" t="inlineStr">
        <is>
          <t>否</t>
        </is>
      </c>
      <c r="X189" t="inlineStr">
        <is>
          <t>历史导入:云南地区民族团结进步促进法舆情监测_最终修正版.xlsx；数据编号:20260806-11-019；来源类型:公众评论；检索关键词:中华人民共和国民族团结进步促进法</t>
        </is>
      </c>
    </row>
    <row r="190">
      <c r="A190" t="inlineStr">
        <is>
          <t>hist-aad175a8109d1f40</t>
        </is>
      </c>
      <c r="B190" s="82" t="n">
        <v>46240</v>
      </c>
      <c r="D190" t="inlineStr">
        <is>
          <t>抖音</t>
        </is>
      </c>
      <c r="E190" t="inlineStr">
        <is>
          <t>抖音等视频平台</t>
        </is>
      </c>
      <c r="F190" t="inlineStr">
        <is>
          <t>公众评论</t>
        </is>
      </c>
      <c r="G190" t="inlineStr">
        <is>
          <t>杠锁因真我</t>
        </is>
      </c>
      <c r="H190" t="inlineStr">
        <is>
          <t>打倒日本帝国主义 谁说我歧视我打谁</t>
        </is>
      </c>
      <c r="I190" t="inlineStr">
        <is>
          <t>https://v.douyin.com/BgWA2HKnRL8/</t>
        </is>
      </c>
      <c r="J190" t="inlineStr">
        <is>
          <t>云南</t>
        </is>
      </c>
      <c r="L190" t="inlineStr">
        <is>
          <t>云南</t>
        </is>
      </c>
      <c r="O190" t="inlineStr">
        <is>
          <t>中文</t>
        </is>
      </c>
      <c r="P190" t="inlineStr">
        <is>
          <t>否</t>
        </is>
      </c>
      <c r="Q190" t="inlineStr">
        <is>
          <t>支持认可</t>
        </is>
      </c>
      <c r="R190" t="inlineStr">
        <is>
          <t>反对民族歧视</t>
        </is>
      </c>
      <c r="S190" t="n">
        <v>0</v>
      </c>
      <c r="T190" t="n">
        <v>0</v>
      </c>
      <c r="U190" t="n">
        <v>0</v>
      </c>
      <c r="V190" t="inlineStr">
        <is>
          <t>否</t>
        </is>
      </c>
      <c r="W190" t="inlineStr">
        <is>
          <t>否</t>
        </is>
      </c>
      <c r="X190" t="inlineStr">
        <is>
          <t>历史导入:云南地区民族团结进步促进法舆情监测_最终修正版.xlsx；数据编号:20260806-11-020；来源类型:公众评论；检索关键词:中华人民共和国民族团结进步促进法</t>
        </is>
      </c>
    </row>
    <row r="191">
      <c r="A191" t="inlineStr">
        <is>
          <t>hist-2b4a7a01c30c0869</t>
        </is>
      </c>
      <c r="B191" s="82" t="n">
        <v>46240</v>
      </c>
      <c r="D191" t="inlineStr">
        <is>
          <t>抖音</t>
        </is>
      </c>
      <c r="E191" t="inlineStr">
        <is>
          <t>抖音等视频平台</t>
        </is>
      </c>
      <c r="F191" t="inlineStr">
        <is>
          <t>公众评论</t>
        </is>
      </c>
      <c r="G191" t="inlineStr">
        <is>
          <t>身体健康</t>
        </is>
      </c>
      <c r="H191" t="inlineStr">
        <is>
          <t>支持民族团结法👍👍👍</t>
        </is>
      </c>
      <c r="I191" t="inlineStr">
        <is>
          <t>https://v.douyin.com/BgWA2HKnRL8/</t>
        </is>
      </c>
      <c r="J191" t="inlineStr">
        <is>
          <t>云南</t>
        </is>
      </c>
      <c r="L191" t="inlineStr">
        <is>
          <t>云南</t>
        </is>
      </c>
      <c r="O191" t="inlineStr">
        <is>
          <t>中文</t>
        </is>
      </c>
      <c r="P191" t="inlineStr">
        <is>
          <t>否</t>
        </is>
      </c>
      <c r="Q191" t="inlineStr">
        <is>
          <t>支持认可</t>
        </is>
      </c>
      <c r="R191" t="inlineStr">
        <is>
          <t>法律支持</t>
        </is>
      </c>
      <c r="S191" t="n">
        <v>0</v>
      </c>
      <c r="T191" t="n">
        <v>0</v>
      </c>
      <c r="U191" t="n">
        <v>0</v>
      </c>
      <c r="V191" t="inlineStr">
        <is>
          <t>否</t>
        </is>
      </c>
      <c r="W191" t="inlineStr">
        <is>
          <t>否</t>
        </is>
      </c>
      <c r="X191" t="inlineStr">
        <is>
          <t>历史导入:云南地区民族团结进步促进法舆情监测_最终修正版.xlsx；数据编号:20260806-11-021；来源类型:公众评论；检索关键词:中华人民共和国民族团结进步促进法</t>
        </is>
      </c>
    </row>
    <row r="192">
      <c r="A192" t="inlineStr">
        <is>
          <t>hist-980aff1bf33addf3</t>
        </is>
      </c>
      <c r="B192" s="82" t="n">
        <v>46240</v>
      </c>
      <c r="D192" t="inlineStr">
        <is>
          <t>抖音</t>
        </is>
      </c>
      <c r="E192" t="inlineStr">
        <is>
          <t>抖音等视频平台</t>
        </is>
      </c>
      <c r="F192" t="inlineStr">
        <is>
          <t>公众评论</t>
        </is>
      </c>
      <c r="G192" t="inlineStr">
        <is>
          <t>何不给个拥抱</t>
        </is>
      </c>
      <c r="H192" t="inlineStr">
        <is>
          <t>违法又不是犯法</t>
        </is>
      </c>
      <c r="I192" t="inlineStr">
        <is>
          <t>https://v.douyin.com/BgWA2HKnRL8/</t>
        </is>
      </c>
      <c r="J192" t="inlineStr">
        <is>
          <t>云南</t>
        </is>
      </c>
      <c r="L192" t="inlineStr">
        <is>
          <t>云南</t>
        </is>
      </c>
      <c r="O192" t="inlineStr">
        <is>
          <t>中文</t>
        </is>
      </c>
      <c r="P192" t="inlineStr">
        <is>
          <t>否</t>
        </is>
      </c>
      <c r="Q192" t="inlineStr">
        <is>
          <t>咨询疑问</t>
        </is>
      </c>
      <c r="R192" t="inlineStr">
        <is>
          <t>法律责任认知</t>
        </is>
      </c>
      <c r="S192" t="n">
        <v>0</v>
      </c>
      <c r="T192" t="n">
        <v>0</v>
      </c>
      <c r="U192" t="n">
        <v>0</v>
      </c>
      <c r="V192" t="inlineStr">
        <is>
          <t>否</t>
        </is>
      </c>
      <c r="W192" t="inlineStr">
        <is>
          <t>否</t>
        </is>
      </c>
      <c r="X192" t="inlineStr">
        <is>
          <t>历史导入:云南地区民族团结进步促进法舆情监测_最终修正版.xlsx；数据编号:20260806-11-022；来源类型:公众评论；检索关键词:中华人民共和国民族团结进步促进法</t>
        </is>
      </c>
    </row>
    <row r="193">
      <c r="A193" t="inlineStr">
        <is>
          <t>hist-8ebd30ce26d4647e</t>
        </is>
      </c>
      <c r="B193" s="82" t="n">
        <v>46240</v>
      </c>
      <c r="D193" t="inlineStr">
        <is>
          <t>抖音</t>
        </is>
      </c>
      <c r="E193" t="inlineStr">
        <is>
          <t>抖音等视频平台</t>
        </is>
      </c>
      <c r="F193" t="inlineStr">
        <is>
          <t>公众评论</t>
        </is>
      </c>
      <c r="G193" t="inlineStr">
        <is>
          <t>蛋定人生</t>
        </is>
      </c>
      <c r="H193" t="inlineStr">
        <is>
          <t>居然这样就要把它做实，每个工厂门口挂着举报电话。</t>
        </is>
      </c>
      <c r="I193" t="inlineStr">
        <is>
          <t>https://v.douyin.com/BgWA2HKnRL8/</t>
        </is>
      </c>
      <c r="J193" t="inlineStr">
        <is>
          <t>云南</t>
        </is>
      </c>
      <c r="L193" t="inlineStr">
        <is>
          <t>云南</t>
        </is>
      </c>
      <c r="O193" t="inlineStr">
        <is>
          <t>中文</t>
        </is>
      </c>
      <c r="P193" t="inlineStr">
        <is>
          <t>否</t>
        </is>
      </c>
      <c r="Q193" t="inlineStr">
        <is>
          <t>担忧建议</t>
        </is>
      </c>
      <c r="R193" t="inlineStr">
        <is>
          <t>举报渠道与就业歧视</t>
        </is>
      </c>
      <c r="S193" t="n">
        <v>0</v>
      </c>
      <c r="T193" t="n">
        <v>0</v>
      </c>
      <c r="U193" t="n">
        <v>0</v>
      </c>
      <c r="V193" t="inlineStr">
        <is>
          <t>否</t>
        </is>
      </c>
      <c r="W193" t="inlineStr">
        <is>
          <t>否</t>
        </is>
      </c>
      <c r="X193" t="inlineStr">
        <is>
          <t>历史导入:云南地区民族团结进步促进法舆情监测_最终修正版.xlsx；数据编号:20260806-11-023；来源类型:公众评论；检索关键词:中华人民共和国民族团结进步促进法</t>
        </is>
      </c>
    </row>
    <row r="194">
      <c r="A194" t="inlineStr">
        <is>
          <t>hist-f271194d2fb36edb</t>
        </is>
      </c>
      <c r="B194" s="82" t="n">
        <v>46240</v>
      </c>
      <c r="D194" t="inlineStr">
        <is>
          <t>抖音</t>
        </is>
      </c>
      <c r="E194" t="inlineStr">
        <is>
          <t>抖音等视频平台</t>
        </is>
      </c>
      <c r="F194" t="inlineStr">
        <is>
          <t>公众评论</t>
        </is>
      </c>
      <c r="G194" t="inlineStr">
        <is>
          <t>Calliope</t>
        </is>
      </c>
      <c r="H194" t="inlineStr">
        <is>
          <t>很多厂都不要少数民族😂😂😂</t>
        </is>
      </c>
      <c r="I194" t="inlineStr">
        <is>
          <t>https://v.douyin.com/BgWA2HKnRL8/</t>
        </is>
      </c>
      <c r="J194" t="inlineStr">
        <is>
          <t>云南</t>
        </is>
      </c>
      <c r="L194" t="inlineStr">
        <is>
          <t>云南</t>
        </is>
      </c>
      <c r="O194" t="inlineStr">
        <is>
          <t>中文</t>
        </is>
      </c>
      <c r="P194" t="inlineStr">
        <is>
          <t>否</t>
        </is>
      </c>
      <c r="Q194" t="inlineStr">
        <is>
          <t>投诉维权</t>
        </is>
      </c>
      <c r="R194" t="inlineStr">
        <is>
          <t>就业招聘歧视</t>
        </is>
      </c>
      <c r="S194" t="n">
        <v>0</v>
      </c>
      <c r="T194" t="n">
        <v>0</v>
      </c>
      <c r="U194" t="n">
        <v>0</v>
      </c>
      <c r="V194" t="inlineStr">
        <is>
          <t>否</t>
        </is>
      </c>
      <c r="W194" t="inlineStr">
        <is>
          <t>否</t>
        </is>
      </c>
      <c r="X194" t="inlineStr">
        <is>
          <t>历史导入:云南地区民族团结进步促进法舆情监测_最终修正版.xlsx；数据编号:20260806-11-024；来源类型:公众评论；检索关键词:中华人民共和国民族团结进步促进法</t>
        </is>
      </c>
    </row>
    <row r="195">
      <c r="A195" t="inlineStr">
        <is>
          <t>hist-f8466addd820d373</t>
        </is>
      </c>
      <c r="B195" s="82" t="n">
        <v>46240</v>
      </c>
      <c r="D195" t="inlineStr">
        <is>
          <t>抖音</t>
        </is>
      </c>
      <c r="E195" t="inlineStr">
        <is>
          <t>抖音等视频平台</t>
        </is>
      </c>
      <c r="F195" t="inlineStr">
        <is>
          <t>公众评论</t>
        </is>
      </c>
      <c r="G195" t="inlineStr">
        <is>
          <t>岩温叫</t>
        </is>
      </c>
      <c r="H195" t="inlineStr">
        <is>
          <t>👍👍👍👍👍👍666 666 666</t>
        </is>
      </c>
      <c r="I195" t="inlineStr">
        <is>
          <t>https://v.douyin.com/BgWA2HKnRL8/</t>
        </is>
      </c>
      <c r="J195" t="inlineStr">
        <is>
          <t>云南</t>
        </is>
      </c>
      <c r="L195" t="inlineStr">
        <is>
          <t>云南</t>
        </is>
      </c>
      <c r="O195" t="inlineStr">
        <is>
          <t>中文</t>
        </is>
      </c>
      <c r="P195" t="inlineStr">
        <is>
          <t>否</t>
        </is>
      </c>
      <c r="Q195" t="inlineStr">
        <is>
          <t>支持认可</t>
        </is>
      </c>
      <c r="R195" t="inlineStr">
        <is>
          <t>法律支持</t>
        </is>
      </c>
      <c r="S195" t="n">
        <v>0</v>
      </c>
      <c r="T195" t="n">
        <v>0</v>
      </c>
      <c r="U195" t="n">
        <v>0</v>
      </c>
      <c r="V195" t="inlineStr">
        <is>
          <t>否</t>
        </is>
      </c>
      <c r="W195" t="inlineStr">
        <is>
          <t>否</t>
        </is>
      </c>
      <c r="X195" t="inlineStr">
        <is>
          <t>历史导入:云南地区民族团结进步促进法舆情监测_最终修正版.xlsx；数据编号:20260806-11-026；来源类型:公众评论；检索关键词:中华人民共和国民族团结进步促进法</t>
        </is>
      </c>
    </row>
    <row r="196">
      <c r="A196" t="inlineStr">
        <is>
          <t>hist-4014b12176258a52</t>
        </is>
      </c>
      <c r="B196" s="82" t="n">
        <v>46240</v>
      </c>
      <c r="D196" t="inlineStr">
        <is>
          <t>抖音</t>
        </is>
      </c>
      <c r="E196" t="inlineStr">
        <is>
          <t>抖音等视频平台</t>
        </is>
      </c>
      <c r="F196" t="inlineStr">
        <is>
          <t>公众评论</t>
        </is>
      </c>
      <c r="G196" t="inlineStr">
        <is>
          <t>用户2581768563869</t>
        </is>
      </c>
      <c r="H196" t="inlineStr">
        <is>
          <t>👏👏👏🌹🌹🌹🍎🍎🍎</t>
        </is>
      </c>
      <c r="I196" t="inlineStr">
        <is>
          <t>https://v.douyin.com/BgWA2HKnRL8/</t>
        </is>
      </c>
      <c r="J196" t="inlineStr">
        <is>
          <t>云南</t>
        </is>
      </c>
      <c r="L196" t="inlineStr">
        <is>
          <t>云南</t>
        </is>
      </c>
      <c r="O196" t="inlineStr">
        <is>
          <t>中文</t>
        </is>
      </c>
      <c r="P196" t="inlineStr">
        <is>
          <t>否</t>
        </is>
      </c>
      <c r="Q196" t="inlineStr">
        <is>
          <t>支持认可</t>
        </is>
      </c>
      <c r="R196" t="inlineStr">
        <is>
          <t>法律支持</t>
        </is>
      </c>
      <c r="S196" t="n">
        <v>0</v>
      </c>
      <c r="T196" t="n">
        <v>0</v>
      </c>
      <c r="U196" t="n">
        <v>0</v>
      </c>
      <c r="V196" t="inlineStr">
        <is>
          <t>否</t>
        </is>
      </c>
      <c r="W196" t="inlineStr">
        <is>
          <t>否</t>
        </is>
      </c>
      <c r="X196" t="inlineStr">
        <is>
          <t>历史导入:云南地区民族团结进步促进法舆情监测_最终修正版.xlsx；数据编号:20260806-11-027；来源类型:公众评论；检索关键词:中华人民共和国民族团结进步促进法</t>
        </is>
      </c>
    </row>
    <row r="197">
      <c r="A197" t="inlineStr">
        <is>
          <t>hist-8305af8a892a3e08</t>
        </is>
      </c>
      <c r="B197" s="82" t="n">
        <v>46240</v>
      </c>
      <c r="D197" t="inlineStr">
        <is>
          <t>抖音</t>
        </is>
      </c>
      <c r="E197" t="inlineStr">
        <is>
          <t>抖音等视频平台</t>
        </is>
      </c>
      <c r="F197" t="inlineStr">
        <is>
          <t>公众评论</t>
        </is>
      </c>
      <c r="G197" t="inlineStr">
        <is>
          <t>鲁大师</t>
        </is>
      </c>
      <c r="H197" t="inlineStr">
        <is>
          <t>民族与宗教彻底分离👍👍👍👍</t>
        </is>
      </c>
      <c r="I197" t="inlineStr">
        <is>
          <t>https://v.douyin.com/CyoBjsGPozU/</t>
        </is>
      </c>
      <c r="J197" t="inlineStr">
        <is>
          <t>云南</t>
        </is>
      </c>
      <c r="L197" t="inlineStr">
        <is>
          <t>云南</t>
        </is>
      </c>
      <c r="O197" t="inlineStr">
        <is>
          <t>中文</t>
        </is>
      </c>
      <c r="P197" t="inlineStr">
        <is>
          <t>否</t>
        </is>
      </c>
      <c r="Q197" t="inlineStr">
        <is>
          <t>中性信息</t>
        </is>
      </c>
      <c r="R197" t="inlineStr">
        <is>
          <t>民族与宗教关系</t>
        </is>
      </c>
      <c r="S197" t="n">
        <v>0</v>
      </c>
      <c r="T197" t="n">
        <v>0</v>
      </c>
      <c r="U197" t="n">
        <v>0</v>
      </c>
      <c r="V197" t="inlineStr">
        <is>
          <t>否</t>
        </is>
      </c>
      <c r="W197" t="inlineStr">
        <is>
          <t>是</t>
        </is>
      </c>
      <c r="X197" t="inlineStr">
        <is>
          <t>历史导入:云南地区民族团结进步促进法舆情监测_最终修正版.xlsx；数据编号:20260806-11-029；来源类型:公众评论；检索关键词:中华人民共和国民族团结进步促进法</t>
        </is>
      </c>
    </row>
    <row r="198">
      <c r="A198" t="inlineStr">
        <is>
          <t>hist-0738c27b7c715788</t>
        </is>
      </c>
      <c r="B198" s="82" t="n">
        <v>46240</v>
      </c>
      <c r="D198" t="inlineStr">
        <is>
          <t>抖音</t>
        </is>
      </c>
      <c r="E198" t="inlineStr">
        <is>
          <t>抖音等视频平台</t>
        </is>
      </c>
      <c r="F198" t="inlineStr">
        <is>
          <t>公众评论</t>
        </is>
      </c>
      <c r="G198" t="inlineStr">
        <is>
          <t>蓝sir</t>
        </is>
      </c>
      <c r="H198" t="inlineStr">
        <is>
          <t>所以具体建议是什么？</t>
        </is>
      </c>
      <c r="I198" t="inlineStr">
        <is>
          <t>https://v.douyin.com/CyoBjsGPozU/</t>
        </is>
      </c>
      <c r="J198" t="inlineStr">
        <is>
          <t>云南</t>
        </is>
      </c>
      <c r="L198" t="inlineStr">
        <is>
          <t>云南</t>
        </is>
      </c>
      <c r="O198" t="inlineStr">
        <is>
          <t>中文</t>
        </is>
      </c>
      <c r="P198" t="inlineStr">
        <is>
          <t>否</t>
        </is>
      </c>
      <c r="Q198" t="inlineStr">
        <is>
          <t>咨询疑问</t>
        </is>
      </c>
      <c r="R198" t="inlineStr">
        <is>
          <t>立法建议内容</t>
        </is>
      </c>
      <c r="S198" t="n">
        <v>0</v>
      </c>
      <c r="T198" t="n">
        <v>0</v>
      </c>
      <c r="U198" t="n">
        <v>0</v>
      </c>
      <c r="V198" t="inlineStr">
        <is>
          <t>否</t>
        </is>
      </c>
      <c r="W198" t="inlineStr">
        <is>
          <t>是</t>
        </is>
      </c>
      <c r="X198" t="inlineStr">
        <is>
          <t>历史导入:云南地区民族团结进步促进法舆情监测_最终修正版.xlsx；数据编号:20260806-11-031；来源类型:公众评论；检索关键词:中华人民共和国民族团结进步促进法</t>
        </is>
      </c>
    </row>
    <row r="199">
      <c r="A199" t="inlineStr">
        <is>
          <t>hist-d1322e3aa4162ce0</t>
        </is>
      </c>
      <c r="B199" s="82" t="n">
        <v>46240</v>
      </c>
      <c r="D199" t="inlineStr">
        <is>
          <t>抖音</t>
        </is>
      </c>
      <c r="E199" t="inlineStr">
        <is>
          <t>抖音等视频平台</t>
        </is>
      </c>
      <c r="F199" t="inlineStr">
        <is>
          <t>公众评论</t>
        </is>
      </c>
      <c r="G199" t="inlineStr">
        <is>
          <t>好远快来</t>
        </is>
      </c>
      <c r="H199" t="inlineStr">
        <is>
          <t>👍👍👍</t>
        </is>
      </c>
      <c r="I199" t="inlineStr">
        <is>
          <t>https://v.douyin.com/CyoBjsGPozU/</t>
        </is>
      </c>
      <c r="J199" t="inlineStr">
        <is>
          <t>云南</t>
        </is>
      </c>
      <c r="L199" t="inlineStr">
        <is>
          <t>云南</t>
        </is>
      </c>
      <c r="O199" t="inlineStr">
        <is>
          <t>中文</t>
        </is>
      </c>
      <c r="P199" t="inlineStr">
        <is>
          <t>否</t>
        </is>
      </c>
      <c r="Q199" t="inlineStr">
        <is>
          <t>支持认可</t>
        </is>
      </c>
      <c r="R199" t="inlineStr">
        <is>
          <t>法律支持</t>
        </is>
      </c>
      <c r="S199" t="n">
        <v>0</v>
      </c>
      <c r="T199" t="n">
        <v>0</v>
      </c>
      <c r="U199" t="n">
        <v>0</v>
      </c>
      <c r="V199" t="inlineStr">
        <is>
          <t>否</t>
        </is>
      </c>
      <c r="W199" t="inlineStr">
        <is>
          <t>是</t>
        </is>
      </c>
      <c r="X199" t="inlineStr">
        <is>
          <t>历史导入:云南地区民族团结进步促进法舆情监测_最终修正版.xlsx；数据编号:20260806-11-032；来源类型:公众评论；检索关键词:中华人民共和国民族团结进步促进法</t>
        </is>
      </c>
    </row>
    <row r="200">
      <c r="A200" t="inlineStr">
        <is>
          <t>hist-1b3a21815341f24f</t>
        </is>
      </c>
      <c r="B200" s="82" t="n">
        <v>46240</v>
      </c>
      <c r="D200" t="inlineStr">
        <is>
          <t>抖音</t>
        </is>
      </c>
      <c r="E200" t="inlineStr">
        <is>
          <t>抖音等视频平台</t>
        </is>
      </c>
      <c r="F200" t="inlineStr">
        <is>
          <t>公众评论</t>
        </is>
      </c>
      <c r="G200" t="inlineStr">
        <is>
          <t>yn小金鱼</t>
        </is>
      </c>
      <c r="H200" t="inlineStr">
        <is>
          <t>👍👍👍</t>
        </is>
      </c>
      <c r="I200" t="inlineStr">
        <is>
          <t>https://v.douyin.com/CyoBjsGPozU/</t>
        </is>
      </c>
      <c r="J200" t="inlineStr">
        <is>
          <t>云南</t>
        </is>
      </c>
      <c r="L200" t="inlineStr">
        <is>
          <t>云南</t>
        </is>
      </c>
      <c r="O200" t="inlineStr">
        <is>
          <t>中文</t>
        </is>
      </c>
      <c r="P200" t="inlineStr">
        <is>
          <t>否</t>
        </is>
      </c>
      <c r="Q200" t="inlineStr">
        <is>
          <t>支持认可</t>
        </is>
      </c>
      <c r="R200" t="inlineStr">
        <is>
          <t>法律支持</t>
        </is>
      </c>
      <c r="S200" t="n">
        <v>0</v>
      </c>
      <c r="T200" t="n">
        <v>0</v>
      </c>
      <c r="U200" t="n">
        <v>0</v>
      </c>
      <c r="V200" t="inlineStr">
        <is>
          <t>否</t>
        </is>
      </c>
      <c r="W200" t="inlineStr">
        <is>
          <t>是</t>
        </is>
      </c>
      <c r="X200" t="inlineStr">
        <is>
          <t>历史导入:云南地区民族团结进步促进法舆情监测_最终修正版.xlsx；数据编号:20260806-11-033；来源类型:公众评论；检索关键词:中华人民共和国民族团结进步促进法</t>
        </is>
      </c>
    </row>
    <row r="201">
      <c r="A201" t="inlineStr">
        <is>
          <t>hist-9868ab061a9e47bc</t>
        </is>
      </c>
      <c r="B201" s="82" t="n">
        <v>46240</v>
      </c>
      <c r="D201" t="inlineStr">
        <is>
          <t>抖音</t>
        </is>
      </c>
      <c r="E201" t="inlineStr">
        <is>
          <t>抖音等视频平台</t>
        </is>
      </c>
      <c r="F201" t="inlineStr">
        <is>
          <t>公众评论</t>
        </is>
      </c>
      <c r="G201" t="inlineStr">
        <is>
          <t>秋梦</t>
        </is>
      </c>
      <c r="H201" t="inlineStr">
        <is>
          <t>👍👍👍</t>
        </is>
      </c>
      <c r="I201" t="inlineStr">
        <is>
          <t>https://www.douyin.com/video/7659624342099184915</t>
        </is>
      </c>
      <c r="J201" t="inlineStr">
        <is>
          <t>云南</t>
        </is>
      </c>
      <c r="L201" t="inlineStr">
        <is>
          <t>云南</t>
        </is>
      </c>
      <c r="O201" t="inlineStr">
        <is>
          <t>中文</t>
        </is>
      </c>
      <c r="P201" t="inlineStr">
        <is>
          <t>否</t>
        </is>
      </c>
      <c r="Q201" t="inlineStr">
        <is>
          <t>支持认可</t>
        </is>
      </c>
      <c r="R201" t="inlineStr">
        <is>
          <t>法律支持</t>
        </is>
      </c>
      <c r="S201" t="n">
        <v>0</v>
      </c>
      <c r="T201" t="n">
        <v>0</v>
      </c>
      <c r="U201" t="n">
        <v>0</v>
      </c>
      <c r="V201" t="inlineStr">
        <is>
          <t>否</t>
        </is>
      </c>
      <c r="W201" t="inlineStr">
        <is>
          <t>是</t>
        </is>
      </c>
      <c r="X201" t="inlineStr">
        <is>
          <t>历史导入:云南地区民族团结进步促进法舆情监测_最终修正版.xlsx；数据编号:20260806-11-034；来源类型:公众评论；检索关键词:中华人民共和国民族团结进步促进法</t>
        </is>
      </c>
    </row>
    <row r="202">
      <c r="A202" t="inlineStr">
        <is>
          <t>hist-7eee9b5e09acbd74</t>
        </is>
      </c>
      <c r="B202" s="82" t="n">
        <v>46240</v>
      </c>
      <c r="D202" t="inlineStr">
        <is>
          <t>抖音</t>
        </is>
      </c>
      <c r="E202" t="inlineStr">
        <is>
          <t>抖音等视频平台</t>
        </is>
      </c>
      <c r="F202" t="inlineStr">
        <is>
          <t>公众评论</t>
        </is>
      </c>
      <c r="G202" t="inlineStr">
        <is>
          <t>我本是好摄之徒</t>
        </is>
      </c>
      <c r="H202" t="inlineStr">
        <is>
          <t>👍👍</t>
        </is>
      </c>
      <c r="I202" t="inlineStr">
        <is>
          <t>https://www.douyin.com/video/7659624342099184915</t>
        </is>
      </c>
      <c r="J202" t="inlineStr">
        <is>
          <t>云南</t>
        </is>
      </c>
      <c r="L202" t="inlineStr">
        <is>
          <t>云南</t>
        </is>
      </c>
      <c r="O202" t="inlineStr">
        <is>
          <t>中文</t>
        </is>
      </c>
      <c r="P202" t="inlineStr">
        <is>
          <t>否</t>
        </is>
      </c>
      <c r="Q202" t="inlineStr">
        <is>
          <t>支持认可</t>
        </is>
      </c>
      <c r="R202" t="inlineStr">
        <is>
          <t>法律支持</t>
        </is>
      </c>
      <c r="S202" t="n">
        <v>0</v>
      </c>
      <c r="T202" t="n">
        <v>0</v>
      </c>
      <c r="U202" t="n">
        <v>0</v>
      </c>
      <c r="V202" t="inlineStr">
        <is>
          <t>否</t>
        </is>
      </c>
      <c r="W202" t="inlineStr">
        <is>
          <t>是</t>
        </is>
      </c>
      <c r="X202" t="inlineStr">
        <is>
          <t>历史导入:云南地区民族团结进步促进法舆情监测_最终修正版.xlsx；数据编号:20260806-11-035；来源类型:公众评论；检索关键词:中华人民共和国民族团结进步促进法</t>
        </is>
      </c>
    </row>
    <row r="203">
      <c r="A203" t="inlineStr">
        <is>
          <t>hist-014856b6f04871ec</t>
        </is>
      </c>
      <c r="B203" s="82" t="n">
        <v>46240</v>
      </c>
      <c r="D203" t="inlineStr">
        <is>
          <t>抖音</t>
        </is>
      </c>
      <c r="E203" t="inlineStr">
        <is>
          <t>抖音等视频平台</t>
        </is>
      </c>
      <c r="F203" t="inlineStr">
        <is>
          <t>公众评论</t>
        </is>
      </c>
      <c r="G203" t="inlineStr">
        <is>
          <t>开华e</t>
        </is>
      </c>
      <c r="H203" t="inlineStr">
        <is>
          <t>👍👍</t>
        </is>
      </c>
      <c r="I203" t="inlineStr">
        <is>
          <t>https://www.douyin.com/video/7659624342099184915</t>
        </is>
      </c>
      <c r="J203" t="inlineStr">
        <is>
          <t>云南</t>
        </is>
      </c>
      <c r="L203" t="inlineStr">
        <is>
          <t>云南</t>
        </is>
      </c>
      <c r="O203" t="inlineStr">
        <is>
          <t>中文</t>
        </is>
      </c>
      <c r="P203" t="inlineStr">
        <is>
          <t>否</t>
        </is>
      </c>
      <c r="Q203" t="inlineStr">
        <is>
          <t>支持认可</t>
        </is>
      </c>
      <c r="R203" t="inlineStr">
        <is>
          <t>法律支持</t>
        </is>
      </c>
      <c r="S203" t="n">
        <v>0</v>
      </c>
      <c r="T203" t="n">
        <v>0</v>
      </c>
      <c r="U203" t="n">
        <v>0</v>
      </c>
      <c r="V203" t="inlineStr">
        <is>
          <t>否</t>
        </is>
      </c>
      <c r="W203" t="inlineStr">
        <is>
          <t>是</t>
        </is>
      </c>
      <c r="X203" t="inlineStr">
        <is>
          <t>历史导入:云南地区民族团结进步促进法舆情监测_最终修正版.xlsx；数据编号:20260806-11-036；来源类型:公众评论；检索关键词:中华人民共和国民族团结进步促进法</t>
        </is>
      </c>
    </row>
    <row r="204">
      <c r="A204" t="inlineStr">
        <is>
          <t>hist-0555d87c838bc5d1</t>
        </is>
      </c>
      <c r="B204" s="82" t="n">
        <v>46240</v>
      </c>
      <c r="D204" t="inlineStr">
        <is>
          <t>抖音</t>
        </is>
      </c>
      <c r="E204" t="inlineStr">
        <is>
          <t>抖音等视频平台</t>
        </is>
      </c>
      <c r="F204" t="inlineStr">
        <is>
          <t>公众评论</t>
        </is>
      </c>
      <c r="G204" t="inlineStr">
        <is>
          <t>张学永</t>
        </is>
      </c>
      <c r="H204" t="inlineStr">
        <is>
          <t>👍👍</t>
        </is>
      </c>
      <c r="I204" t="inlineStr">
        <is>
          <t>https://v.douyin.com/eO5izDiVTZg/</t>
        </is>
      </c>
      <c r="J204" t="inlineStr">
        <is>
          <t>云南</t>
        </is>
      </c>
      <c r="L204" t="inlineStr">
        <is>
          <t>云南</t>
        </is>
      </c>
      <c r="O204" t="inlineStr">
        <is>
          <t>中文</t>
        </is>
      </c>
      <c r="P204" t="inlineStr">
        <is>
          <t>否</t>
        </is>
      </c>
      <c r="Q204" t="inlineStr">
        <is>
          <t>支持认可</t>
        </is>
      </c>
      <c r="R204" t="inlineStr">
        <is>
          <t>法律支持</t>
        </is>
      </c>
      <c r="S204" t="n">
        <v>0</v>
      </c>
      <c r="T204" t="n">
        <v>0</v>
      </c>
      <c r="U204" t="n">
        <v>0</v>
      </c>
      <c r="V204" t="inlineStr">
        <is>
          <t>否</t>
        </is>
      </c>
      <c r="W204" t="inlineStr">
        <is>
          <t>是</t>
        </is>
      </c>
      <c r="X204" t="inlineStr">
        <is>
          <t>历史导入:云南地区民族团结进步促进法舆情监测_最终修正版.xlsx；数据编号:20260806-11-038；来源类型:公众评论；检索关键词:中华人民共和国民族团结进步促进法</t>
        </is>
      </c>
    </row>
    <row r="205">
      <c r="A205" t="inlineStr">
        <is>
          <t>hist-d66710ea119a3ab4</t>
        </is>
      </c>
      <c r="B205" s="82" t="n">
        <v>46240</v>
      </c>
      <c r="D205" t="inlineStr">
        <is>
          <t>抖音</t>
        </is>
      </c>
      <c r="E205" t="inlineStr">
        <is>
          <t>抖音等视频平台</t>
        </is>
      </c>
      <c r="F205" t="inlineStr">
        <is>
          <t>公众评论</t>
        </is>
      </c>
      <c r="G205" t="inlineStr">
        <is>
          <t>遥遥</t>
        </is>
      </c>
      <c r="H205" t="inlineStr">
        <is>
          <t>休戚与共、荣辱与共、生死与共、命运与共</t>
        </is>
      </c>
      <c r="I205" t="inlineStr">
        <is>
          <t>https://v.douyin.com/aC-L101I3qQ/</t>
        </is>
      </c>
      <c r="J205" t="inlineStr">
        <is>
          <t>云南</t>
        </is>
      </c>
      <c r="L205" t="inlineStr">
        <is>
          <t>云南</t>
        </is>
      </c>
      <c r="O205" t="inlineStr">
        <is>
          <t>中文</t>
        </is>
      </c>
      <c r="P205" t="inlineStr">
        <is>
          <t>否</t>
        </is>
      </c>
      <c r="Q205" t="inlineStr">
        <is>
          <t>支持认可</t>
        </is>
      </c>
      <c r="R205" t="inlineStr">
        <is>
          <t>四个与共</t>
        </is>
      </c>
      <c r="S205" t="n">
        <v>0</v>
      </c>
      <c r="T205" t="n">
        <v>0</v>
      </c>
      <c r="U205" t="n">
        <v>0</v>
      </c>
      <c r="V205" t="inlineStr">
        <is>
          <t>否</t>
        </is>
      </c>
      <c r="W205" t="inlineStr">
        <is>
          <t>是</t>
        </is>
      </c>
      <c r="X205" t="inlineStr">
        <is>
          <t>历史导入:云南地区民族团结进步促进法舆情监测_最终修正版.xlsx；数据编号:20260806-11-039；来源类型:公众评论；检索关键词:中华人民共和国民族团结进步促进法</t>
        </is>
      </c>
    </row>
    <row r="206">
      <c r="A206" t="inlineStr">
        <is>
          <t>hist-2141f0055856a65b</t>
        </is>
      </c>
      <c r="B206" s="82" t="n">
        <v>46240</v>
      </c>
      <c r="D206" t="inlineStr">
        <is>
          <t>抖音</t>
        </is>
      </c>
      <c r="E206" t="inlineStr">
        <is>
          <t>抖音等视频平台</t>
        </is>
      </c>
      <c r="F206" t="inlineStr">
        <is>
          <t>公众评论</t>
        </is>
      </c>
      <c r="G206" t="inlineStr">
        <is>
          <t>大姚缝补店</t>
        </is>
      </c>
      <c r="H206" t="inlineStr">
        <is>
          <t>👍👍</t>
        </is>
      </c>
      <c r="I206" t="inlineStr">
        <is>
          <t>https://v.douyin.com/aC-L101I3qQ/</t>
        </is>
      </c>
      <c r="J206" t="inlineStr">
        <is>
          <t>云南</t>
        </is>
      </c>
      <c r="L206" t="inlineStr">
        <is>
          <t>云南</t>
        </is>
      </c>
      <c r="O206" t="inlineStr">
        <is>
          <t>中文</t>
        </is>
      </c>
      <c r="P206" t="inlineStr">
        <is>
          <t>否</t>
        </is>
      </c>
      <c r="Q206" t="inlineStr">
        <is>
          <t>支持认可</t>
        </is>
      </c>
      <c r="R206" t="inlineStr">
        <is>
          <t>法律支持</t>
        </is>
      </c>
      <c r="S206" t="n">
        <v>0</v>
      </c>
      <c r="T206" t="n">
        <v>0</v>
      </c>
      <c r="U206" t="n">
        <v>0</v>
      </c>
      <c r="V206" t="inlineStr">
        <is>
          <t>否</t>
        </is>
      </c>
      <c r="W206" t="inlineStr">
        <is>
          <t>是</t>
        </is>
      </c>
      <c r="X206" t="inlineStr">
        <is>
          <t>历史导入:云南地区民族团结进步促进法舆情监测_最终修正版.xlsx；数据编号:20260806-11-040；来源类型:公众评论；检索关键词:中华人民共和国民族团结进步促进法</t>
        </is>
      </c>
    </row>
    <row r="207">
      <c r="A207" t="inlineStr">
        <is>
          <t>hist-72048a1875db729c</t>
        </is>
      </c>
      <c r="B207" s="82" t="n">
        <v>46240</v>
      </c>
      <c r="D207" t="inlineStr">
        <is>
          <t>抖音</t>
        </is>
      </c>
      <c r="E207" t="inlineStr">
        <is>
          <t>抖音等视频平台</t>
        </is>
      </c>
      <c r="F207" t="inlineStr">
        <is>
          <t>公众评论</t>
        </is>
      </c>
      <c r="G207" t="inlineStr">
        <is>
          <t>木老爷</t>
        </is>
      </c>
      <c r="H207" t="inlineStr">
        <is>
          <t>👍🌹</t>
        </is>
      </c>
      <c r="I207" t="inlineStr">
        <is>
          <t>https://v.douyin.com/ZkMHJloupvk/</t>
        </is>
      </c>
      <c r="J207" t="inlineStr">
        <is>
          <t>云南</t>
        </is>
      </c>
      <c r="L207" t="inlineStr">
        <is>
          <t>云南</t>
        </is>
      </c>
      <c r="O207" t="inlineStr">
        <is>
          <t>中文</t>
        </is>
      </c>
      <c r="P207" t="inlineStr">
        <is>
          <t>否</t>
        </is>
      </c>
      <c r="Q207" t="inlineStr">
        <is>
          <t>支持认可</t>
        </is>
      </c>
      <c r="R207" t="inlineStr">
        <is>
          <t>法律支持</t>
        </is>
      </c>
      <c r="S207" t="n">
        <v>0</v>
      </c>
      <c r="T207" t="n">
        <v>0</v>
      </c>
      <c r="U207" t="n">
        <v>0</v>
      </c>
      <c r="V207" t="inlineStr">
        <is>
          <t>否</t>
        </is>
      </c>
      <c r="W207" t="inlineStr">
        <is>
          <t>是</t>
        </is>
      </c>
      <c r="X207" t="inlineStr">
        <is>
          <t>历史导入:云南地区民族团结进步促进法舆情监测_最终修正版.xlsx；数据编号:20260806-11-041；来源类型:公众评论；检索关键词:中华人民共和国民族团结进步促进法</t>
        </is>
      </c>
    </row>
    <row r="208">
      <c r="A208" t="inlineStr">
        <is>
          <t>hist-6f32af308eafd7e0</t>
        </is>
      </c>
      <c r="B208" s="82" t="n">
        <v>46240</v>
      </c>
      <c r="D208" t="inlineStr">
        <is>
          <t>抖音</t>
        </is>
      </c>
      <c r="E208" t="inlineStr">
        <is>
          <t>抖音等视频平台</t>
        </is>
      </c>
      <c r="F208" t="inlineStr">
        <is>
          <t>公众评论</t>
        </is>
      </c>
      <c r="G208" t="inlineStr">
        <is>
          <t>藏扎_</t>
        </is>
      </c>
      <c r="H208" t="inlineStr">
        <is>
          <t>👍👍👍</t>
        </is>
      </c>
      <c r="I208" t="inlineStr">
        <is>
          <t>https://v.douyin.com/V-1OdPS6QvU/</t>
        </is>
      </c>
      <c r="J208" t="inlineStr">
        <is>
          <t>云南</t>
        </is>
      </c>
      <c r="L208" t="inlineStr">
        <is>
          <t>云南</t>
        </is>
      </c>
      <c r="O208" t="inlineStr">
        <is>
          <t>中文</t>
        </is>
      </c>
      <c r="P208" t="inlineStr">
        <is>
          <t>否</t>
        </is>
      </c>
      <c r="Q208" t="inlineStr">
        <is>
          <t>支持认可</t>
        </is>
      </c>
      <c r="R208" t="inlineStr">
        <is>
          <t>法律支持</t>
        </is>
      </c>
      <c r="S208" t="n">
        <v>0</v>
      </c>
      <c r="T208" t="n">
        <v>0</v>
      </c>
      <c r="U208" t="n">
        <v>0</v>
      </c>
      <c r="V208" t="inlineStr">
        <is>
          <t>否</t>
        </is>
      </c>
      <c r="W208" t="inlineStr">
        <is>
          <t>是</t>
        </is>
      </c>
      <c r="X208" t="inlineStr">
        <is>
          <t>历史导入:云南地区民族团结进步促进法舆情监测_最终修正版.xlsx；数据编号:20260806-11-042；来源类型:公众评论；检索关键词:中华人民共和国民族团结进步促进法</t>
        </is>
      </c>
    </row>
    <row r="209">
      <c r="A209" t="inlineStr">
        <is>
          <t>hist-875c6ac621f38e0d</t>
        </is>
      </c>
      <c r="B209" s="82" t="n">
        <v>46240</v>
      </c>
      <c r="D209" t="inlineStr">
        <is>
          <t>抖音</t>
        </is>
      </c>
      <c r="E209" t="inlineStr">
        <is>
          <t>抖音等视频平台</t>
        </is>
      </c>
      <c r="F209" t="inlineStr">
        <is>
          <t>公众评论</t>
        </is>
      </c>
      <c r="G209" t="inlineStr">
        <is>
          <t>国❤宝</t>
        </is>
      </c>
      <c r="H209" t="inlineStr">
        <is>
          <t>👍</t>
        </is>
      </c>
      <c r="I209" t="inlineStr">
        <is>
          <t>https://v.douyin.com/FSd8aIUvgyg/</t>
        </is>
      </c>
      <c r="J209" t="inlineStr">
        <is>
          <t>云南</t>
        </is>
      </c>
      <c r="L209" t="inlineStr">
        <is>
          <t>云南</t>
        </is>
      </c>
      <c r="O209" t="inlineStr">
        <is>
          <t>中文</t>
        </is>
      </c>
      <c r="P209" t="inlineStr">
        <is>
          <t>否</t>
        </is>
      </c>
      <c r="Q209" t="inlineStr">
        <is>
          <t>支持认可</t>
        </is>
      </c>
      <c r="R209" t="inlineStr">
        <is>
          <t>双语普法</t>
        </is>
      </c>
      <c r="S209" t="n">
        <v>0</v>
      </c>
      <c r="T209" t="n">
        <v>0</v>
      </c>
      <c r="U209" t="n">
        <v>0</v>
      </c>
      <c r="V209" t="inlineStr">
        <is>
          <t>否</t>
        </is>
      </c>
      <c r="W209" t="inlineStr">
        <is>
          <t>是</t>
        </is>
      </c>
      <c r="X209" t="inlineStr">
        <is>
          <t>历史导入:云南地区民族团结进步促进法舆情监测_最终修正版.xlsx；数据编号:20260806-11-043；来源类型:公众评论；检索关键词:中华人民共和国民族团结进步促进法</t>
        </is>
      </c>
    </row>
    <row r="210">
      <c r="A210" t="inlineStr">
        <is>
          <t>hist-19aa2ed4f56afd2d</t>
        </is>
      </c>
      <c r="B210" s="82" t="n">
        <v>46240</v>
      </c>
      <c r="D210" t="inlineStr">
        <is>
          <t>抖音</t>
        </is>
      </c>
      <c r="E210" t="inlineStr">
        <is>
          <t>抖音等视频平台</t>
        </is>
      </c>
      <c r="F210" t="inlineStr">
        <is>
          <t>公众评论</t>
        </is>
      </c>
      <c r="G210" t="inlineStr">
        <is>
          <t>优缘江初</t>
        </is>
      </c>
      <c r="H210" t="inlineStr">
        <is>
          <t>👍👍👍👍👍👍👍👍</t>
        </is>
      </c>
      <c r="I210" t="inlineStr">
        <is>
          <t>https://v.douyin.com/FSd8aIUvgyg/</t>
        </is>
      </c>
      <c r="J210" t="inlineStr">
        <is>
          <t>云南</t>
        </is>
      </c>
      <c r="L210" t="inlineStr">
        <is>
          <t>云南</t>
        </is>
      </c>
      <c r="O210" t="inlineStr">
        <is>
          <t>中文</t>
        </is>
      </c>
      <c r="P210" t="inlineStr">
        <is>
          <t>否</t>
        </is>
      </c>
      <c r="Q210" t="inlineStr">
        <is>
          <t>支持认可</t>
        </is>
      </c>
      <c r="R210" t="inlineStr">
        <is>
          <t>双语普法</t>
        </is>
      </c>
      <c r="S210" t="n">
        <v>0</v>
      </c>
      <c r="T210" t="n">
        <v>0</v>
      </c>
      <c r="U210" t="n">
        <v>0</v>
      </c>
      <c r="V210" t="inlineStr">
        <is>
          <t>否</t>
        </is>
      </c>
      <c r="W210" t="inlineStr">
        <is>
          <t>是</t>
        </is>
      </c>
      <c r="X210" t="inlineStr">
        <is>
          <t>历史导入:云南地区民族团结进步促进法舆情监测_最终修正版.xlsx；数据编号:20260806-11-044；来源类型:公众评论；检索关键词:中华人民共和国民族团结进步促进法</t>
        </is>
      </c>
    </row>
    <row r="211">
      <c r="A211" t="inlineStr">
        <is>
          <t>hist-3cf3f9b4fb71e4aa</t>
        </is>
      </c>
      <c r="B211" s="82" t="n">
        <v>46240</v>
      </c>
      <c r="D211" t="inlineStr">
        <is>
          <t>抖音</t>
        </is>
      </c>
      <c r="E211" t="inlineStr">
        <is>
          <t>抖音等视频平台</t>
        </is>
      </c>
      <c r="F211" t="inlineStr">
        <is>
          <t>公众评论</t>
        </is>
      </c>
      <c r="G211" t="inlineStr">
        <is>
          <t>炸刚儿</t>
        </is>
      </c>
      <c r="H211" t="inlineStr">
        <is>
          <t>👍</t>
        </is>
      </c>
      <c r="I211" t="inlineStr">
        <is>
          <t>https://v.douyin.com/SoWJw-M3Npw/</t>
        </is>
      </c>
      <c r="J211" t="inlineStr">
        <is>
          <t>云南</t>
        </is>
      </c>
      <c r="L211" t="inlineStr">
        <is>
          <t>云南</t>
        </is>
      </c>
      <c r="O211" t="inlineStr">
        <is>
          <t>中文</t>
        </is>
      </c>
      <c r="P211" t="inlineStr">
        <is>
          <t>否</t>
        </is>
      </c>
      <c r="Q211" t="inlineStr">
        <is>
          <t>支持认可</t>
        </is>
      </c>
      <c r="R211" t="inlineStr">
        <is>
          <t>法律支持</t>
        </is>
      </c>
      <c r="S211" t="n">
        <v>0</v>
      </c>
      <c r="T211" t="n">
        <v>0</v>
      </c>
      <c r="U211" t="n">
        <v>0</v>
      </c>
      <c r="V211" t="inlineStr">
        <is>
          <t>否</t>
        </is>
      </c>
      <c r="W211" t="inlineStr">
        <is>
          <t>是</t>
        </is>
      </c>
      <c r="X211" t="inlineStr">
        <is>
          <t>历史导入:云南地区民族团结进步促进法舆情监测_最终修正版.xlsx；数据编号:20260806-11-046；来源类型:公众评论；检索关键词:中华人民共和国民族团结进步促进法</t>
        </is>
      </c>
    </row>
    <row r="212">
      <c r="A212" t="inlineStr">
        <is>
          <t>hist-1d1206081344728b</t>
        </is>
      </c>
      <c r="B212" s="82" t="n">
        <v>46240</v>
      </c>
      <c r="D212" t="inlineStr">
        <is>
          <t>抖音</t>
        </is>
      </c>
      <c r="E212" t="inlineStr">
        <is>
          <t>抖音等视频平台</t>
        </is>
      </c>
      <c r="F212" t="inlineStr">
        <is>
          <t>公众评论</t>
        </is>
      </c>
      <c r="G212" t="inlineStr">
        <is>
          <t>暖暖向晴天</t>
        </is>
      </c>
      <c r="H212" t="inlineStr">
        <is>
          <t>👍👍👍</t>
        </is>
      </c>
      <c r="I212" t="inlineStr">
        <is>
          <t>https://v.douyin.com/SoWJw-M3Npw/</t>
        </is>
      </c>
      <c r="J212" t="inlineStr">
        <is>
          <t>云南</t>
        </is>
      </c>
      <c r="L212" t="inlineStr">
        <is>
          <t>云南</t>
        </is>
      </c>
      <c r="O212" t="inlineStr">
        <is>
          <t>中文</t>
        </is>
      </c>
      <c r="P212" t="inlineStr">
        <is>
          <t>否</t>
        </is>
      </c>
      <c r="Q212" t="inlineStr">
        <is>
          <t>支持认可</t>
        </is>
      </c>
      <c r="R212" t="inlineStr">
        <is>
          <t>法律支持</t>
        </is>
      </c>
      <c r="S212" t="n">
        <v>0</v>
      </c>
      <c r="T212" t="n">
        <v>0</v>
      </c>
      <c r="U212" t="n">
        <v>0</v>
      </c>
      <c r="V212" t="inlineStr">
        <is>
          <t>否</t>
        </is>
      </c>
      <c r="W212" t="inlineStr">
        <is>
          <t>是</t>
        </is>
      </c>
      <c r="X212" t="inlineStr">
        <is>
          <t>历史导入:云南地区民族团结进步促进法舆情监测_最终修正版.xlsx；数据编号:20260806-11-047；来源类型:公众评论；检索关键词:中华人民共和国民族团结进步促进法</t>
        </is>
      </c>
    </row>
    <row r="213">
      <c r="A213" t="inlineStr">
        <is>
          <t>hist-788d2208dd404693</t>
        </is>
      </c>
      <c r="B213" s="82" t="n">
        <v>46240</v>
      </c>
      <c r="D213" t="inlineStr">
        <is>
          <t>抖音</t>
        </is>
      </c>
      <c r="E213" t="inlineStr">
        <is>
          <t>抖音等视频平台</t>
        </is>
      </c>
      <c r="F213" t="inlineStr">
        <is>
          <t>公众评论</t>
        </is>
      </c>
      <c r="G213" t="inlineStr">
        <is>
          <t>九布</t>
        </is>
      </c>
      <c r="H213" t="inlineStr">
        <is>
          <t>👍</t>
        </is>
      </c>
      <c r="I213" t="inlineStr">
        <is>
          <t>https://v.douyin.com/L-kTYEyqRtc/</t>
        </is>
      </c>
      <c r="J213" t="inlineStr">
        <is>
          <t>云南</t>
        </is>
      </c>
      <c r="L213" t="inlineStr">
        <is>
          <t>云南</t>
        </is>
      </c>
      <c r="O213" t="inlineStr">
        <is>
          <t>中文</t>
        </is>
      </c>
      <c r="P213" t="inlineStr">
        <is>
          <t>否</t>
        </is>
      </c>
      <c r="Q213" t="inlineStr">
        <is>
          <t>支持认可</t>
        </is>
      </c>
      <c r="R213" t="inlineStr">
        <is>
          <t>法律支持</t>
        </is>
      </c>
      <c r="S213" t="n">
        <v>0</v>
      </c>
      <c r="T213" t="n">
        <v>0</v>
      </c>
      <c r="U213" t="n">
        <v>0</v>
      </c>
      <c r="V213" t="inlineStr">
        <is>
          <t>否</t>
        </is>
      </c>
      <c r="W213" t="inlineStr">
        <is>
          <t>是</t>
        </is>
      </c>
      <c r="X213" t="inlineStr">
        <is>
          <t>历史导入:云南地区民族团结进步促进法舆情监测_最终修正版.xlsx；数据编号:20260806-11-048；来源类型:公众评论；检索关键词:中华人民共和国民族团结进步促进法</t>
        </is>
      </c>
    </row>
    <row r="214">
      <c r="A214" t="inlineStr">
        <is>
          <t>hist-3ce9c40e163b8c69</t>
        </is>
      </c>
      <c r="B214" s="82" t="n">
        <v>46240</v>
      </c>
      <c r="D214" t="inlineStr">
        <is>
          <t>抖音</t>
        </is>
      </c>
      <c r="E214" t="inlineStr">
        <is>
          <t>抖音等视频平台</t>
        </is>
      </c>
      <c r="F214" t="inlineStr">
        <is>
          <t>公众评论</t>
        </is>
      </c>
      <c r="G214" t="inlineStr">
        <is>
          <t>玉溪太阳能清洗维护</t>
        </is>
      </c>
      <c r="H214" t="inlineStr">
        <is>
          <t>👍👍👍</t>
        </is>
      </c>
      <c r="I214" t="inlineStr">
        <is>
          <t>https://v.douyin.com/L-kTYEyqRtc/</t>
        </is>
      </c>
      <c r="J214" t="inlineStr">
        <is>
          <t>云南</t>
        </is>
      </c>
      <c r="L214" t="inlineStr">
        <is>
          <t>云南</t>
        </is>
      </c>
      <c r="O214" t="inlineStr">
        <is>
          <t>中文</t>
        </is>
      </c>
      <c r="P214" t="inlineStr">
        <is>
          <t>否</t>
        </is>
      </c>
      <c r="Q214" t="inlineStr">
        <is>
          <t>支持认可</t>
        </is>
      </c>
      <c r="R214" t="inlineStr">
        <is>
          <t>法律支持</t>
        </is>
      </c>
      <c r="S214" t="n">
        <v>0</v>
      </c>
      <c r="T214" t="n">
        <v>0</v>
      </c>
      <c r="U214" t="n">
        <v>0</v>
      </c>
      <c r="V214" t="inlineStr">
        <is>
          <t>否</t>
        </is>
      </c>
      <c r="W214" t="inlineStr">
        <is>
          <t>是</t>
        </is>
      </c>
      <c r="X214" t="inlineStr">
        <is>
          <t>历史导入:云南地区民族团结进步促进法舆情监测_最终修正版.xlsx；数据编号:20260806-11-049；来源类型:公众评论；检索关键词:中华人民共和国民族团结进步促进法</t>
        </is>
      </c>
    </row>
    <row r="215">
      <c r="A215" t="inlineStr">
        <is>
          <t>hist-30cbd02007760807</t>
        </is>
      </c>
      <c r="B215" s="82" t="n">
        <v>46240</v>
      </c>
      <c r="D215" t="inlineStr">
        <is>
          <t>抖音精选</t>
        </is>
      </c>
      <c r="E215" t="inlineStr">
        <is>
          <t>抖音等视频平台</t>
        </is>
      </c>
      <c r="F215" t="inlineStr">
        <is>
          <t>公众评论</t>
        </is>
      </c>
      <c r="G215" t="inlineStr">
        <is>
          <t>蓦茶千秋</t>
        </is>
      </c>
      <c r="H215" t="inlineStr">
        <is>
          <t>🌹🌹🌹</t>
        </is>
      </c>
      <c r="I215" t="inlineStr">
        <is>
          <t>https://www.douyin.com/video/7657190974078160174</t>
        </is>
      </c>
      <c r="J215" t="inlineStr">
        <is>
          <t>云南</t>
        </is>
      </c>
      <c r="L215" t="inlineStr">
        <is>
          <t>云南</t>
        </is>
      </c>
      <c r="O215" t="inlineStr">
        <is>
          <t>中文</t>
        </is>
      </c>
      <c r="P215" t="inlineStr">
        <is>
          <t>否</t>
        </is>
      </c>
      <c r="Q215" t="inlineStr">
        <is>
          <t>支持认可</t>
        </is>
      </c>
      <c r="R215" t="inlineStr">
        <is>
          <t>法律支持</t>
        </is>
      </c>
      <c r="S215" t="n">
        <v>0</v>
      </c>
      <c r="T215" t="n">
        <v>0</v>
      </c>
      <c r="U215" t="n">
        <v>0</v>
      </c>
      <c r="V215" t="inlineStr">
        <is>
          <t>否</t>
        </is>
      </c>
      <c r="W215" t="inlineStr">
        <is>
          <t>是</t>
        </is>
      </c>
      <c r="X215" t="inlineStr">
        <is>
          <t>历史导入:云南地区民族团结进步促进法舆情监测_最终修正版.xlsx；数据编号:20260806-11-051；来源类型:公众评论；检索关键词:中华人民共和国民族团结进步促进法</t>
        </is>
      </c>
    </row>
    <row r="216">
      <c r="A216" t="inlineStr">
        <is>
          <t>hist-ae4846999e454c0f</t>
        </is>
      </c>
      <c r="B216" s="82" t="n">
        <v>46240</v>
      </c>
      <c r="D216" t="inlineStr">
        <is>
          <t>快手</t>
        </is>
      </c>
      <c r="E216" t="inlineStr">
        <is>
          <t>快手</t>
        </is>
      </c>
      <c r="F216" t="inlineStr">
        <is>
          <t>公众评论</t>
        </is>
      </c>
      <c r="G216" t="inlineStr">
        <is>
          <t>往事如烟41414</t>
        </is>
      </c>
      <c r="H216" t="inlineStr">
        <is>
          <t>🌹🌹🌹🌹🌹🌹🌹🌹🌹🌹🌹🌹</t>
        </is>
      </c>
      <c r="I216" t="inlineStr">
        <is>
          <t>https://www.kuaishou.com/f/X-a1y11e8BX5O1sq</t>
        </is>
      </c>
      <c r="J216" t="inlineStr">
        <is>
          <t>云南</t>
        </is>
      </c>
      <c r="L216" t="inlineStr">
        <is>
          <t>云南</t>
        </is>
      </c>
      <c r="O216" t="inlineStr">
        <is>
          <t>中文</t>
        </is>
      </c>
      <c r="P216" t="inlineStr">
        <is>
          <t>否</t>
        </is>
      </c>
      <c r="Q216" t="inlineStr">
        <is>
          <t>支持认可</t>
        </is>
      </c>
      <c r="R216" t="inlineStr">
        <is>
          <t>法律支持</t>
        </is>
      </c>
      <c r="S216" t="n">
        <v>0</v>
      </c>
      <c r="T216" t="n">
        <v>0</v>
      </c>
      <c r="U216" t="n">
        <v>0</v>
      </c>
      <c r="V216" t="inlineStr">
        <is>
          <t>否</t>
        </is>
      </c>
      <c r="W216" t="inlineStr">
        <is>
          <t>是</t>
        </is>
      </c>
      <c r="X216" t="inlineStr">
        <is>
          <t>历史导入:云南地区民族团结进步促进法舆情监测_最终修正版.xlsx；数据编号:20260806-11-053；来源类型:公众评论；检索关键词:中华人民共和国民族团结进步促进法</t>
        </is>
      </c>
    </row>
    <row r="217">
      <c r="A217" t="inlineStr">
        <is>
          <t>hist-8ace0aaf87e79c79</t>
        </is>
      </c>
      <c r="B217" s="82" t="n">
        <v>46240</v>
      </c>
      <c r="D217" t="inlineStr">
        <is>
          <t>快手</t>
        </is>
      </c>
      <c r="E217" t="inlineStr">
        <is>
          <t>快手</t>
        </is>
      </c>
      <c r="F217" t="inlineStr">
        <is>
          <t>公众评论</t>
        </is>
      </c>
      <c r="G217" t="inlineStr">
        <is>
          <t>德光望重</t>
        </is>
      </c>
      <c r="H217" t="inlineStr">
        <is>
          <t>👍👍👍</t>
        </is>
      </c>
      <c r="I217" t="inlineStr">
        <is>
          <t>https://www.kuaishou.com/f/X-a1y11e8BX5O1sq</t>
        </is>
      </c>
      <c r="J217" t="inlineStr">
        <is>
          <t>云南</t>
        </is>
      </c>
      <c r="L217" t="inlineStr">
        <is>
          <t>云南</t>
        </is>
      </c>
      <c r="O217" t="inlineStr">
        <is>
          <t>中文</t>
        </is>
      </c>
      <c r="P217" t="inlineStr">
        <is>
          <t>否</t>
        </is>
      </c>
      <c r="Q217" t="inlineStr">
        <is>
          <t>支持认可</t>
        </is>
      </c>
      <c r="R217" t="inlineStr">
        <is>
          <t>法律支持</t>
        </is>
      </c>
      <c r="S217" t="n">
        <v>0</v>
      </c>
      <c r="T217" t="n">
        <v>0</v>
      </c>
      <c r="U217" t="n">
        <v>0</v>
      </c>
      <c r="V217" t="inlineStr">
        <is>
          <t>否</t>
        </is>
      </c>
      <c r="W217" t="inlineStr">
        <is>
          <t>是</t>
        </is>
      </c>
      <c r="X217" t="inlineStr">
        <is>
          <t>历史导入:云南地区民族团结进步促进法舆情监测_最终修正版.xlsx；数据编号:20260806-11-054；来源类型:公众评论；检索关键词:中华人民共和国民族团结进步促进法</t>
        </is>
      </c>
    </row>
    <row r="218">
      <c r="A218" t="inlineStr">
        <is>
          <t>hist-348ebce81d883fb9</t>
        </is>
      </c>
      <c r="B218" s="82" t="n">
        <v>46240</v>
      </c>
      <c r="D218" t="inlineStr">
        <is>
          <t>快手</t>
        </is>
      </c>
      <c r="E218" t="inlineStr">
        <is>
          <t>快手</t>
        </is>
      </c>
      <c r="F218" t="inlineStr">
        <is>
          <t>公众评论</t>
        </is>
      </c>
      <c r="G218" t="inlineStr">
        <is>
          <t>用户</t>
        </is>
      </c>
      <c r="H218" t="inlineStr">
        <is>
          <t>❤️❤️❤️</t>
        </is>
      </c>
      <c r="I218" t="inlineStr">
        <is>
          <t>https://www.kuaishou.com/f/X9ryI7NxlZsQ1YK</t>
        </is>
      </c>
      <c r="J218" t="inlineStr">
        <is>
          <t>云南宁洱县</t>
        </is>
      </c>
      <c r="L218" t="inlineStr">
        <is>
          <t>云南</t>
        </is>
      </c>
      <c r="O218" t="inlineStr">
        <is>
          <t>中文</t>
        </is>
      </c>
      <c r="P218" t="inlineStr">
        <is>
          <t>否</t>
        </is>
      </c>
      <c r="Q218" t="inlineStr">
        <is>
          <t>支持认可</t>
        </is>
      </c>
      <c r="R218" t="inlineStr">
        <is>
          <t>集中宣传活动</t>
        </is>
      </c>
      <c r="S218" t="n">
        <v>0</v>
      </c>
      <c r="T218" t="n">
        <v>0</v>
      </c>
      <c r="U218" t="n">
        <v>0</v>
      </c>
      <c r="V218" t="inlineStr">
        <is>
          <t>否</t>
        </is>
      </c>
      <c r="W218" t="inlineStr">
        <is>
          <t>是</t>
        </is>
      </c>
      <c r="X218" t="inlineStr">
        <is>
          <t>历史导入:云南地区民族团结进步促进法舆情监测_最终修正版.xlsx；数据编号:20260806-11-055；来源类型:公众评论；检索关键词:中华人民共和国民族团结进步促进法</t>
        </is>
      </c>
    </row>
    <row r="219">
      <c r="A219" t="inlineStr">
        <is>
          <t>hist-ae55e9176f425b48</t>
        </is>
      </c>
      <c r="B219" s="82" t="n">
        <v>46240</v>
      </c>
      <c r="D219" t="inlineStr">
        <is>
          <t>快手</t>
        </is>
      </c>
      <c r="E219" t="inlineStr">
        <is>
          <t>快手</t>
        </is>
      </c>
      <c r="F219" t="inlineStr">
        <is>
          <t>公众评论</t>
        </is>
      </c>
      <c r="G219" t="inlineStr">
        <is>
          <t>在下是个正经人</t>
        </is>
      </c>
      <c r="H219" t="inlineStr">
        <is>
          <t>❤️</t>
        </is>
      </c>
      <c r="I219" t="inlineStr">
        <is>
          <t>https://www.kuaishou.com/f/X7mDrEGdZ7pF1YW</t>
        </is>
      </c>
      <c r="J219" t="inlineStr">
        <is>
          <t>云南</t>
        </is>
      </c>
      <c r="L219" t="inlineStr">
        <is>
          <t>云南</t>
        </is>
      </c>
      <c r="O219" t="inlineStr">
        <is>
          <t>中文</t>
        </is>
      </c>
      <c r="P219" t="inlineStr">
        <is>
          <t>否</t>
        </is>
      </c>
      <c r="Q219" t="inlineStr">
        <is>
          <t>支持认可</t>
        </is>
      </c>
      <c r="R219" t="inlineStr">
        <is>
          <t>法律支持</t>
        </is>
      </c>
      <c r="S219" t="n">
        <v>0</v>
      </c>
      <c r="T219" t="n">
        <v>0</v>
      </c>
      <c r="U219" t="n">
        <v>0</v>
      </c>
      <c r="V219" t="inlineStr">
        <is>
          <t>否</t>
        </is>
      </c>
      <c r="W219" t="inlineStr">
        <is>
          <t>是</t>
        </is>
      </c>
      <c r="X219" t="inlineStr">
        <is>
          <t>历史导入:云南地区民族团结进步促进法舆情监测_最终修正版.xlsx；数据编号:20260806-11-056；来源类型:公众评论；检索关键词:中华人民共和国民族团结进步促进法</t>
        </is>
      </c>
    </row>
    <row r="220">
      <c r="A220" t="inlineStr">
        <is>
          <t>hist-db0160d43be21d28</t>
        </is>
      </c>
      <c r="B220" s="82" t="n">
        <v>46240</v>
      </c>
      <c r="D220" t="inlineStr">
        <is>
          <t>快手</t>
        </is>
      </c>
      <c r="E220" t="inlineStr">
        <is>
          <t>快手</t>
        </is>
      </c>
      <c r="F220" t="inlineStr">
        <is>
          <t>公众评论</t>
        </is>
      </c>
      <c r="G220" t="inlineStr">
        <is>
          <t>用户</t>
        </is>
      </c>
      <c r="H220" t="inlineStr">
        <is>
          <t>👍👍</t>
        </is>
      </c>
      <c r="I220" t="inlineStr">
        <is>
          <t>https://www.kuaishou.com/f/X-41SVE7cZARs1px</t>
        </is>
      </c>
      <c r="J220" t="inlineStr">
        <is>
          <t>云南</t>
        </is>
      </c>
      <c r="L220" t="inlineStr">
        <is>
          <t>云南</t>
        </is>
      </c>
      <c r="O220" t="inlineStr">
        <is>
          <t>中文</t>
        </is>
      </c>
      <c r="P220" t="inlineStr">
        <is>
          <t>否</t>
        </is>
      </c>
      <c r="Q220" t="inlineStr">
        <is>
          <t>支持认可</t>
        </is>
      </c>
      <c r="R220" t="inlineStr">
        <is>
          <t>公众参与立法</t>
        </is>
      </c>
      <c r="S220" t="n">
        <v>0</v>
      </c>
      <c r="T220" t="n">
        <v>0</v>
      </c>
      <c r="U220" t="n">
        <v>0</v>
      </c>
      <c r="V220" t="inlineStr">
        <is>
          <t>否</t>
        </is>
      </c>
      <c r="W220" t="inlineStr">
        <is>
          <t>是</t>
        </is>
      </c>
      <c r="X220" t="inlineStr">
        <is>
          <t>历史导入:云南地区民族团结进步促进法舆情监测_最终修正版.xlsx；数据编号:20260806-11-057；来源类型:公众评论；检索关键词:中华人民共和国民族团结进步促进法</t>
        </is>
      </c>
    </row>
    <row r="221">
      <c r="A221" t="inlineStr">
        <is>
          <t>hist-756b0a7047ed59e7</t>
        </is>
      </c>
      <c r="B221" s="82" t="n">
        <v>46240</v>
      </c>
      <c r="D221" t="inlineStr">
        <is>
          <t>微信视频号</t>
        </is>
      </c>
      <c r="E221" t="inlineStr">
        <is>
          <t>微信公众号/视频号</t>
        </is>
      </c>
      <c r="F221" t="inlineStr">
        <is>
          <t>公众评论</t>
        </is>
      </c>
      <c r="G221" t="inlineStr">
        <is>
          <t>SS</t>
        </is>
      </c>
      <c r="H221" t="inlineStr">
        <is>
          <t>赞一个</t>
        </is>
      </c>
      <c r="I221" t="inlineStr">
        <is>
          <t>https://weixin.qq.com/sph/AucZtbn3Tn</t>
        </is>
      </c>
      <c r="J221" t="inlineStr">
        <is>
          <t>云南</t>
        </is>
      </c>
      <c r="L221" t="inlineStr">
        <is>
          <t>云南</t>
        </is>
      </c>
      <c r="O221" t="inlineStr">
        <is>
          <t>中文</t>
        </is>
      </c>
      <c r="P221" t="inlineStr">
        <is>
          <t>否</t>
        </is>
      </c>
      <c r="Q221" t="inlineStr">
        <is>
          <t>支持认可</t>
        </is>
      </c>
      <c r="R221" t="inlineStr">
        <is>
          <t>双语普法</t>
        </is>
      </c>
      <c r="S221" t="n">
        <v>0</v>
      </c>
      <c r="T221" t="n">
        <v>0</v>
      </c>
      <c r="U221" t="n">
        <v>0</v>
      </c>
      <c r="V221" t="inlineStr">
        <is>
          <t>否</t>
        </is>
      </c>
      <c r="W221" t="inlineStr">
        <is>
          <t>是</t>
        </is>
      </c>
      <c r="X221" t="inlineStr">
        <is>
          <t>历史导入:云南地区民族团结进步促进法舆情监测_最终修正版.xlsx；数据编号:20260806-11-058；来源类型:公众评论；检索关键词:中华人民共和国民族团结进步促进法</t>
        </is>
      </c>
    </row>
    <row r="222">
      <c r="A222" t="inlineStr">
        <is>
          <t>hist-f0f5e5318102d3d5</t>
        </is>
      </c>
      <c r="B222" s="82" t="n">
        <v>46240</v>
      </c>
      <c r="D222" t="inlineStr">
        <is>
          <t>微信视频号</t>
        </is>
      </c>
      <c r="E222" t="inlineStr">
        <is>
          <t>微信公众号/视频号</t>
        </is>
      </c>
      <c r="F222" t="inlineStr">
        <is>
          <t>公众评论</t>
        </is>
      </c>
      <c r="G222" t="inlineStr">
        <is>
          <t>A香格里拉旅游专线似平</t>
        </is>
      </c>
      <c r="H222" t="inlineStr">
        <is>
          <t>👍👍👍</t>
        </is>
      </c>
      <c r="I222" t="inlineStr">
        <is>
          <t>https://weixin.qq.com/sph/AucZtbn3Tn</t>
        </is>
      </c>
      <c r="J222" t="inlineStr">
        <is>
          <t>云南</t>
        </is>
      </c>
      <c r="L222" t="inlineStr">
        <is>
          <t>云南</t>
        </is>
      </c>
      <c r="O222" t="inlineStr">
        <is>
          <t>中文</t>
        </is>
      </c>
      <c r="P222" t="inlineStr">
        <is>
          <t>否</t>
        </is>
      </c>
      <c r="Q222" t="inlineStr">
        <is>
          <t>支持认可</t>
        </is>
      </c>
      <c r="R222" t="inlineStr">
        <is>
          <t>双语普法</t>
        </is>
      </c>
      <c r="S222" t="n">
        <v>0</v>
      </c>
      <c r="T222" t="n">
        <v>0</v>
      </c>
      <c r="U222" t="n">
        <v>0</v>
      </c>
      <c r="V222" t="inlineStr">
        <is>
          <t>否</t>
        </is>
      </c>
      <c r="W222" t="inlineStr">
        <is>
          <t>是</t>
        </is>
      </c>
      <c r="X222" t="inlineStr">
        <is>
          <t>历史导入:云南地区民族团结进步促进法舆情监测_最终修正版.xlsx；数据编号:20260806-11-059；来源类型:公众评论；检索关键词:中华人民共和国民族团结进步促进法</t>
        </is>
      </c>
    </row>
    <row r="223">
      <c r="A223" t="inlineStr">
        <is>
          <t>hist-fc530a1c289b9ee7</t>
        </is>
      </c>
      <c r="B223" s="82" t="n">
        <v>46240</v>
      </c>
      <c r="D223" t="inlineStr">
        <is>
          <t>微信视频号</t>
        </is>
      </c>
      <c r="E223" t="inlineStr">
        <is>
          <t>微信公众号/视频号</t>
        </is>
      </c>
      <c r="F223" t="inlineStr">
        <is>
          <t>公众评论</t>
        </is>
      </c>
      <c r="G223" t="inlineStr">
        <is>
          <t>江初卓玛</t>
        </is>
      </c>
      <c r="H223" t="inlineStr">
        <is>
          <t>👍👍👍</t>
        </is>
      </c>
      <c r="I223" t="inlineStr">
        <is>
          <t>https://weixin.qq.com/sph/AucZtbn3Tn</t>
        </is>
      </c>
      <c r="J223" t="inlineStr">
        <is>
          <t>云南</t>
        </is>
      </c>
      <c r="L223" t="inlineStr">
        <is>
          <t>云南</t>
        </is>
      </c>
      <c r="O223" t="inlineStr">
        <is>
          <t>中文</t>
        </is>
      </c>
      <c r="P223" t="inlineStr">
        <is>
          <t>否</t>
        </is>
      </c>
      <c r="Q223" t="inlineStr">
        <is>
          <t>支持认可</t>
        </is>
      </c>
      <c r="R223" t="inlineStr">
        <is>
          <t>双语普法</t>
        </is>
      </c>
      <c r="S223" t="n">
        <v>0</v>
      </c>
      <c r="T223" t="n">
        <v>0</v>
      </c>
      <c r="U223" t="n">
        <v>0</v>
      </c>
      <c r="V223" t="inlineStr">
        <is>
          <t>否</t>
        </is>
      </c>
      <c r="W223" t="inlineStr">
        <is>
          <t>是</t>
        </is>
      </c>
      <c r="X223" t="inlineStr">
        <is>
          <t>历史导入:云南地区民族团结进步促进法舆情监测_最终修正版.xlsx；数据编号:20260806-11-060；来源类型:公众评论；检索关键词:中华人民共和国民族团结进步促进法</t>
        </is>
      </c>
    </row>
    <row r="224">
      <c r="A224" t="inlineStr">
        <is>
          <t>hist-38324af1c8162475</t>
        </is>
      </c>
      <c r="B224" s="82" t="n">
        <v>46240</v>
      </c>
      <c r="D224" t="inlineStr">
        <is>
          <t>微信视频号</t>
        </is>
      </c>
      <c r="E224" t="inlineStr">
        <is>
          <t>微信公众号/视频号</t>
        </is>
      </c>
      <c r="F224" t="inlineStr">
        <is>
          <t>公众评论</t>
        </is>
      </c>
      <c r="G224" t="inlineStr">
        <is>
          <t>还不完父母的恩情</t>
        </is>
      </c>
      <c r="H224" t="inlineStr">
        <is>
          <t>👍👍👍👍</t>
        </is>
      </c>
      <c r="I224" t="inlineStr">
        <is>
          <t>https://weixin.qq.com/sph/AucZtbn3Tn</t>
        </is>
      </c>
      <c r="J224" t="inlineStr">
        <is>
          <t>云南</t>
        </is>
      </c>
      <c r="L224" t="inlineStr">
        <is>
          <t>云南</t>
        </is>
      </c>
      <c r="O224" t="inlineStr">
        <is>
          <t>中文</t>
        </is>
      </c>
      <c r="P224" t="inlineStr">
        <is>
          <t>否</t>
        </is>
      </c>
      <c r="Q224" t="inlineStr">
        <is>
          <t>支持认可</t>
        </is>
      </c>
      <c r="R224" t="inlineStr">
        <is>
          <t>双语普法</t>
        </is>
      </c>
      <c r="S224" t="n">
        <v>0</v>
      </c>
      <c r="T224" t="n">
        <v>0</v>
      </c>
      <c r="U224" t="n">
        <v>0</v>
      </c>
      <c r="V224" t="inlineStr">
        <is>
          <t>否</t>
        </is>
      </c>
      <c r="W224" t="inlineStr">
        <is>
          <t>是</t>
        </is>
      </c>
      <c r="X224" t="inlineStr">
        <is>
          <t>历史导入:云南地区民族团结进步促进法舆情监测_最终修正版.xlsx；数据编号:20260806-11-062；来源类型:公众评论；检索关键词:中华人民共和国民族团结进步促进法</t>
        </is>
      </c>
    </row>
    <row r="225">
      <c r="A225" t="inlineStr">
        <is>
          <t>hist-6ce3af58997381af</t>
        </is>
      </c>
      <c r="B225" s="82" t="n">
        <v>46240</v>
      </c>
      <c r="D225" t="inlineStr">
        <is>
          <t>微信视频号</t>
        </is>
      </c>
      <c r="E225" t="inlineStr">
        <is>
          <t>微信公众号/视频号</t>
        </is>
      </c>
      <c r="F225" t="inlineStr">
        <is>
          <t>公众评论</t>
        </is>
      </c>
      <c r="G225" t="inlineStr">
        <is>
          <t>康巴多吉</t>
        </is>
      </c>
      <c r="H225" t="inlineStr">
        <is>
          <t>👍👍👍</t>
        </is>
      </c>
      <c r="I225" t="inlineStr">
        <is>
          <t>https://weixin.qq.com/sph/AucZtbn3Tn</t>
        </is>
      </c>
      <c r="J225" t="inlineStr">
        <is>
          <t>云南</t>
        </is>
      </c>
      <c r="L225" t="inlineStr">
        <is>
          <t>云南</t>
        </is>
      </c>
      <c r="O225" t="inlineStr">
        <is>
          <t>中文</t>
        </is>
      </c>
      <c r="P225" t="inlineStr">
        <is>
          <t>否</t>
        </is>
      </c>
      <c r="Q225" t="inlineStr">
        <is>
          <t>支持认可</t>
        </is>
      </c>
      <c r="R225" t="inlineStr">
        <is>
          <t>双语普法</t>
        </is>
      </c>
      <c r="S225" t="n">
        <v>0</v>
      </c>
      <c r="T225" t="n">
        <v>0</v>
      </c>
      <c r="U225" t="n">
        <v>0</v>
      </c>
      <c r="V225" t="inlineStr">
        <is>
          <t>否</t>
        </is>
      </c>
      <c r="W225" t="inlineStr">
        <is>
          <t>是</t>
        </is>
      </c>
      <c r="X225" t="inlineStr">
        <is>
          <t>历史导入:云南地区民族团结进步促进法舆情监测_最终修正版.xlsx；数据编号:20260806-11-063；来源类型:公众评论；检索关键词:中华人民共和国民族团结进步促进法</t>
        </is>
      </c>
    </row>
    <row r="226">
      <c r="A226" t="inlineStr">
        <is>
          <t>hist-a83ab81facd4291c</t>
        </is>
      </c>
      <c r="B226" s="82" t="n">
        <v>46240</v>
      </c>
      <c r="C226" s="82" t="n">
        <v>46213</v>
      </c>
      <c r="D226" t="inlineStr">
        <is>
          <t>微信公众号</t>
        </is>
      </c>
      <c r="E226" t="inlineStr">
        <is>
          <t>微信公众号/视频号</t>
        </is>
      </c>
      <c r="F226" t="inlineStr">
        <is>
          <t>官方信息</t>
        </is>
      </c>
      <c r="G226" t="inlineStr">
        <is>
          <t>大理民族宗教</t>
        </is>
      </c>
      <c r="H226" t="inlineStr">
        <is>
          <t>介绍法律施行时间、基本定位与交往交流交融作用。</t>
        </is>
      </c>
      <c r="I226" t="inlineStr">
        <is>
          <t>https://mp.weixin.qq.com/s/knGs5dBnG8a7LDkbrov-xQ</t>
        </is>
      </c>
      <c r="J226" t="inlineStr">
        <is>
          <t>大理</t>
        </is>
      </c>
      <c r="L226" t="inlineStr">
        <is>
          <t>云南</t>
        </is>
      </c>
      <c r="O226" t="inlineStr">
        <is>
          <t>中文</t>
        </is>
      </c>
      <c r="P226" t="inlineStr">
        <is>
          <t>否</t>
        </is>
      </c>
      <c r="Q226" t="inlineStr">
        <is>
          <t>官方信息</t>
        </is>
      </c>
      <c r="R226" t="inlineStr">
        <is>
          <t>政策实施与普法</t>
        </is>
      </c>
      <c r="S226" t="n">
        <v>0</v>
      </c>
      <c r="T226" t="n">
        <v>0</v>
      </c>
      <c r="U226" t="n">
        <v>0</v>
      </c>
      <c r="V226" t="inlineStr">
        <is>
          <t>否</t>
        </is>
      </c>
      <c r="W226" t="inlineStr">
        <is>
          <t>是</t>
        </is>
      </c>
      <c r="X226" t="inlineStr">
        <is>
          <t>历史导入:云南地区民族团结进步促进法舆情监测_最终修正版.xlsx；数据编号:20260806-11-067；来源类型:官方信息；检索关键词:中华人民共和国民族团结进步促进法</t>
        </is>
      </c>
    </row>
    <row r="227">
      <c r="A227" t="inlineStr">
        <is>
          <t>hist-bd3270c06e1032d9</t>
        </is>
      </c>
      <c r="B227" s="82" t="n">
        <v>46240</v>
      </c>
      <c r="C227" s="82" t="n">
        <v>46213</v>
      </c>
      <c r="D227" t="inlineStr">
        <is>
          <t>微信公众号</t>
        </is>
      </c>
      <c r="E227" t="inlineStr">
        <is>
          <t>微信公众号/视频号</t>
        </is>
      </c>
      <c r="F227" t="inlineStr">
        <is>
          <t>官方信息</t>
        </is>
      </c>
      <c r="G227" t="inlineStr">
        <is>
          <t>大理民族宗教</t>
        </is>
      </c>
      <c r="H227" t="inlineStr">
        <is>
          <t>公开普法解读法律责任和附则。</t>
        </is>
      </c>
      <c r="I227" t="inlineStr">
        <is>
          <t>https://mp.weixin.qq.com/s/PB6hmy-staS4rUCBp9_XWQ</t>
        </is>
      </c>
      <c r="J227" t="inlineStr">
        <is>
          <t>大理</t>
        </is>
      </c>
      <c r="L227" t="inlineStr">
        <is>
          <t>云南</t>
        </is>
      </c>
      <c r="O227" t="inlineStr">
        <is>
          <t>中文</t>
        </is>
      </c>
      <c r="P227" t="inlineStr">
        <is>
          <t>否</t>
        </is>
      </c>
      <c r="Q227" t="inlineStr">
        <is>
          <t>官方信息</t>
        </is>
      </c>
      <c r="R227" t="inlineStr">
        <is>
          <t>政策实施与普法</t>
        </is>
      </c>
      <c r="S227" t="n">
        <v>0</v>
      </c>
      <c r="T227" t="n">
        <v>0</v>
      </c>
      <c r="U227" t="n">
        <v>0</v>
      </c>
      <c r="V227" t="inlineStr">
        <is>
          <t>否</t>
        </is>
      </c>
      <c r="W227" t="inlineStr">
        <is>
          <t>是</t>
        </is>
      </c>
      <c r="X227" t="inlineStr">
        <is>
          <t>历史导入:云南地区民族团结进步促进法舆情监测_最终修正版.xlsx；数据编号:20260806-11-068；来源类型:官方信息；检索关键词:中华人民共和国民族团结进步促进法</t>
        </is>
      </c>
    </row>
    <row r="228">
      <c r="A228" t="inlineStr">
        <is>
          <t>hist-762156e7f4e2cad7</t>
        </is>
      </c>
      <c r="B228" s="82" t="n">
        <v>46240</v>
      </c>
      <c r="C228" s="82" t="n">
        <v>46225</v>
      </c>
      <c r="D228" t="inlineStr">
        <is>
          <t>微信公众号</t>
        </is>
      </c>
      <c r="E228" t="inlineStr">
        <is>
          <t>微信公众号/视频号</t>
        </is>
      </c>
      <c r="F228" t="inlineStr">
        <is>
          <t>官方信息</t>
        </is>
      </c>
      <c r="G228" t="inlineStr">
        <is>
          <t>大理民族宗教</t>
        </is>
      </c>
      <c r="H228" t="inlineStr">
        <is>
          <t>报道国家民委示范宣讲团在大理开展宣讲。</t>
        </is>
      </c>
      <c r="I228" t="inlineStr">
        <is>
          <t>https://mp.weixin.qq.com/s/IUjwAu60q5QnZENKYKvqbQ</t>
        </is>
      </c>
      <c r="J228" t="inlineStr">
        <is>
          <t>大理</t>
        </is>
      </c>
      <c r="L228" t="inlineStr">
        <is>
          <t>云南</t>
        </is>
      </c>
      <c r="O228" t="inlineStr">
        <is>
          <t>中文</t>
        </is>
      </c>
      <c r="P228" t="inlineStr">
        <is>
          <t>否</t>
        </is>
      </c>
      <c r="Q228" t="inlineStr">
        <is>
          <t>官方信息</t>
        </is>
      </c>
      <c r="R228" t="inlineStr">
        <is>
          <t>政策实施与普法</t>
        </is>
      </c>
      <c r="S228" t="n">
        <v>0</v>
      </c>
      <c r="T228" t="n">
        <v>0</v>
      </c>
      <c r="U228" t="n">
        <v>0</v>
      </c>
      <c r="V228" t="inlineStr">
        <is>
          <t>否</t>
        </is>
      </c>
      <c r="W228" t="inlineStr">
        <is>
          <t>是</t>
        </is>
      </c>
      <c r="X228" t="inlineStr">
        <is>
          <t>历史导入:云南地区民族团结进步促进法舆情监测_最终修正版.xlsx；数据编号:20260806-11-069；来源类型:官方信息；检索关键词:中华人民共和国民族团结进步促进法</t>
        </is>
      </c>
    </row>
    <row r="229">
      <c r="A229" t="inlineStr">
        <is>
          <t>hist-54327d2b4ada0caa</t>
        </is>
      </c>
      <c r="B229" s="82" t="n">
        <v>46240</v>
      </c>
      <c r="C229" s="82" t="n">
        <v>46230</v>
      </c>
      <c r="D229" t="inlineStr">
        <is>
          <t>微信公众号</t>
        </is>
      </c>
      <c r="E229" t="inlineStr">
        <is>
          <t>微信公众号/视频号</t>
        </is>
      </c>
      <c r="F229" t="inlineStr">
        <is>
          <t>官方信息</t>
        </is>
      </c>
      <c r="G229" t="inlineStr">
        <is>
          <t>大理民族宗教</t>
        </is>
      </c>
      <c r="H229" t="inlineStr">
        <is>
          <t>报道云南各州（市）学习宣传贯彻。</t>
        </is>
      </c>
      <c r="I229" t="inlineStr">
        <is>
          <t>https://mp.weixin.qq.com/s/0lRL6Dy7GqDlEYAQ-4wGVA</t>
        </is>
      </c>
      <c r="J229" t="inlineStr">
        <is>
          <t>云南</t>
        </is>
      </c>
      <c r="L229" t="inlineStr">
        <is>
          <t>云南</t>
        </is>
      </c>
      <c r="O229" t="inlineStr">
        <is>
          <t>中文</t>
        </is>
      </c>
      <c r="P229" t="inlineStr">
        <is>
          <t>否</t>
        </is>
      </c>
      <c r="Q229" t="inlineStr">
        <is>
          <t>官方信息</t>
        </is>
      </c>
      <c r="R229" t="inlineStr">
        <is>
          <t>政策实施与普法</t>
        </is>
      </c>
      <c r="S229" t="n">
        <v>0</v>
      </c>
      <c r="T229" t="n">
        <v>0</v>
      </c>
      <c r="U229" t="n">
        <v>0</v>
      </c>
      <c r="V229" t="inlineStr">
        <is>
          <t>否</t>
        </is>
      </c>
      <c r="W229" t="inlineStr">
        <is>
          <t>是</t>
        </is>
      </c>
      <c r="X229" t="inlineStr">
        <is>
          <t>历史导入:云南地区民族团结进步促进法舆情监测_最终修正版.xlsx；数据编号:20260806-11-070；来源类型:官方信息；检索关键词:中华人民共和国民族团结进步促进法</t>
        </is>
      </c>
    </row>
    <row r="230">
      <c r="A230" t="inlineStr">
        <is>
          <t>hist-4bec55a2b3bc182d</t>
        </is>
      </c>
      <c r="B230" s="82" t="n">
        <v>46240</v>
      </c>
      <c r="C230" s="82" t="n">
        <v>46205</v>
      </c>
      <c r="D230" t="inlineStr">
        <is>
          <t>微信公众号</t>
        </is>
      </c>
      <c r="E230" t="inlineStr">
        <is>
          <t>微信公众号/视频号</t>
        </is>
      </c>
      <c r="F230" t="inlineStr">
        <is>
          <t>官方信息</t>
        </is>
      </c>
      <c r="G230" t="inlineStr">
        <is>
          <t>大理民族宗教</t>
        </is>
      </c>
      <c r="H230" t="inlineStr">
        <is>
          <t>公开普法解读保障与监督。</t>
        </is>
      </c>
      <c r="I230" t="inlineStr">
        <is>
          <t>https://mp.weixin.qq.com/s/WgJ_ZKhN98_nh5uXLQMRgg</t>
        </is>
      </c>
      <c r="J230" t="inlineStr">
        <is>
          <t>大理</t>
        </is>
      </c>
      <c r="L230" t="inlineStr">
        <is>
          <t>云南</t>
        </is>
      </c>
      <c r="O230" t="inlineStr">
        <is>
          <t>中文</t>
        </is>
      </c>
      <c r="P230" t="inlineStr">
        <is>
          <t>否</t>
        </is>
      </c>
      <c r="Q230" t="inlineStr">
        <is>
          <t>官方信息</t>
        </is>
      </c>
      <c r="R230" t="inlineStr">
        <is>
          <t>政策实施与普法</t>
        </is>
      </c>
      <c r="S230" t="n">
        <v>0</v>
      </c>
      <c r="T230" t="n">
        <v>0</v>
      </c>
      <c r="U230" t="n">
        <v>0</v>
      </c>
      <c r="V230" t="inlineStr">
        <is>
          <t>否</t>
        </is>
      </c>
      <c r="W230" t="inlineStr">
        <is>
          <t>是</t>
        </is>
      </c>
      <c r="X230" t="inlineStr">
        <is>
          <t>历史导入:云南地区民族团结进步促进法舆情监测_最终修正版.xlsx；数据编号:20260806-11-071；来源类型:官方信息；检索关键词:中华人民共和国民族团结进步促进法</t>
        </is>
      </c>
    </row>
    <row r="231">
      <c r="A231" t="inlineStr">
        <is>
          <t>hist-273ba9669586ffb6</t>
        </is>
      </c>
      <c r="B231" s="82" t="n">
        <v>46240</v>
      </c>
      <c r="C231" s="82" t="n">
        <v>46205</v>
      </c>
      <c r="D231" t="inlineStr">
        <is>
          <t>微信公众号</t>
        </is>
      </c>
      <c r="E231" t="inlineStr">
        <is>
          <t>微信公众号/视频号</t>
        </is>
      </c>
      <c r="F231" t="inlineStr">
        <is>
          <t>官方信息</t>
        </is>
      </c>
      <c r="G231" t="inlineStr">
        <is>
          <t>大理民族宗教</t>
        </is>
      </c>
      <c r="H231" t="inlineStr">
        <is>
          <t>报道祥云县分层学习宣传。</t>
        </is>
      </c>
      <c r="I231" t="inlineStr">
        <is>
          <t>https://mp.weixin.qq.com/s/yFVIsQg4F3180HrcYGlWzg</t>
        </is>
      </c>
      <c r="J231" t="inlineStr">
        <is>
          <t>祥云县</t>
        </is>
      </c>
      <c r="L231" t="inlineStr">
        <is>
          <t>云南</t>
        </is>
      </c>
      <c r="O231" t="inlineStr">
        <is>
          <t>中文</t>
        </is>
      </c>
      <c r="P231" t="inlineStr">
        <is>
          <t>否</t>
        </is>
      </c>
      <c r="Q231" t="inlineStr">
        <is>
          <t>官方信息</t>
        </is>
      </c>
      <c r="R231" t="inlineStr">
        <is>
          <t>政策实施与普法</t>
        </is>
      </c>
      <c r="S231" t="n">
        <v>0</v>
      </c>
      <c r="T231" t="n">
        <v>0</v>
      </c>
      <c r="U231" t="n">
        <v>0</v>
      </c>
      <c r="V231" t="inlineStr">
        <is>
          <t>否</t>
        </is>
      </c>
      <c r="W231" t="inlineStr">
        <is>
          <t>是</t>
        </is>
      </c>
      <c r="X231" t="inlineStr">
        <is>
          <t>历史导入:云南地区民族团结进步促进法舆情监测_最终修正版.xlsx；数据编号:20260806-11-072；来源类型:官方信息；检索关键词:中华人民共和国民族团结进步促进法</t>
        </is>
      </c>
    </row>
    <row r="232">
      <c r="A232" t="inlineStr">
        <is>
          <t>hist-760e84a24647aa3f</t>
        </is>
      </c>
      <c r="B232" s="82" t="n">
        <v>46240</v>
      </c>
      <c r="C232" s="82" t="n">
        <v>46230</v>
      </c>
      <c r="D232" t="inlineStr">
        <is>
          <t>微信公众号</t>
        </is>
      </c>
      <c r="E232" t="inlineStr">
        <is>
          <t>微信公众号/视频号</t>
        </is>
      </c>
      <c r="F232" t="inlineStr">
        <is>
          <t>官方信息</t>
        </is>
      </c>
      <c r="G232" t="inlineStr">
        <is>
          <t>大理民族宗教</t>
        </is>
      </c>
      <c r="H232" t="inlineStr">
        <is>
          <t>报道专题授课、研讨学习、节庆赋能、书香共读和普法惠民。</t>
        </is>
      </c>
      <c r="I232" t="inlineStr">
        <is>
          <t>https://mp.weixin.qq.com/s/29g87uQF8ouPZdbElO-fCw</t>
        </is>
      </c>
      <c r="J232" t="inlineStr">
        <is>
          <t>永平县</t>
        </is>
      </c>
      <c r="L232" t="inlineStr">
        <is>
          <t>云南</t>
        </is>
      </c>
      <c r="O232" t="inlineStr">
        <is>
          <t>中文</t>
        </is>
      </c>
      <c r="P232" t="inlineStr">
        <is>
          <t>否</t>
        </is>
      </c>
      <c r="Q232" t="inlineStr">
        <is>
          <t>官方信息</t>
        </is>
      </c>
      <c r="R232" t="inlineStr">
        <is>
          <t>政策实施与普法</t>
        </is>
      </c>
      <c r="S232" t="n">
        <v>0</v>
      </c>
      <c r="T232" t="n">
        <v>0</v>
      </c>
      <c r="U232" t="n">
        <v>0</v>
      </c>
      <c r="V232" t="inlineStr">
        <is>
          <t>否</t>
        </is>
      </c>
      <c r="W232" t="inlineStr">
        <is>
          <t>是</t>
        </is>
      </c>
      <c r="X232" t="inlineStr">
        <is>
          <t>历史导入:云南地区民族团结进步促进法舆情监测_最终修正版.xlsx；数据编号:20260806-11-073；来源类型:官方信息；检索关键词:中华人民共和国民族团结进步促进法</t>
        </is>
      </c>
    </row>
    <row r="233">
      <c r="A233" t="inlineStr">
        <is>
          <t>hist-56edbaffa5d75f9c</t>
        </is>
      </c>
      <c r="B233" s="82" t="n">
        <v>46240</v>
      </c>
      <c r="C233" s="82" t="n">
        <v>46217</v>
      </c>
      <c r="D233" t="inlineStr">
        <is>
          <t>微信公众号</t>
        </is>
      </c>
      <c r="E233" t="inlineStr">
        <is>
          <t>微信公众号/视频号</t>
        </is>
      </c>
      <c r="F233" t="inlineStr">
        <is>
          <t>官方信息</t>
        </is>
      </c>
      <c r="G233" t="inlineStr">
        <is>
          <t>大理民族宗教</t>
        </is>
      </c>
      <c r="H233" t="inlineStr">
        <is>
          <t>培训系统学习促进法并提升干部能力。</t>
        </is>
      </c>
      <c r="I233" t="inlineStr">
        <is>
          <t>https://mp.weixin.qq.com/s/riFqFfwNbCqegjcrdmJhqw</t>
        </is>
      </c>
      <c r="J233" t="inlineStr">
        <is>
          <t>大理州</t>
        </is>
      </c>
      <c r="L233" t="inlineStr">
        <is>
          <t>云南</t>
        </is>
      </c>
      <c r="O233" t="inlineStr">
        <is>
          <t>中文</t>
        </is>
      </c>
      <c r="P233" t="inlineStr">
        <is>
          <t>否</t>
        </is>
      </c>
      <c r="Q233" t="inlineStr">
        <is>
          <t>官方信息</t>
        </is>
      </c>
      <c r="R233" t="inlineStr">
        <is>
          <t>政策实施与普法</t>
        </is>
      </c>
      <c r="S233" t="n">
        <v>0</v>
      </c>
      <c r="T233" t="n">
        <v>0</v>
      </c>
      <c r="U233" t="n">
        <v>0</v>
      </c>
      <c r="V233" t="inlineStr">
        <is>
          <t>否</t>
        </is>
      </c>
      <c r="W233" t="inlineStr">
        <is>
          <t>是</t>
        </is>
      </c>
      <c r="X233" t="inlineStr">
        <is>
          <t>历史导入:云南地区民族团结进步促进法舆情监测_最终修正版.xlsx；数据编号:20260806-11-074；来源类型:官方信息；检索关键词:中华人民共和国民族团结进步促进法</t>
        </is>
      </c>
    </row>
    <row r="234">
      <c r="A234" t="inlineStr">
        <is>
          <t>hist-0f06af9fe6625c90</t>
        </is>
      </c>
      <c r="B234" s="82" t="n">
        <v>46240</v>
      </c>
      <c r="C234" s="82" t="n">
        <v>46213</v>
      </c>
      <c r="D234" t="inlineStr">
        <is>
          <t>微信公众号</t>
        </is>
      </c>
      <c r="E234" t="inlineStr">
        <is>
          <t>微信公众号/视频号</t>
        </is>
      </c>
      <c r="F234" t="inlineStr">
        <is>
          <t>官方信息</t>
        </is>
      </c>
      <c r="G234" t="inlineStr">
        <is>
          <t>大理民族宗教</t>
        </is>
      </c>
      <c r="H234" t="inlineStr">
        <is>
          <t>培训内容明确包括促进法学习贯彻。</t>
        </is>
      </c>
      <c r="I234" t="inlineStr">
        <is>
          <t>https://mp.weixin.qq.com/s/OgjIhJfJL3xw7KnXbrfM7Q</t>
        </is>
      </c>
      <c r="J234" t="inlineStr">
        <is>
          <t>洱源县</t>
        </is>
      </c>
      <c r="L234" t="inlineStr">
        <is>
          <t>云南</t>
        </is>
      </c>
      <c r="O234" t="inlineStr">
        <is>
          <t>中文</t>
        </is>
      </c>
      <c r="P234" t="inlineStr">
        <is>
          <t>否</t>
        </is>
      </c>
      <c r="Q234" t="inlineStr">
        <is>
          <t>官方信息</t>
        </is>
      </c>
      <c r="R234" t="inlineStr">
        <is>
          <t>政策实施与普法</t>
        </is>
      </c>
      <c r="S234" t="n">
        <v>0</v>
      </c>
      <c r="T234" t="n">
        <v>0</v>
      </c>
      <c r="U234" t="n">
        <v>0</v>
      </c>
      <c r="V234" t="inlineStr">
        <is>
          <t>否</t>
        </is>
      </c>
      <c r="W234" t="inlineStr">
        <is>
          <t>是</t>
        </is>
      </c>
      <c r="X234" t="inlineStr">
        <is>
          <t>历史导入:云南地区民族团结进步促进法舆情监测_最终修正版.xlsx；数据编号:20260806-11-075；来源类型:官方信息；检索关键词:中华人民共和国民族团结进步促进法</t>
        </is>
      </c>
    </row>
    <row r="235">
      <c r="A235" t="inlineStr">
        <is>
          <t>hist-6379dd68d8a28a3d</t>
        </is>
      </c>
      <c r="B235" s="82" t="n">
        <v>46240</v>
      </c>
      <c r="C235" s="82" t="n">
        <v>46233</v>
      </c>
      <c r="D235" t="inlineStr">
        <is>
          <t>微信公众号</t>
        </is>
      </c>
      <c r="E235" t="inlineStr">
        <is>
          <t>微信公众号/视频号</t>
        </is>
      </c>
      <c r="F235" t="inlineStr">
        <is>
          <t>官方信息</t>
        </is>
      </c>
      <c r="G235" t="inlineStr">
        <is>
          <t>大理民族宗教</t>
        </is>
      </c>
      <c r="H235" t="inlineStr">
        <is>
          <t>专题解读促进法和企业创建、贷款贴息政策。</t>
        </is>
      </c>
      <c r="I235" t="inlineStr">
        <is>
          <t>https://mp.weixin.qq.com/s/fQb4nH09mDjhmzO-hr8Fgg</t>
        </is>
      </c>
      <c r="J235" t="inlineStr">
        <is>
          <t>大理州</t>
        </is>
      </c>
      <c r="L235" t="inlineStr">
        <is>
          <t>云南</t>
        </is>
      </c>
      <c r="O235" t="inlineStr">
        <is>
          <t>中文</t>
        </is>
      </c>
      <c r="P235" t="inlineStr">
        <is>
          <t>否</t>
        </is>
      </c>
      <c r="Q235" t="inlineStr">
        <is>
          <t>官方信息</t>
        </is>
      </c>
      <c r="R235" t="inlineStr">
        <is>
          <t>政策实施与普法</t>
        </is>
      </c>
      <c r="S235" t="n">
        <v>0</v>
      </c>
      <c r="T235" t="n">
        <v>0</v>
      </c>
      <c r="U235" t="n">
        <v>0</v>
      </c>
      <c r="V235" t="inlineStr">
        <is>
          <t>否</t>
        </is>
      </c>
      <c r="W235" t="inlineStr">
        <is>
          <t>是</t>
        </is>
      </c>
      <c r="X235" t="inlineStr">
        <is>
          <t>历史导入:云南地区民族团结进步促进法舆情监测_最终修正版.xlsx；数据编号:20260806-11-076；来源类型:官方信息；检索关键词:中华人民共和国民族团结进步促进法</t>
        </is>
      </c>
    </row>
    <row r="236">
      <c r="A236" t="inlineStr">
        <is>
          <t>hist-f877a068e0f9566d</t>
        </is>
      </c>
      <c r="B236" s="82" t="n">
        <v>46240</v>
      </c>
      <c r="C236" s="82" t="n">
        <v>46238</v>
      </c>
      <c r="D236" t="inlineStr">
        <is>
          <t>微信公众号</t>
        </is>
      </c>
      <c r="E236" t="inlineStr">
        <is>
          <t>微信公众号/视频号</t>
        </is>
      </c>
      <c r="F236" t="inlineStr">
        <is>
          <t>官方信息</t>
        </is>
      </c>
      <c r="G236" t="inlineStr">
        <is>
          <t>大理融媒</t>
        </is>
      </c>
      <c r="H236" t="inlineStr">
        <is>
          <t>活动内容包括宣读促进法学习贯彻倡议书。</t>
        </is>
      </c>
      <c r="I236" t="inlineStr">
        <is>
          <t>https://mp.weixin.qq.com/s/LJ37LzVrtdkRbCvcslO85g</t>
        </is>
      </c>
      <c r="J236" t="inlineStr">
        <is>
          <t>漾濞县</t>
        </is>
      </c>
      <c r="L236" t="inlineStr">
        <is>
          <t>云南</t>
        </is>
      </c>
      <c r="O236" t="inlineStr">
        <is>
          <t>中文</t>
        </is>
      </c>
      <c r="P236" t="inlineStr">
        <is>
          <t>否</t>
        </is>
      </c>
      <c r="Q236" t="inlineStr">
        <is>
          <t>官方信息</t>
        </is>
      </c>
      <c r="R236" t="inlineStr">
        <is>
          <t>政策实施与普法</t>
        </is>
      </c>
      <c r="S236" t="n">
        <v>0</v>
      </c>
      <c r="T236" t="n">
        <v>0</v>
      </c>
      <c r="U236" t="n">
        <v>0</v>
      </c>
      <c r="V236" t="inlineStr">
        <is>
          <t>否</t>
        </is>
      </c>
      <c r="W236" t="inlineStr">
        <is>
          <t>是</t>
        </is>
      </c>
      <c r="X236" t="inlineStr">
        <is>
          <t>历史导入:云南地区民族团结进步促进法舆情监测_最终修正版.xlsx；数据编号:20260806-11-077；来源类型:官方信息；检索关键词:中华人民共和国民族团结进步促进法</t>
        </is>
      </c>
    </row>
    <row r="237">
      <c r="A237" t="inlineStr">
        <is>
          <t>hist-9f95c95eb7c9a786</t>
        </is>
      </c>
      <c r="B237" s="82" t="n">
        <v>46240</v>
      </c>
      <c r="C237" s="82" t="n">
        <v>46224</v>
      </c>
      <c r="D237" t="inlineStr">
        <is>
          <t>微信公众号</t>
        </is>
      </c>
      <c r="E237" t="inlineStr">
        <is>
          <t>微信公众号/视频号</t>
        </is>
      </c>
      <c r="F237" t="inlineStr">
        <is>
          <t>官方信息</t>
        </is>
      </c>
      <c r="G237" t="inlineStr">
        <is>
          <t>德宏政务</t>
        </is>
      </c>
      <c r="H237" t="inlineStr">
        <is>
          <t>国家民委宣讲团在德宏开展宣讲。</t>
        </is>
      </c>
      <c r="I237" t="inlineStr">
        <is>
          <t>https://mp.weixin.qq.com/s/AwXLTgXzuUNSAjIC9_OwpA</t>
        </is>
      </c>
      <c r="J237" t="inlineStr">
        <is>
          <t>德宏州</t>
        </is>
      </c>
      <c r="L237" t="inlineStr">
        <is>
          <t>云南</t>
        </is>
      </c>
      <c r="O237" t="inlineStr">
        <is>
          <t>中文</t>
        </is>
      </c>
      <c r="P237" t="inlineStr">
        <is>
          <t>否</t>
        </is>
      </c>
      <c r="Q237" t="inlineStr">
        <is>
          <t>官方信息</t>
        </is>
      </c>
      <c r="R237" t="inlineStr">
        <is>
          <t>政策实施与普法</t>
        </is>
      </c>
      <c r="S237" t="n">
        <v>0</v>
      </c>
      <c r="T237" t="n">
        <v>0</v>
      </c>
      <c r="U237" t="n">
        <v>0</v>
      </c>
      <c r="V237" t="inlineStr">
        <is>
          <t>否</t>
        </is>
      </c>
      <c r="W237" t="inlineStr">
        <is>
          <t>是</t>
        </is>
      </c>
      <c r="X237" t="inlineStr">
        <is>
          <t>历史导入:云南地区民族团结进步促进法舆情监测_最终修正版.xlsx；数据编号:20260806-11-078；来源类型:官方信息；检索关键词:中华人民共和国民族团结进步促进法</t>
        </is>
      </c>
    </row>
    <row r="238">
      <c r="A238" t="inlineStr">
        <is>
          <t>hist-fd65eac7b447dea8</t>
        </is>
      </c>
      <c r="B238" s="82" t="n">
        <v>46240</v>
      </c>
      <c r="C238" s="82" t="n">
        <v>46209</v>
      </c>
      <c r="D238" t="inlineStr">
        <is>
          <t>微信公众号</t>
        </is>
      </c>
      <c r="E238" t="inlineStr">
        <is>
          <t>微信公众号/视频号</t>
        </is>
      </c>
      <c r="F238" t="inlineStr">
        <is>
          <t>官方信息</t>
        </is>
      </c>
      <c r="G238" t="inlineStr">
        <is>
          <t>迪庆发布</t>
        </is>
      </c>
      <c r="H238" t="inlineStr">
        <is>
          <t>报道促进法正式施行后迪庆州分层分类学习宣传和实践创建。</t>
        </is>
      </c>
      <c r="I238" t="inlineStr">
        <is>
          <t>https://mp.weixin.qq.com/s/QU-XlesB2iDWDi7PonrHvw</t>
        </is>
      </c>
      <c r="J238" t="inlineStr">
        <is>
          <t>迪庆州</t>
        </is>
      </c>
      <c r="L238" t="inlineStr">
        <is>
          <t>云南</t>
        </is>
      </c>
      <c r="O238" t="inlineStr">
        <is>
          <t>中文</t>
        </is>
      </c>
      <c r="P238" t="inlineStr">
        <is>
          <t>否</t>
        </is>
      </c>
      <c r="Q238" t="inlineStr">
        <is>
          <t>官方信息</t>
        </is>
      </c>
      <c r="R238" t="inlineStr">
        <is>
          <t>政策实施与普法</t>
        </is>
      </c>
      <c r="S238" t="n">
        <v>0</v>
      </c>
      <c r="T238" t="n">
        <v>0</v>
      </c>
      <c r="U238" t="n">
        <v>0</v>
      </c>
      <c r="V238" t="inlineStr">
        <is>
          <t>否</t>
        </is>
      </c>
      <c r="W238" t="inlineStr">
        <is>
          <t>是</t>
        </is>
      </c>
      <c r="X238" t="inlineStr">
        <is>
          <t>历史导入:云南地区民族团结进步促进法舆情监测_最终修正版.xlsx；数据编号:20260806-11-079；来源类型:官方信息；检索关键词:中华人民共和国民族团结进步促进法</t>
        </is>
      </c>
    </row>
    <row r="239">
      <c r="A239" t="inlineStr">
        <is>
          <t>hist-79bad31b77a9acc5</t>
        </is>
      </c>
      <c r="B239" s="82" t="n">
        <v>46240</v>
      </c>
      <c r="C239" s="82" t="n">
        <v>46225</v>
      </c>
      <c r="D239" t="inlineStr">
        <is>
          <t>微信公众号</t>
        </is>
      </c>
      <c r="E239" t="inlineStr">
        <is>
          <t>微信公众号/视频号</t>
        </is>
      </c>
      <c r="F239" t="inlineStr">
        <is>
          <t>官方信息</t>
        </is>
      </c>
      <c r="G239" t="inlineStr">
        <is>
          <t>迪庆发布</t>
        </is>
      </c>
      <c r="H239" t="inlineStr">
        <is>
          <t>报道示范宣讲并提出落实要求。</t>
        </is>
      </c>
      <c r="I239" t="inlineStr">
        <is>
          <t>https://mp.weixin.qq.com/s/NZs3U-tr82h55s6-HxUVPg</t>
        </is>
      </c>
      <c r="J239" t="inlineStr">
        <is>
          <t>迪庆州</t>
        </is>
      </c>
      <c r="L239" t="inlineStr">
        <is>
          <t>云南</t>
        </is>
      </c>
      <c r="O239" t="inlineStr">
        <is>
          <t>中文</t>
        </is>
      </c>
      <c r="P239" t="inlineStr">
        <is>
          <t>否</t>
        </is>
      </c>
      <c r="Q239" t="inlineStr">
        <is>
          <t>官方信息</t>
        </is>
      </c>
      <c r="R239" t="inlineStr">
        <is>
          <t>政策实施与普法</t>
        </is>
      </c>
      <c r="S239" t="n">
        <v>0</v>
      </c>
      <c r="T239" t="n">
        <v>0</v>
      </c>
      <c r="U239" t="n">
        <v>0</v>
      </c>
      <c r="V239" t="inlineStr">
        <is>
          <t>否</t>
        </is>
      </c>
      <c r="W239" t="inlineStr">
        <is>
          <t>是</t>
        </is>
      </c>
      <c r="X239" t="inlineStr">
        <is>
          <t>历史导入:云南地区民族团结进步促进法舆情监测_最终修正版.xlsx；数据编号:20260806-11-080；来源类型:官方信息；检索关键词:中华人民共和国民族团结进步促进法</t>
        </is>
      </c>
    </row>
    <row r="240">
      <c r="A240" t="inlineStr">
        <is>
          <t>hist-cee76560d1cc315a</t>
        </is>
      </c>
      <c r="B240" s="82" t="n">
        <v>46240</v>
      </c>
      <c r="C240" s="82" t="n">
        <v>46209</v>
      </c>
      <c r="D240" t="inlineStr">
        <is>
          <t>微信公众号</t>
        </is>
      </c>
      <c r="E240" t="inlineStr">
        <is>
          <t>微信公众号/视频号</t>
        </is>
      </c>
      <c r="F240" t="inlineStr">
        <is>
          <t>官方信息</t>
        </is>
      </c>
      <c r="G240" t="inlineStr">
        <is>
          <t>迪庆州人民政府网</t>
        </is>
      </c>
      <c r="H240" t="inlineStr">
        <is>
          <t>政府公众号报道促进法在迪庆州落地。</t>
        </is>
      </c>
      <c r="I240" t="inlineStr">
        <is>
          <t>https://mp.weixin.qq.com/s/jY22Jv3PW7zdUjrSiRvTAw</t>
        </is>
      </c>
      <c r="J240" t="inlineStr">
        <is>
          <t>迪庆州</t>
        </is>
      </c>
      <c r="L240" t="inlineStr">
        <is>
          <t>云南</t>
        </is>
      </c>
      <c r="O240" t="inlineStr">
        <is>
          <t>中文</t>
        </is>
      </c>
      <c r="P240" t="inlineStr">
        <is>
          <t>否</t>
        </is>
      </c>
      <c r="Q240" t="inlineStr">
        <is>
          <t>官方信息</t>
        </is>
      </c>
      <c r="R240" t="inlineStr">
        <is>
          <t>政策实施与普法</t>
        </is>
      </c>
      <c r="S240" t="n">
        <v>0</v>
      </c>
      <c r="T240" t="n">
        <v>0</v>
      </c>
      <c r="U240" t="n">
        <v>0</v>
      </c>
      <c r="V240" t="inlineStr">
        <is>
          <t>否</t>
        </is>
      </c>
      <c r="W240" t="inlineStr">
        <is>
          <t>是</t>
        </is>
      </c>
      <c r="X240" t="inlineStr">
        <is>
          <t>历史导入:云南地区民族团结进步促进法舆情监测_最终修正版.xlsx；数据编号:20260806-11-081；来源类型:官方信息；检索关键词:中华人民共和国民族团结进步促进法</t>
        </is>
      </c>
    </row>
    <row r="241">
      <c r="A241" t="inlineStr">
        <is>
          <t>hist-36259820c60240fb</t>
        </is>
      </c>
      <c r="B241" s="82" t="n">
        <v>46240</v>
      </c>
      <c r="C241" s="82" t="n">
        <v>46226</v>
      </c>
      <c r="D241" t="inlineStr">
        <is>
          <t>微信公众号</t>
        </is>
      </c>
      <c r="E241" t="inlineStr">
        <is>
          <t>微信公众号/视频号</t>
        </is>
      </c>
      <c r="F241" t="inlineStr">
        <is>
          <t>官方信息</t>
        </is>
      </c>
      <c r="G241" t="inlineStr">
        <is>
          <t>迪庆州人民政府网</t>
        </is>
      </c>
      <c r="H241" t="inlineStr">
        <is>
          <t>政府公众号报道示范宣讲。</t>
        </is>
      </c>
      <c r="I241" t="inlineStr">
        <is>
          <t>https://mp.weixin.qq.com/s/MlDnxAZpD-xgeN9peCem1w</t>
        </is>
      </c>
      <c r="J241" t="inlineStr">
        <is>
          <t>迪庆州</t>
        </is>
      </c>
      <c r="L241" t="inlineStr">
        <is>
          <t>云南</t>
        </is>
      </c>
      <c r="O241" t="inlineStr">
        <is>
          <t>中文</t>
        </is>
      </c>
      <c r="P241" t="inlineStr">
        <is>
          <t>否</t>
        </is>
      </c>
      <c r="Q241" t="inlineStr">
        <is>
          <t>官方信息</t>
        </is>
      </c>
      <c r="R241" t="inlineStr">
        <is>
          <t>政策实施与普法</t>
        </is>
      </c>
      <c r="S241" t="n">
        <v>0</v>
      </c>
      <c r="T241" t="n">
        <v>0</v>
      </c>
      <c r="U241" t="n">
        <v>0</v>
      </c>
      <c r="V241" t="inlineStr">
        <is>
          <t>否</t>
        </is>
      </c>
      <c r="W241" t="inlineStr">
        <is>
          <t>是</t>
        </is>
      </c>
      <c r="X241" t="inlineStr">
        <is>
          <t>历史导入:云南地区民族团结进步促进法舆情监测_最终修正版.xlsx；数据编号:20260806-11-082；来源类型:官方信息；检索关键词:中华人民共和国民族团结进步促进法</t>
        </is>
      </c>
    </row>
    <row r="242">
      <c r="A242" t="inlineStr">
        <is>
          <t>hist-806be438645b4acd</t>
        </is>
      </c>
      <c r="B242" s="82" t="n">
        <v>46240</v>
      </c>
      <c r="C242" s="82" t="n">
        <v>46210</v>
      </c>
      <c r="D242" t="inlineStr">
        <is>
          <t>微信公众号</t>
        </is>
      </c>
      <c r="E242" t="inlineStr">
        <is>
          <t>微信公众号/视频号</t>
        </is>
      </c>
      <c r="F242" t="inlineStr">
        <is>
          <t>官方信息</t>
        </is>
      </c>
      <c r="G242" t="inlineStr">
        <is>
          <t>迪庆州人民政府网</t>
        </is>
      </c>
      <c r="H242" t="inlineStr">
        <is>
          <t>新闻发布会内容明确将促进法学习宣传贯彻纳入工作基础。</t>
        </is>
      </c>
      <c r="I242" t="inlineStr">
        <is>
          <t>https://mp.weixin.qq.com/s/0-v9UZEuh2KjwIcZwR_DiA</t>
        </is>
      </c>
      <c r="J242" t="inlineStr">
        <is>
          <t>迪庆州</t>
        </is>
      </c>
      <c r="L242" t="inlineStr">
        <is>
          <t>云南</t>
        </is>
      </c>
      <c r="O242" t="inlineStr">
        <is>
          <t>中文</t>
        </is>
      </c>
      <c r="P242" t="inlineStr">
        <is>
          <t>否</t>
        </is>
      </c>
      <c r="Q242" t="inlineStr">
        <is>
          <t>官方信息</t>
        </is>
      </c>
      <c r="R242" t="inlineStr">
        <is>
          <t>政策实施与普法</t>
        </is>
      </c>
      <c r="S242" t="n">
        <v>0</v>
      </c>
      <c r="T242" t="n">
        <v>0</v>
      </c>
      <c r="U242" t="n">
        <v>0</v>
      </c>
      <c r="V242" t="inlineStr">
        <is>
          <t>否</t>
        </is>
      </c>
      <c r="W242" t="inlineStr">
        <is>
          <t>是</t>
        </is>
      </c>
      <c r="X242" t="inlineStr">
        <is>
          <t>历史导入:云南地区民族团结进步促进法舆情监测_最终修正版.xlsx；数据编号:20260806-11-083；来源类型:官方信息；检索关键词:中华人民共和国民族团结进步促进法</t>
        </is>
      </c>
    </row>
    <row r="243">
      <c r="A243" t="inlineStr">
        <is>
          <t>hist-1d16af99098edad6</t>
        </is>
      </c>
      <c r="B243" s="82" t="n">
        <v>46240</v>
      </c>
      <c r="C243" s="82" t="n">
        <v>46233</v>
      </c>
      <c r="D243" t="inlineStr">
        <is>
          <t>微信公众号</t>
        </is>
      </c>
      <c r="E243" t="inlineStr">
        <is>
          <t>微信公众号/视频号</t>
        </is>
      </c>
      <c r="F243" t="inlineStr">
        <is>
          <t>官方信息</t>
        </is>
      </c>
      <c r="G243" t="inlineStr">
        <is>
          <t>迪庆州人民政府网</t>
        </is>
      </c>
      <c r="H243" t="inlineStr">
        <is>
          <t>会议要求抓好促进法贯彻实施。</t>
        </is>
      </c>
      <c r="I243" t="inlineStr">
        <is>
          <t>https://mp.weixin.qq.com/s/OsN1brOFZrd-IhpHfhzuCA</t>
        </is>
      </c>
      <c r="J243" t="inlineStr">
        <is>
          <t>迪庆州</t>
        </is>
      </c>
      <c r="L243" t="inlineStr">
        <is>
          <t>云南</t>
        </is>
      </c>
      <c r="O243" t="inlineStr">
        <is>
          <t>中文</t>
        </is>
      </c>
      <c r="P243" t="inlineStr">
        <is>
          <t>否</t>
        </is>
      </c>
      <c r="Q243" t="inlineStr">
        <is>
          <t>官方信息</t>
        </is>
      </c>
      <c r="R243" t="inlineStr">
        <is>
          <t>政策实施与普法</t>
        </is>
      </c>
      <c r="S243" t="n">
        <v>0</v>
      </c>
      <c r="T243" t="n">
        <v>0</v>
      </c>
      <c r="U243" t="n">
        <v>0</v>
      </c>
      <c r="V243" t="inlineStr">
        <is>
          <t>否</t>
        </is>
      </c>
      <c r="W243" t="inlineStr">
        <is>
          <t>是</t>
        </is>
      </c>
      <c r="X243" t="inlineStr">
        <is>
          <t>历史导入:云南地区民族团结进步促进法舆情监测_最终修正版.xlsx；数据编号:20260806-11-084；来源类型:官方信息；检索关键词:中华人民共和国民族团结进步促进法</t>
        </is>
      </c>
    </row>
    <row r="244">
      <c r="A244" t="inlineStr">
        <is>
          <t>hist-3577d04d50964670</t>
        </is>
      </c>
      <c r="B244" s="82" t="n">
        <v>46240</v>
      </c>
      <c r="C244" s="82" t="n">
        <v>46220</v>
      </c>
      <c r="D244" t="inlineStr">
        <is>
          <t>抖音</t>
        </is>
      </c>
      <c r="E244" t="inlineStr">
        <is>
          <t>抖音等视频平台</t>
        </is>
      </c>
      <c r="F244" t="inlineStr">
        <is>
          <t>官方信息</t>
        </is>
      </c>
      <c r="G244" t="inlineStr">
        <is>
          <t>香格里拉融媒体</t>
        </is>
      </c>
      <c r="H244" t="inlineStr">
        <is>
          <t>汉藏双语解读促进法。</t>
        </is>
      </c>
      <c r="I244" t="inlineStr">
        <is>
          <t>https://v.douyin.com/FSd8aIUvgyg/</t>
        </is>
      </c>
      <c r="J244" t="inlineStr">
        <is>
          <t>迪庆州</t>
        </is>
      </c>
      <c r="L244" t="inlineStr">
        <is>
          <t>云南</t>
        </is>
      </c>
      <c r="O244" t="inlineStr">
        <is>
          <t>中文</t>
        </is>
      </c>
      <c r="P244" t="inlineStr">
        <is>
          <t>否</t>
        </is>
      </c>
      <c r="Q244" t="inlineStr">
        <is>
          <t>官方信息</t>
        </is>
      </c>
      <c r="R244" t="inlineStr">
        <is>
          <t>政策实施与普法</t>
        </is>
      </c>
      <c r="S244" t="n">
        <v>0</v>
      </c>
      <c r="T244" t="n">
        <v>0</v>
      </c>
      <c r="U244" t="n">
        <v>0</v>
      </c>
      <c r="V244" t="inlineStr">
        <is>
          <t>否</t>
        </is>
      </c>
      <c r="W244" t="inlineStr">
        <is>
          <t>是</t>
        </is>
      </c>
      <c r="X244" t="inlineStr">
        <is>
          <t>历史导入:云南地区民族团结进步促进法舆情监测_最终修正版.xlsx；数据编号:20260806-11-085；来源类型:官方信息；检索关键词:中华人民共和国民族团结进步促进法</t>
        </is>
      </c>
    </row>
    <row r="245">
      <c r="A245" t="inlineStr">
        <is>
          <t>hist-cf21edbdbd4a4591</t>
        </is>
      </c>
      <c r="B245" s="82" t="n">
        <v>46240</v>
      </c>
      <c r="C245" s="82" t="n">
        <v>46231</v>
      </c>
      <c r="D245" t="inlineStr">
        <is>
          <t>抖音</t>
        </is>
      </c>
      <c r="E245" t="inlineStr">
        <is>
          <t>抖音等视频平台</t>
        </is>
      </c>
      <c r="F245" t="inlineStr">
        <is>
          <t>官方信息</t>
        </is>
      </c>
      <c r="G245" t="inlineStr">
        <is>
          <t>梅里视界</t>
        </is>
      </c>
      <c r="H245" t="inlineStr">
        <is>
          <t>雪域地区促进法普法视频。</t>
        </is>
      </c>
      <c r="I245" t="inlineStr">
        <is>
          <t>https://v.douyin.com/V-1OdPS6QvU/</t>
        </is>
      </c>
      <c r="J245" t="inlineStr">
        <is>
          <t>迪庆州</t>
        </is>
      </c>
      <c r="L245" t="inlineStr">
        <is>
          <t>云南</t>
        </is>
      </c>
      <c r="O245" t="inlineStr">
        <is>
          <t>中文</t>
        </is>
      </c>
      <c r="P245" t="inlineStr">
        <is>
          <t>否</t>
        </is>
      </c>
      <c r="Q245" t="inlineStr">
        <is>
          <t>官方信息</t>
        </is>
      </c>
      <c r="R245" t="inlineStr">
        <is>
          <t>政策实施与普法</t>
        </is>
      </c>
      <c r="S245" t="n">
        <v>0</v>
      </c>
      <c r="T245" t="n">
        <v>0</v>
      </c>
      <c r="U245" t="n">
        <v>0</v>
      </c>
      <c r="V245" t="inlineStr">
        <is>
          <t>否</t>
        </is>
      </c>
      <c r="W245" t="inlineStr">
        <is>
          <t>是</t>
        </is>
      </c>
      <c r="X245" t="inlineStr">
        <is>
          <t>历史导入:云南地区民族团结进步促进法舆情监测_最终修正版.xlsx；数据编号:20260806-11-086；来源类型:官方信息；检索关键词:中华人民共和国民族团结进步促进法</t>
        </is>
      </c>
    </row>
    <row r="246">
      <c r="A246" t="inlineStr">
        <is>
          <t>hist-717d489813bde0d5</t>
        </is>
      </c>
      <c r="B246" s="82" t="n">
        <v>46240</v>
      </c>
      <c r="C246" s="82" t="n">
        <v>46207</v>
      </c>
      <c r="D246" t="inlineStr">
        <is>
          <t>抖音</t>
        </is>
      </c>
      <c r="E246" t="inlineStr">
        <is>
          <t>抖音等视频平台</t>
        </is>
      </c>
      <c r="F246" t="inlineStr">
        <is>
          <t>官方信息</t>
        </is>
      </c>
      <c r="G246" t="inlineStr">
        <is>
          <t>彩云红河谷</t>
        </is>
      </c>
      <c r="H246" t="inlineStr">
        <is>
          <t>面向普洱、西盟发布促进法公益广告。</t>
        </is>
      </c>
      <c r="I246" t="inlineStr">
        <is>
          <t>https://v.douyin.com/SoWJw-M3Npw/</t>
        </is>
      </c>
      <c r="J246" t="inlineStr">
        <is>
          <t>普洱/西盟</t>
        </is>
      </c>
      <c r="L246" t="inlineStr">
        <is>
          <t>云南</t>
        </is>
      </c>
      <c r="O246" t="inlineStr">
        <is>
          <t>中文</t>
        </is>
      </c>
      <c r="P246" t="inlineStr">
        <is>
          <t>否</t>
        </is>
      </c>
      <c r="Q246" t="inlineStr">
        <is>
          <t>官方信息</t>
        </is>
      </c>
      <c r="R246" t="inlineStr">
        <is>
          <t>政策实施与普法</t>
        </is>
      </c>
      <c r="S246" t="n">
        <v>0</v>
      </c>
      <c r="T246" t="n">
        <v>0</v>
      </c>
      <c r="U246" t="n">
        <v>0</v>
      </c>
      <c r="V246" t="inlineStr">
        <is>
          <t>否</t>
        </is>
      </c>
      <c r="W246" t="inlineStr">
        <is>
          <t>是</t>
        </is>
      </c>
      <c r="X246" t="inlineStr">
        <is>
          <t>历史导入:云南地区民族团结进步促进法舆情监测_最终修正版.xlsx；数据编号:20260806-11-087；来源类型:官方信息；检索关键词:中华人民共和国民族团结进步促进法</t>
        </is>
      </c>
    </row>
    <row r="247">
      <c r="A247" t="inlineStr">
        <is>
          <t>hist-46530d3d98454706</t>
        </is>
      </c>
      <c r="B247" s="82" t="n">
        <v>46252.9403587963</v>
      </c>
      <c r="C247" s="82" t="n">
        <v>46206</v>
      </c>
      <c r="D247" t="inlineStr">
        <is>
          <t>内蒙古长安网</t>
        </is>
      </c>
      <c r="E247" t="inlineStr">
        <is>
          <t>其他</t>
        </is>
      </c>
      <c r="F247" t="inlineStr">
        <is>
          <t>原始网页</t>
        </is>
      </c>
      <c r="G247" t="inlineStr">
        <is>
          <t>普法宣传</t>
        </is>
      </c>
      <c r="H247" t="inlineStr">
        <is>
          <t>2026年3月12日，十四届全国人大四次会议表决通过《中华人民共和国民族团结进步促进法》，自7月1日起施行。</t>
        </is>
      </c>
      <c r="I247" t="inlineStr">
        <is>
          <t>https://www.nmgcaw.gov.cn/news/details/822812735258693.html</t>
        </is>
      </c>
      <c r="J247" t="inlineStr">
        <is>
          <t>内蒙古全区</t>
        </is>
      </c>
      <c r="L247" t="inlineStr">
        <is>
          <t>内蒙古</t>
        </is>
      </c>
      <c r="O247" t="inlineStr">
        <is>
          <t>中文</t>
        </is>
      </c>
      <c r="P247" t="inlineStr">
        <is>
          <t>否</t>
        </is>
      </c>
      <c r="Q247" t="inlineStr">
        <is>
          <t>官方政策信息</t>
        </is>
      </c>
      <c r="R247" t="inlineStr">
        <is>
          <t>法律施行与总体解读</t>
        </is>
      </c>
      <c r="S247" t="n">
        <v>0</v>
      </c>
      <c r="T247" t="n">
        <v>0</v>
      </c>
      <c r="U247" t="n">
        <v>0</v>
      </c>
      <c r="V247" t="inlineStr">
        <is>
          <t>否</t>
        </is>
      </c>
      <c r="W247" t="inlineStr">
        <is>
          <t>否</t>
        </is>
      </c>
      <c r="X247" t="inlineStr">
        <is>
          <t>历史导入:内蒙古河北东北民族地区_舆情监测统计修正版(2).xlsx；来源类型:官方实施信息；重复:否；待核实:否</t>
        </is>
      </c>
    </row>
    <row r="248">
      <c r="A248" t="inlineStr">
        <is>
          <t>hist-9ae1acde14bc87b5</t>
        </is>
      </c>
      <c r="B248" s="82" t="n">
        <v>46252.9403587963</v>
      </c>
      <c r="C248" s="82" t="n">
        <v>46227</v>
      </c>
      <c r="D248" t="inlineStr">
        <is>
          <t>搜狐网</t>
        </is>
      </c>
      <c r="E248" t="inlineStr">
        <is>
          <t>其他</t>
        </is>
      </c>
      <c r="F248" t="inlineStr">
        <is>
          <t>原始网页</t>
        </is>
      </c>
      <c r="G248" t="inlineStr">
        <is>
          <t>内蒙古自治区民族事务委员会</t>
        </is>
      </c>
      <c r="H248" t="inlineStr">
        <is>
          <t>2026年7月1日，《中华人民共和国民族团结进步促进法》正式施行，这是新时代第一部民族领域专门法律。</t>
        </is>
      </c>
      <c r="I248" t="inlineStr">
        <is>
          <t>https://m.sohu.com/a/1054293476_121106854/</t>
        </is>
      </c>
      <c r="J248" t="inlineStr">
        <is>
          <t>内蒙古全区</t>
        </is>
      </c>
      <c r="L248" t="inlineStr">
        <is>
          <t>内蒙古</t>
        </is>
      </c>
      <c r="O248" t="inlineStr">
        <is>
          <t>中文</t>
        </is>
      </c>
      <c r="P248" t="inlineStr">
        <is>
          <t>否</t>
        </is>
      </c>
      <c r="Q248" t="inlineStr">
        <is>
          <t>官方政策信息</t>
        </is>
      </c>
      <c r="R248" t="inlineStr">
        <is>
          <t>学习培训与宣传覆盖；基层普法与群众参与</t>
        </is>
      </c>
      <c r="S248" t="n">
        <v>0</v>
      </c>
      <c r="T248" t="n">
        <v>0</v>
      </c>
      <c r="U248" t="n">
        <v>0</v>
      </c>
      <c r="V248" t="inlineStr">
        <is>
          <t>否</t>
        </is>
      </c>
      <c r="W248" t="inlineStr">
        <is>
          <t>否</t>
        </is>
      </c>
      <c r="X248" t="inlineStr">
        <is>
          <t>历史导入:内蒙古河北东北民族地区_舆情监测统计修正版(2).xlsx；来源类型:官方实施信息；重复:否；待核实:否</t>
        </is>
      </c>
    </row>
    <row r="249">
      <c r="A249" t="inlineStr">
        <is>
          <t>hist-276ea57bb3fdd430</t>
        </is>
      </c>
      <c r="B249" s="82" t="n">
        <v>46252.9403587963</v>
      </c>
      <c r="C249" s="82" t="n">
        <v>46233</v>
      </c>
      <c r="D249" t="inlineStr">
        <is>
          <t>国家民族事务委员会</t>
        </is>
      </c>
      <c r="E249" t="inlineStr">
        <is>
          <t>其他</t>
        </is>
      </c>
      <c r="F249" t="inlineStr">
        <is>
          <t>原始网页</t>
        </is>
      </c>
      <c r="G249" t="inlineStr">
        <is>
          <t>地方动态</t>
        </is>
      </c>
      <c r="H249" t="inlineStr">
        <is>
          <t>7月30日，内蒙古自治区人民政府新闻办公室召开新闻发布会，专题介绍自治区学习宣传贯彻《中华人民共和国民族团结进步促进法》及民族工作相关情况。</t>
        </is>
      </c>
      <c r="I249" t="inlineStr">
        <is>
          <t>https://www.neac.gov.cn/seac/xwzx/202607/1193249.shtml</t>
        </is>
      </c>
      <c r="J249" t="inlineStr">
        <is>
          <t>内蒙古全区</t>
        </is>
      </c>
      <c r="L249" t="inlineStr">
        <is>
          <t>内蒙古</t>
        </is>
      </c>
      <c r="O249" t="inlineStr">
        <is>
          <t>中文</t>
        </is>
      </c>
      <c r="P249" t="inlineStr">
        <is>
          <t>否</t>
        </is>
      </c>
      <c r="Q249" t="inlineStr">
        <is>
          <t>官方政策信息</t>
        </is>
      </c>
      <c r="R249" t="inlineStr">
        <is>
          <t>学习培训与宣传覆盖；地方法规衔接与执行机制</t>
        </is>
      </c>
      <c r="S249" t="n">
        <v>0</v>
      </c>
      <c r="T249" t="n">
        <v>0</v>
      </c>
      <c r="U249" t="n">
        <v>0</v>
      </c>
      <c r="V249" t="inlineStr">
        <is>
          <t>否</t>
        </is>
      </c>
      <c r="W249" t="inlineStr">
        <is>
          <t>否</t>
        </is>
      </c>
      <c r="X249" t="inlineStr">
        <is>
          <t>历史导入:内蒙古河北东北民族地区_舆情监测统计修正版(2).xlsx；来源类型:官方实施信息；重复:否；待核实:否</t>
        </is>
      </c>
    </row>
    <row r="250">
      <c r="A250" t="inlineStr">
        <is>
          <t>hist-0d9c585f989d0e13</t>
        </is>
      </c>
      <c r="B250" s="82" t="n">
        <v>46252.9403587963</v>
      </c>
      <c r="C250" s="82" t="n">
        <v>46234</v>
      </c>
      <c r="D250" t="inlineStr">
        <is>
          <t>内蒙古新闻网</t>
        </is>
      </c>
      <c r="E250" t="inlineStr">
        <is>
          <t>贴吧/头条/新闻评论</t>
        </is>
      </c>
      <c r="F250" t="inlineStr">
        <is>
          <t>原始网页</t>
        </is>
      </c>
      <c r="G250" t="inlineStr">
        <is>
          <t>内蒙古新闻</t>
        </is>
      </c>
      <c r="H250" t="inlineStr">
        <is>
          <t>《中华人民共和国民族团结进步促进法》颁布实施以来，自治区党委和政府高度重视，主要负责同志专题研究、靠前指挥。</t>
        </is>
      </c>
      <c r="I250" t="inlineStr">
        <is>
          <t>https://m.nmgnews.com.cn/nmgxw/system/2026/07/31/030379991.shtml</t>
        </is>
      </c>
      <c r="J250" t="inlineStr">
        <is>
          <t>内蒙古全区</t>
        </is>
      </c>
      <c r="L250" t="inlineStr">
        <is>
          <t>内蒙古</t>
        </is>
      </c>
      <c r="O250" t="inlineStr">
        <is>
          <t>中文</t>
        </is>
      </c>
      <c r="P250" t="inlineStr">
        <is>
          <t>否</t>
        </is>
      </c>
      <c r="Q250" t="inlineStr">
        <is>
          <t>官方政策信息</t>
        </is>
      </c>
      <c r="R250" t="inlineStr">
        <is>
          <t>学习培训与宣传覆盖</t>
        </is>
      </c>
      <c r="S250" t="n">
        <v>0</v>
      </c>
      <c r="T250" t="n">
        <v>0</v>
      </c>
      <c r="U250" t="n">
        <v>0</v>
      </c>
      <c r="V250" t="inlineStr">
        <is>
          <t>否</t>
        </is>
      </c>
      <c r="W250" t="inlineStr">
        <is>
          <t>否</t>
        </is>
      </c>
      <c r="X250" t="inlineStr">
        <is>
          <t>历史导入:内蒙古河北东北民族地区_舆情监测统计修正版(2).xlsx；来源类型:官方实施信息；重复:否；待核实:否</t>
        </is>
      </c>
    </row>
    <row r="251">
      <c r="A251" t="inlineStr">
        <is>
          <t>hist-13db336bd4875b45</t>
        </is>
      </c>
      <c r="B251" s="82" t="n">
        <v>46252.9403587963</v>
      </c>
      <c r="C251" s="82" t="n">
        <v>46228</v>
      </c>
      <c r="D251" t="inlineStr">
        <is>
          <t>新华网</t>
        </is>
      </c>
      <c r="E251" t="inlineStr">
        <is>
          <t>其他</t>
        </is>
      </c>
      <c r="F251" t="inlineStr">
        <is>
          <t>原始网页</t>
        </is>
      </c>
      <c r="G251" t="inlineStr">
        <is>
          <t>时政新闻</t>
        </is>
      </c>
      <c r="H251" t="inlineStr">
        <is>
          <t>要以民族团结进步促进法为依据，统筹经济、政治、文化、社会和生态文明建设。</t>
        </is>
      </c>
      <c r="I251" t="inlineStr">
        <is>
          <t>https://inews.nmgnews.com.cn/system/2026/07/25/030377685.shtml</t>
        </is>
      </c>
      <c r="J251" t="inlineStr">
        <is>
          <t>内蒙古全区</t>
        </is>
      </c>
      <c r="L251" t="inlineStr">
        <is>
          <t>内蒙古</t>
        </is>
      </c>
      <c r="O251" t="inlineStr">
        <is>
          <t>中文</t>
        </is>
      </c>
      <c r="P251" t="inlineStr">
        <is>
          <t>否</t>
        </is>
      </c>
      <c r="Q251" t="inlineStr">
        <is>
          <t>官方政策信息</t>
        </is>
      </c>
      <c r="R251" t="inlineStr">
        <is>
          <t>法律施行与总体解读</t>
        </is>
      </c>
      <c r="S251" t="n">
        <v>0</v>
      </c>
      <c r="T251" t="n">
        <v>0</v>
      </c>
      <c r="U251" t="n">
        <v>0</v>
      </c>
      <c r="V251" t="inlineStr">
        <is>
          <t>否</t>
        </is>
      </c>
      <c r="W251" t="inlineStr">
        <is>
          <t>否</t>
        </is>
      </c>
      <c r="X251" t="inlineStr">
        <is>
          <t>历史导入:内蒙古河北东北民族地区_舆情监测统计修正版(2).xlsx；来源类型:官方实施信息；重复:否；待核实:否</t>
        </is>
      </c>
    </row>
    <row r="252">
      <c r="A252" t="inlineStr">
        <is>
          <t>hist-de292d452562cc7c</t>
        </is>
      </c>
      <c r="B252" s="82" t="n">
        <v>46252.9403587963</v>
      </c>
      <c r="C252" s="82" t="n">
        <v>46233</v>
      </c>
      <c r="D252" t="inlineStr">
        <is>
          <t>今日头条</t>
        </is>
      </c>
      <c r="E252" t="inlineStr">
        <is>
          <t>贴吧/头条/新闻评论</t>
        </is>
      </c>
      <c r="F252" t="inlineStr">
        <is>
          <t>原始网页</t>
        </is>
      </c>
      <c r="G252" t="inlineStr">
        <is>
          <t>草原云</t>
        </is>
      </c>
      <c r="H252" t="inlineStr">
        <is>
          <t>内蒙古自治区人大常委会主动对标《中华人民共和国民族团结进步促进法》，扎实推进《内蒙古自治区促进民族团结进步条例》修订工作。</t>
        </is>
      </c>
      <c r="I252" t="inlineStr">
        <is>
          <t>http://m.toutiao.com/group/7668350200234164786/</t>
        </is>
      </c>
      <c r="J252" t="inlineStr">
        <is>
          <t>内蒙古全区</t>
        </is>
      </c>
      <c r="L252" t="inlineStr">
        <is>
          <t>内蒙古</t>
        </is>
      </c>
      <c r="O252" t="inlineStr">
        <is>
          <t>中文</t>
        </is>
      </c>
      <c r="P252" t="inlineStr">
        <is>
          <t>否</t>
        </is>
      </c>
      <c r="Q252" t="inlineStr">
        <is>
          <t>官方政策信息</t>
        </is>
      </c>
      <c r="R252" t="inlineStr">
        <is>
          <t>地方法规衔接与执行机制</t>
        </is>
      </c>
      <c r="S252" t="n">
        <v>0</v>
      </c>
      <c r="T252" t="n">
        <v>0</v>
      </c>
      <c r="U252" t="n">
        <v>0</v>
      </c>
      <c r="V252" t="inlineStr">
        <is>
          <t>否</t>
        </is>
      </c>
      <c r="W252" t="inlineStr">
        <is>
          <t>否</t>
        </is>
      </c>
      <c r="X252" t="inlineStr">
        <is>
          <t>历史导入:内蒙古河北东北民族地区_舆情监测统计修正版(2).xlsx；来源类型:官方实施信息；重复:否；待核实:否</t>
        </is>
      </c>
    </row>
    <row r="253">
      <c r="A253" t="inlineStr">
        <is>
          <t>hist-bf5eded24a154b27</t>
        </is>
      </c>
      <c r="B253" s="82" t="n">
        <v>46252.9403587963</v>
      </c>
      <c r="C253" s="82" t="n">
        <v>46231</v>
      </c>
      <c r="D253" t="inlineStr">
        <is>
          <t>科尔沁区人民政府</t>
        </is>
      </c>
      <c r="E253" t="inlineStr">
        <is>
          <t>其他</t>
        </is>
      </c>
      <c r="F253" t="inlineStr">
        <is>
          <t>原始网页</t>
        </is>
      </c>
      <c r="G253" t="inlineStr">
        <is>
          <t>政务动态</t>
        </is>
      </c>
      <c r="H253" t="inlineStr">
        <is>
          <t>通辽市科尔沁区以"全面学习宣传贯彻民族团结进步促进法，继续建设好模范自治区"为主题，组织开展了一系列宣传教育活动。</t>
        </is>
      </c>
      <c r="I253" t="inlineStr">
        <is>
          <t>http://www.keerqin.gov.cn/xwzx/wbjdt/202607/t20260728_1062528.html</t>
        </is>
      </c>
      <c r="J253" t="inlineStr">
        <is>
          <t>通辽市科尔沁区</t>
        </is>
      </c>
      <c r="L253" t="inlineStr">
        <is>
          <t>内蒙古</t>
        </is>
      </c>
      <c r="O253" t="inlineStr">
        <is>
          <t>中文</t>
        </is>
      </c>
      <c r="P253" t="inlineStr">
        <is>
          <t>否</t>
        </is>
      </c>
      <c r="Q253" t="inlineStr">
        <is>
          <t>官方政策信息</t>
        </is>
      </c>
      <c r="R253" t="inlineStr">
        <is>
          <t>学习培训与宣传覆盖；基层普法与群众参与</t>
        </is>
      </c>
      <c r="S253" t="n">
        <v>0</v>
      </c>
      <c r="T253" t="n">
        <v>0</v>
      </c>
      <c r="U253" t="n">
        <v>0</v>
      </c>
      <c r="V253" t="inlineStr">
        <is>
          <t>否</t>
        </is>
      </c>
      <c r="W253" t="inlineStr">
        <is>
          <t>否</t>
        </is>
      </c>
      <c r="X253" t="inlineStr">
        <is>
          <t>历史导入:内蒙古河北东北民族地区_舆情监测统计修正版(2).xlsx；来源类型:官方实施信息；重复:否；待核实:否</t>
        </is>
      </c>
    </row>
    <row r="254">
      <c r="A254" t="inlineStr">
        <is>
          <t>hist-7467171de554d835</t>
        </is>
      </c>
      <c r="B254" s="82" t="n">
        <v>46252.9403587963</v>
      </c>
      <c r="C254" s="82" t="n">
        <v>46230</v>
      </c>
      <c r="D254" t="inlineStr">
        <is>
          <t>呼伦贝尔市水利局</t>
        </is>
      </c>
      <c r="E254" t="inlineStr">
        <is>
          <t>其他</t>
        </is>
      </c>
      <c r="F254" t="inlineStr">
        <is>
          <t>原始网页</t>
        </is>
      </c>
      <c r="G254" t="inlineStr">
        <is>
          <t>通知公告</t>
        </is>
      </c>
      <c r="H254" t="inlineStr">
        <is>
          <t>（2026年3月12日第十四届全国人民代表大会第四次会议通过）</t>
        </is>
      </c>
      <c r="I254" t="inlineStr">
        <is>
          <t>https://slj.hlbe.gov.cn/News/show/1445171.html</t>
        </is>
      </c>
      <c r="J254" t="inlineStr">
        <is>
          <t>呼伦贝尔市</t>
        </is>
      </c>
      <c r="L254" t="inlineStr">
        <is>
          <t>内蒙古</t>
        </is>
      </c>
      <c r="O254" t="inlineStr">
        <is>
          <t>中文</t>
        </is>
      </c>
      <c r="P254" t="inlineStr">
        <is>
          <t>否</t>
        </is>
      </c>
      <c r="Q254" t="inlineStr">
        <is>
          <t>官方政策信息</t>
        </is>
      </c>
      <c r="R254" t="inlineStr">
        <is>
          <t>法律施行与总体解读</t>
        </is>
      </c>
      <c r="S254" t="n">
        <v>0</v>
      </c>
      <c r="T254" t="n">
        <v>0</v>
      </c>
      <c r="U254" t="n">
        <v>0</v>
      </c>
      <c r="V254" t="inlineStr">
        <is>
          <t>否</t>
        </is>
      </c>
      <c r="W254" t="inlineStr">
        <is>
          <t>否</t>
        </is>
      </c>
      <c r="X254" t="inlineStr">
        <is>
          <t>历史导入:内蒙古河北东北民族地区_舆情监测统计修正版(2).xlsx；来源类型:官方实施信息；重复:否；待核实:否</t>
        </is>
      </c>
    </row>
    <row r="255">
      <c r="A255" t="inlineStr">
        <is>
          <t>hist-976b5f3c84836517</t>
        </is>
      </c>
      <c r="B255" s="82" t="n">
        <v>46252.9403587963</v>
      </c>
      <c r="C255" s="82" t="n">
        <v>46225</v>
      </c>
      <c r="D255" t="inlineStr">
        <is>
          <t>锡林郭勒盟行政公署</t>
        </is>
      </c>
      <c r="E255" t="inlineStr">
        <is>
          <t>其他</t>
        </is>
      </c>
      <c r="F255" t="inlineStr">
        <is>
          <t>原始网页</t>
        </is>
      </c>
      <c r="G255" t="inlineStr">
        <is>
          <t>政务公开</t>
        </is>
      </c>
      <c r="H255" t="inlineStr">
        <is>
          <t>第六十五条 本法自2026年7月1日起施行。</t>
        </is>
      </c>
      <c r="I255" t="inlineStr">
        <is>
          <t>https://www.xlgl.gov.cn/eportal/ui?articleKey=56a4be539c5f4d8aa01ab3adaba33bd0&amp;columnId=f798e7511a6f4daca151a9171b776526&amp;pageId=e4a443a1f1014190b11db1a2a9662db5</t>
        </is>
      </c>
      <c r="J255" t="inlineStr">
        <is>
          <t>锡林郭勒盟</t>
        </is>
      </c>
      <c r="L255" t="inlineStr">
        <is>
          <t>内蒙古</t>
        </is>
      </c>
      <c r="O255" t="inlineStr">
        <is>
          <t>中文</t>
        </is>
      </c>
      <c r="P255" t="inlineStr">
        <is>
          <t>否</t>
        </is>
      </c>
      <c r="Q255" t="inlineStr">
        <is>
          <t>官方政策信息</t>
        </is>
      </c>
      <c r="R255" t="inlineStr">
        <is>
          <t>法律施行与总体解读</t>
        </is>
      </c>
      <c r="S255" t="n">
        <v>0</v>
      </c>
      <c r="T255" t="n">
        <v>0</v>
      </c>
      <c r="U255" t="n">
        <v>0</v>
      </c>
      <c r="V255" t="inlineStr">
        <is>
          <t>否</t>
        </is>
      </c>
      <c r="W255" t="inlineStr">
        <is>
          <t>否</t>
        </is>
      </c>
      <c r="X255" t="inlineStr">
        <is>
          <t>历史导入:内蒙古河北东北民族地区_舆情监测统计修正版(2).xlsx；来源类型:官方实施信息；重复:否；待核实:否</t>
        </is>
      </c>
    </row>
    <row r="256">
      <c r="A256" t="inlineStr">
        <is>
          <t>hist-519535c8a2d20df2</t>
        </is>
      </c>
      <c r="B256" s="82" t="n">
        <v>46252.9403587963</v>
      </c>
      <c r="C256" s="82" t="n">
        <v>46211</v>
      </c>
      <c r="D256" t="inlineStr">
        <is>
          <t>中国吉林网延边站</t>
        </is>
      </c>
      <c r="E256" t="inlineStr">
        <is>
          <t>其他</t>
        </is>
      </c>
      <c r="F256" t="inlineStr">
        <is>
          <t>原始网页</t>
        </is>
      </c>
      <c r="G256" t="inlineStr">
        <is>
          <t>政务新闻</t>
        </is>
      </c>
      <c r="H256" t="inlineStr">
        <is>
          <t>《中华人民共和国民族团结进步促进法》于2026年7月1日正式施行。延边州立足边疆民族地区职能定位，闻令而动、先行先试。</t>
        </is>
      </c>
      <c r="I256" t="inlineStr">
        <is>
          <t>https://yanbian.cnjiwang.com/ywq/202607/4062079.html</t>
        </is>
      </c>
      <c r="J256" t="inlineStr">
        <is>
          <t>延边朝鲜族自治州</t>
        </is>
      </c>
      <c r="L256" t="inlineStr">
        <is>
          <t>吉林</t>
        </is>
      </c>
      <c r="O256" t="inlineStr">
        <is>
          <t>中文</t>
        </is>
      </c>
      <c r="P256" t="inlineStr">
        <is>
          <t>否</t>
        </is>
      </c>
      <c r="Q256" t="inlineStr">
        <is>
          <t>官方政策信息</t>
        </is>
      </c>
      <c r="R256" t="inlineStr">
        <is>
          <t>学习培训与宣传覆盖</t>
        </is>
      </c>
      <c r="S256" t="n">
        <v>0</v>
      </c>
      <c r="T256" t="n">
        <v>0</v>
      </c>
      <c r="U256" t="n">
        <v>0</v>
      </c>
      <c r="V256" t="inlineStr">
        <is>
          <t>否</t>
        </is>
      </c>
      <c r="W256" t="inlineStr">
        <is>
          <t>否</t>
        </is>
      </c>
      <c r="X256" t="inlineStr">
        <is>
          <t>历史导入:内蒙古河北东北民族地区_舆情监测统计修正版(2).xlsx；来源类型:官方实施信息；重复:否；待核实:否</t>
        </is>
      </c>
    </row>
    <row r="257">
      <c r="A257" t="inlineStr">
        <is>
          <t>hist-bb3d2264e594f562</t>
        </is>
      </c>
      <c r="B257" s="82" t="n">
        <v>46252.9403587963</v>
      </c>
      <c r="C257" s="82" t="n">
        <v>46227</v>
      </c>
      <c r="D257" t="inlineStr">
        <is>
          <t>延边州人大常委会</t>
        </is>
      </c>
      <c r="E257" t="inlineStr">
        <is>
          <t>其他</t>
        </is>
      </c>
      <c r="F257" t="inlineStr">
        <is>
          <t>原始网页</t>
        </is>
      </c>
      <c r="G257" t="inlineStr">
        <is>
          <t>立法研究</t>
        </is>
      </c>
      <c r="H257" t="inlineStr">
        <is>
          <t>根据宪法和《中华人民共和国民族团结进步促进法》等法律法规，结合延边朝鲜族自治州实际，制定本条例。</t>
        </is>
      </c>
      <c r="I257" t="inlineStr">
        <is>
          <t>http://www.ybrd.gov.cn/lfjj/lfyjzj/202607/t20260724_581058.html</t>
        </is>
      </c>
      <c r="J257" t="inlineStr">
        <is>
          <t>延边朝鲜族自治州</t>
        </is>
      </c>
      <c r="L257" t="inlineStr">
        <is>
          <t>吉林</t>
        </is>
      </c>
      <c r="O257" t="inlineStr">
        <is>
          <t>中文</t>
        </is>
      </c>
      <c r="P257" t="inlineStr">
        <is>
          <t>否</t>
        </is>
      </c>
      <c r="Q257" t="inlineStr">
        <is>
          <t>官方政策信息</t>
        </is>
      </c>
      <c r="R257" t="inlineStr">
        <is>
          <t>地方法规衔接与执行机制</t>
        </is>
      </c>
      <c r="S257" t="n">
        <v>0</v>
      </c>
      <c r="T257" t="n">
        <v>0</v>
      </c>
      <c r="U257" t="n">
        <v>0</v>
      </c>
      <c r="V257" t="inlineStr">
        <is>
          <t>否</t>
        </is>
      </c>
      <c r="W257" t="inlineStr">
        <is>
          <t>否</t>
        </is>
      </c>
      <c r="X257" t="inlineStr">
        <is>
          <t>历史导入:内蒙古河北东北民族地区_舆情监测统计修正版(2).xlsx；来源类型:官方实施信息；重复:否；待核实:否</t>
        </is>
      </c>
    </row>
    <row r="258">
      <c r="A258" t="inlineStr">
        <is>
          <t>hist-817dfbb8d30d487f</t>
        </is>
      </c>
      <c r="B258" s="82" t="n">
        <v>46252.9403587963</v>
      </c>
      <c r="C258" s="82" t="n">
        <v>46204</v>
      </c>
      <c r="D258" t="inlineStr">
        <is>
          <t>国家民族事务委员会</t>
        </is>
      </c>
      <c r="E258" t="inlineStr">
        <is>
          <t>其他</t>
        </is>
      </c>
      <c r="F258" t="inlineStr">
        <is>
          <t>原始网页</t>
        </is>
      </c>
      <c r="G258" t="inlineStr">
        <is>
          <t>地方动态</t>
        </is>
      </c>
      <c r="H258" t="inlineStr">
        <is>
          <t>县级层面，指导长白朝鲜族自治县、前郭尔罗斯蒙古族自治县、伊通满族自治县修订民族团结进步条例，努力形成"上位法引领、下位法细化、配套法补充"的法治闭环。</t>
        </is>
      </c>
      <c r="I258" t="inlineStr">
        <is>
          <t>https://www.neac.gov.cn/seac/xwzx/202607/1192185.shtml</t>
        </is>
      </c>
      <c r="J258" t="inlineStr">
        <is>
          <t>吉林省</t>
        </is>
      </c>
      <c r="L258" t="inlineStr">
        <is>
          <t>吉林</t>
        </is>
      </c>
      <c r="O258" t="inlineStr">
        <is>
          <t>中文</t>
        </is>
      </c>
      <c r="P258" t="inlineStr">
        <is>
          <t>否</t>
        </is>
      </c>
      <c r="Q258" t="inlineStr">
        <is>
          <t>官方政策信息</t>
        </is>
      </c>
      <c r="R258" t="inlineStr">
        <is>
          <t>地方法规衔接与执行机制</t>
        </is>
      </c>
      <c r="S258" t="n">
        <v>0</v>
      </c>
      <c r="T258" t="n">
        <v>0</v>
      </c>
      <c r="U258" t="n">
        <v>0</v>
      </c>
      <c r="V258" t="inlineStr">
        <is>
          <t>否</t>
        </is>
      </c>
      <c r="W258" t="inlineStr">
        <is>
          <t>否</t>
        </is>
      </c>
      <c r="X258" t="inlineStr">
        <is>
          <t>历史导入:内蒙古河北东北民族地区_舆情监测统计修正版(2).xlsx；来源类型:官方实施信息；重复:否；待核实:否</t>
        </is>
      </c>
    </row>
    <row r="259">
      <c r="A259" t="inlineStr">
        <is>
          <t>hist-8e3badb000f4642c</t>
        </is>
      </c>
      <c r="B259" s="82" t="n">
        <v>46252.9403587963</v>
      </c>
      <c r="C259" s="82" t="n">
        <v>46223</v>
      </c>
      <c r="D259" t="inlineStr">
        <is>
          <t>辽宁省民族和宗教事务委员会</t>
        </is>
      </c>
      <c r="E259" t="inlineStr">
        <is>
          <t>其他</t>
        </is>
      </c>
      <c r="F259" t="inlineStr">
        <is>
          <t>原始网页</t>
        </is>
      </c>
      <c r="G259" t="inlineStr">
        <is>
          <t>中心工作</t>
        </is>
      </c>
      <c r="H259" t="inlineStr">
        <is>
          <t>要将民族团结进步促进法纳入党委（党组）理论学习中心组学习、领导干部应知应会法律清单和各级党校教学培训必修课程。</t>
        </is>
      </c>
      <c r="I259" t="inlineStr">
        <is>
          <t>https://mzw.ln.gov.cn/mzw/mzgz/zxgz/2026072015402388941/index.shtml</t>
        </is>
      </c>
      <c r="J259" t="inlineStr">
        <is>
          <t>阜新市/阜新蒙古族自治县</t>
        </is>
      </c>
      <c r="L259" t="inlineStr">
        <is>
          <t>辽宁</t>
        </is>
      </c>
      <c r="O259" t="inlineStr">
        <is>
          <t>中文</t>
        </is>
      </c>
      <c r="P259" t="inlineStr">
        <is>
          <t>否</t>
        </is>
      </c>
      <c r="Q259" t="inlineStr">
        <is>
          <t>官方政策信息</t>
        </is>
      </c>
      <c r="R259" t="inlineStr">
        <is>
          <t>学习培训与宣传覆盖</t>
        </is>
      </c>
      <c r="S259" t="n">
        <v>0</v>
      </c>
      <c r="T259" t="n">
        <v>0</v>
      </c>
      <c r="U259" t="n">
        <v>0</v>
      </c>
      <c r="V259" t="inlineStr">
        <is>
          <t>否</t>
        </is>
      </c>
      <c r="W259" t="inlineStr">
        <is>
          <t>否</t>
        </is>
      </c>
      <c r="X259" t="inlineStr">
        <is>
          <t>历史导入:内蒙古河北东北民族地区_舆情监测统计修正版(2).xlsx；来源类型:官方实施信息；重复:否；待核实:否</t>
        </is>
      </c>
    </row>
    <row r="260">
      <c r="A260" t="inlineStr">
        <is>
          <t>hist-ed769a9b94d5d4b2</t>
        </is>
      </c>
      <c r="B260" s="82" t="n">
        <v>46252.9403587963</v>
      </c>
      <c r="C260" s="82" t="n">
        <v>46225</v>
      </c>
      <c r="D260" t="inlineStr">
        <is>
          <t>今日头条</t>
        </is>
      </c>
      <c r="E260" t="inlineStr">
        <is>
          <t>贴吧/头条/新闻评论</t>
        </is>
      </c>
      <c r="F260" t="inlineStr">
        <is>
          <t>原始网页</t>
        </is>
      </c>
      <c r="G260" t="inlineStr">
        <is>
          <t>黑龙江新闻网</t>
        </is>
      </c>
      <c r="H260" t="inlineStr">
        <is>
          <t>要准确把握民族团结进步促进法的法律定位和内涵要义，深化宣传解读、做好普法工作。</t>
        </is>
      </c>
      <c r="I260" t="inlineStr">
        <is>
          <t>http://m.toutiao.com/group/7665162975628280374/</t>
        </is>
      </c>
      <c r="J260" t="inlineStr">
        <is>
          <t>杜尔伯特蒙古族自治县</t>
        </is>
      </c>
      <c r="L260" t="inlineStr">
        <is>
          <t>黑龙江</t>
        </is>
      </c>
      <c r="O260" t="inlineStr">
        <is>
          <t>中文</t>
        </is>
      </c>
      <c r="P260" t="inlineStr">
        <is>
          <t>否</t>
        </is>
      </c>
      <c r="Q260" t="inlineStr">
        <is>
          <t>官方政策信息</t>
        </is>
      </c>
      <c r="R260" t="inlineStr">
        <is>
          <t>学习培训与宣传覆盖；基层治理与互嵌共融</t>
        </is>
      </c>
      <c r="S260" t="n">
        <v>0</v>
      </c>
      <c r="T260" t="n">
        <v>0</v>
      </c>
      <c r="U260" t="n">
        <v>0</v>
      </c>
      <c r="V260" t="inlineStr">
        <is>
          <t>否</t>
        </is>
      </c>
      <c r="W260" t="inlineStr">
        <is>
          <t>否</t>
        </is>
      </c>
      <c r="X260" t="inlineStr">
        <is>
          <t>历史导入:内蒙古河北东北民族地区_舆情监测统计修正版(2).xlsx；来源类型:官方实施信息；重复:否；待核实:否</t>
        </is>
      </c>
    </row>
    <row r="261">
      <c r="A261" t="inlineStr">
        <is>
          <t>hist-ea9a34dcc5900434</t>
        </is>
      </c>
      <c r="B261" s="82" t="n">
        <v>46252.9403587963</v>
      </c>
      <c r="C261" s="82" t="n">
        <v>46231</v>
      </c>
      <c r="D261" t="inlineStr">
        <is>
          <t>河北省民族事务委员会</t>
        </is>
      </c>
      <c r="E261" t="inlineStr">
        <is>
          <t>其他</t>
        </is>
      </c>
      <c r="F261" t="inlineStr">
        <is>
          <t>原始网页</t>
        </is>
      </c>
      <c r="G261" t="inlineStr">
        <is>
          <t>法律法规</t>
        </is>
      </c>
      <c r="H261" t="inlineStr">
        <is>
          <t>（2026年3月12日第十四届全国人民代表大会第四次会议通过）</t>
        </is>
      </c>
      <c r="I261" t="inlineStr">
        <is>
          <t>http://mw.hebei.gov.cn/system/2026/07/28/030390713.shtml</t>
        </is>
      </c>
      <c r="J261" t="inlineStr">
        <is>
          <t>河北省</t>
        </is>
      </c>
      <c r="L261" t="inlineStr">
        <is>
          <t>河北</t>
        </is>
      </c>
      <c r="O261" t="inlineStr">
        <is>
          <t>中文</t>
        </is>
      </c>
      <c r="P261" t="inlineStr">
        <is>
          <t>否</t>
        </is>
      </c>
      <c r="Q261" t="inlineStr">
        <is>
          <t>官方政策信息</t>
        </is>
      </c>
      <c r="R261" t="inlineStr">
        <is>
          <t>法律施行与总体解读</t>
        </is>
      </c>
      <c r="S261" t="n">
        <v>0</v>
      </c>
      <c r="T261" t="n">
        <v>0</v>
      </c>
      <c r="U261" t="n">
        <v>0</v>
      </c>
      <c r="V261" t="inlineStr">
        <is>
          <t>否</t>
        </is>
      </c>
      <c r="W261" t="inlineStr">
        <is>
          <t>否</t>
        </is>
      </c>
      <c r="X261" t="inlineStr">
        <is>
          <t>历史导入:内蒙古河北东北民族地区_舆情监测统计修正版(2).xlsx；来源类型:官方实施信息；重复:否；待核实:否</t>
        </is>
      </c>
    </row>
    <row r="262">
      <c r="A262" t="inlineStr">
        <is>
          <t>hist-144c63fae7d66d28</t>
        </is>
      </c>
      <c r="B262" s="82" t="n">
        <v>46252.9403587963</v>
      </c>
      <c r="C262" s="82" t="n">
        <v>46206</v>
      </c>
      <c r="D262" t="inlineStr">
        <is>
          <t>人民日报/中新网</t>
        </is>
      </c>
      <c r="E262" t="inlineStr">
        <is>
          <t>其他</t>
        </is>
      </c>
      <c r="F262" t="inlineStr">
        <is>
          <t>原始网页</t>
        </is>
      </c>
      <c r="G262" t="inlineStr">
        <is>
          <t>法治聚焦</t>
        </is>
      </c>
      <c r="H262" t="inlineStr">
        <is>
          <t>2026年7月1日起施行。民族团结是我国各族人民的生命线。</t>
        </is>
      </c>
      <c r="I262" t="inlineStr">
        <is>
          <t>http://www.chinanews.com.cn/txy/2026/07-03/10652025.shtml</t>
        </is>
      </c>
      <c r="J262" t="inlineStr">
        <is>
          <t>全国/涉及内蒙古等民族地区</t>
        </is>
      </c>
      <c r="L262" t="inlineStr">
        <is>
          <t>内蒙古</t>
        </is>
      </c>
      <c r="O262" t="inlineStr">
        <is>
          <t>中文</t>
        </is>
      </c>
      <c r="P262" t="inlineStr">
        <is>
          <t>否</t>
        </is>
      </c>
      <c r="Q262" t="inlineStr">
        <is>
          <t>中性信息</t>
        </is>
      </c>
      <c r="R262" t="inlineStr">
        <is>
          <t>法律施行与总体解读</t>
        </is>
      </c>
      <c r="S262" t="n">
        <v>0</v>
      </c>
      <c r="T262" t="n">
        <v>0</v>
      </c>
      <c r="U262" t="n">
        <v>0</v>
      </c>
      <c r="V262" t="inlineStr">
        <is>
          <t>否</t>
        </is>
      </c>
      <c r="W262" t="inlineStr">
        <is>
          <t>否</t>
        </is>
      </c>
      <c r="X262" t="inlineStr">
        <is>
          <t>历史导入:内蒙古河北东北民族地区_舆情监测统计修正版(2).xlsx；来源类型:媒体报道；重复:否；待核实:否</t>
        </is>
      </c>
    </row>
    <row r="263">
      <c r="A263" t="inlineStr">
        <is>
          <t>hist-6faace168a9389ab</t>
        </is>
      </c>
      <c r="B263" s="82" t="n">
        <v>46252.9403587963</v>
      </c>
      <c r="C263" s="82" t="n">
        <v>46210</v>
      </c>
      <c r="D263" t="inlineStr">
        <is>
          <t>国家民族事务委员会</t>
        </is>
      </c>
      <c r="E263" t="inlineStr">
        <is>
          <t>其他</t>
        </is>
      </c>
      <c r="F263" t="inlineStr">
        <is>
          <t>原始网页</t>
        </is>
      </c>
      <c r="G263" t="inlineStr">
        <is>
          <t>理论研究</t>
        </is>
      </c>
      <c r="H263" t="inlineStr">
        <is>
          <t>这是党的民族工作历史上具有里程碑意义的一件大事，标志着民族事务迈入依法治理、依法保障、依法推进的新阶段。</t>
        </is>
      </c>
      <c r="I263" t="inlineStr">
        <is>
          <t>https://www.neac.gov.cn/seac/c103533/202607/1192348.shtml</t>
        </is>
      </c>
      <c r="J263" t="inlineStr">
        <is>
          <t>全国/涉及民族地区</t>
        </is>
      </c>
      <c r="O263" t="inlineStr">
        <is>
          <t>中文</t>
        </is>
      </c>
      <c r="P263" t="inlineStr">
        <is>
          <t>否</t>
        </is>
      </c>
      <c r="Q263" t="inlineStr">
        <is>
          <t>中性信息</t>
        </is>
      </c>
      <c r="R263" t="inlineStr">
        <is>
          <t>法律施行与总体解读</t>
        </is>
      </c>
      <c r="S263" t="n">
        <v>0</v>
      </c>
      <c r="T263" t="n">
        <v>0</v>
      </c>
      <c r="U263" t="n">
        <v>0</v>
      </c>
      <c r="V263" t="inlineStr">
        <is>
          <t>否</t>
        </is>
      </c>
      <c r="W263" t="inlineStr">
        <is>
          <t>否</t>
        </is>
      </c>
      <c r="X263" t="inlineStr">
        <is>
          <t>历史导入:内蒙古河北东北民族地区_舆情监测统计修正版(2).xlsx；来源类型:媒体报道；重复:否；待核实:否</t>
        </is>
      </c>
    </row>
    <row r="264">
      <c r="A264" t="inlineStr">
        <is>
          <t>hist-5d144b9690390f50</t>
        </is>
      </c>
      <c r="B264" s="82" t="n">
        <v>46252.9403587963</v>
      </c>
      <c r="C264" s="82" t="n">
        <v>46206</v>
      </c>
      <c r="D264" t="inlineStr">
        <is>
          <t>中共中央统一战线工作部</t>
        </is>
      </c>
      <c r="E264" t="inlineStr">
        <is>
          <t>其他</t>
        </is>
      </c>
      <c r="F264" t="inlineStr">
        <is>
          <t>原始网页</t>
        </is>
      </c>
      <c r="G264" t="inlineStr">
        <is>
          <t>统战理论</t>
        </is>
      </c>
      <c r="H264" t="inlineStr">
        <is>
          <t>作为新时代第一部民族领域的专门法律，民族团结进步促进法7月1日起施行。</t>
        </is>
      </c>
      <c r="I264" t="inlineStr">
        <is>
          <t>https://www.zytzb.gov.cn/zytzb/2026-07/03/article_15411.shtml</t>
        </is>
      </c>
      <c r="J264" t="inlineStr">
        <is>
          <t>全国/涉及民族地区</t>
        </is>
      </c>
      <c r="O264" t="inlineStr">
        <is>
          <t>中文</t>
        </is>
      </c>
      <c r="P264" t="inlineStr">
        <is>
          <t>否</t>
        </is>
      </c>
      <c r="Q264" t="inlineStr">
        <is>
          <t>中性信息</t>
        </is>
      </c>
      <c r="R264" t="inlineStr">
        <is>
          <t>法律施行与总体解读</t>
        </is>
      </c>
      <c r="S264" t="n">
        <v>0</v>
      </c>
      <c r="T264" t="n">
        <v>0</v>
      </c>
      <c r="U264" t="n">
        <v>0</v>
      </c>
      <c r="V264" t="inlineStr">
        <is>
          <t>否</t>
        </is>
      </c>
      <c r="W264" t="inlineStr">
        <is>
          <t>否</t>
        </is>
      </c>
      <c r="X264" t="inlineStr">
        <is>
          <t>历史导入:内蒙古河北东北民族地区_舆情监测统计修正版(2).xlsx；来源类型:媒体报道；重复:否；待核实:否</t>
        </is>
      </c>
    </row>
    <row r="265">
      <c r="A265" t="inlineStr">
        <is>
          <t>hist-d0343c75042a0523</t>
        </is>
      </c>
      <c r="B265" s="82" t="n">
        <v>46252.9403587963</v>
      </c>
      <c r="C265" s="82" t="n">
        <v>46204</v>
      </c>
      <c r="D265" t="inlineStr">
        <is>
          <t>抖音</t>
        </is>
      </c>
      <c r="E265" t="inlineStr">
        <is>
          <t>抖音等视频平台</t>
        </is>
      </c>
      <c r="F265" t="inlineStr">
        <is>
          <t>原始网页</t>
        </is>
      </c>
      <c r="G265" t="inlineStr">
        <is>
          <t>阿干胡侃</t>
        </is>
      </c>
      <c r="H265" t="inlineStr">
        <is>
          <t>2026年7月1日，《中华人民共和国民族团结进步促进法》全面实施。这是国家首部民族团结领域基础性法律。</t>
        </is>
      </c>
      <c r="I265" t="inlineStr">
        <is>
          <t>https://www.iesdouyin.com/share/video/7657173191399410998</t>
        </is>
      </c>
      <c r="J265" t="inlineStr">
        <is>
          <t>全国性公众平台</t>
        </is>
      </c>
      <c r="O265" t="inlineStr">
        <is>
          <t>中文</t>
        </is>
      </c>
      <c r="P265" t="inlineStr">
        <is>
          <t>否</t>
        </is>
      </c>
      <c r="Q265" t="inlineStr">
        <is>
          <t>支持认可</t>
        </is>
      </c>
      <c r="R265" t="inlineStr">
        <is>
          <t>法律施行与总体解读；治理清真泛化</t>
        </is>
      </c>
      <c r="S265" t="n">
        <v>0</v>
      </c>
      <c r="T265" t="n">
        <v>0</v>
      </c>
      <c r="U265" t="n">
        <v>0</v>
      </c>
      <c r="V265" t="inlineStr">
        <is>
          <t>否</t>
        </is>
      </c>
      <c r="W265" t="inlineStr">
        <is>
          <t>否</t>
        </is>
      </c>
      <c r="X265" t="inlineStr">
        <is>
          <t>历史导入:内蒙古河北东北民族地区_舆情监测统计修正版(2).xlsx；来源类型:个人原创观点；重复:否；待核实:否</t>
        </is>
      </c>
    </row>
    <row r="266">
      <c r="A266" t="inlineStr">
        <is>
          <t>hist-8b81bf70b9089b7c</t>
        </is>
      </c>
      <c r="B266" s="82" t="n">
        <v>46252.9403587963</v>
      </c>
      <c r="C266" s="82" t="n">
        <v>46209</v>
      </c>
      <c r="D266" t="inlineStr">
        <is>
          <t>抖音</t>
        </is>
      </c>
      <c r="E266" t="inlineStr">
        <is>
          <t>抖音等视频平台</t>
        </is>
      </c>
      <c r="F266" t="inlineStr">
        <is>
          <t>原始网页</t>
        </is>
      </c>
      <c r="G266" t="inlineStr">
        <is>
          <t>个人账号</t>
        </is>
      </c>
      <c r="H266" t="inlineStr">
        <is>
          <t>以前很多人不敢聊历史，尤其是涉及到元清这类朝代，一聊就人蹦出来说破坏团结。现在的逻辑就清楚了非常多。</t>
        </is>
      </c>
      <c r="I266" t="inlineStr">
        <is>
          <t>https://www.iesdouyin.com/share/video/7659262596475307200</t>
        </is>
      </c>
      <c r="J266" t="inlineStr">
        <is>
          <t>全国性公众平台</t>
        </is>
      </c>
      <c r="O266" t="inlineStr">
        <is>
          <t>中文</t>
        </is>
      </c>
      <c r="P266" t="inlineStr">
        <is>
          <t>否</t>
        </is>
      </c>
      <c r="Q266" t="inlineStr">
        <is>
          <t>支持认可</t>
        </is>
      </c>
      <c r="R266" t="inlineStr">
        <is>
          <t>法律施行与总体解读；言论边界清晰化</t>
        </is>
      </c>
      <c r="S266" t="n">
        <v>0</v>
      </c>
      <c r="T266" t="n">
        <v>0</v>
      </c>
      <c r="U266" t="n">
        <v>0</v>
      </c>
      <c r="V266" t="inlineStr">
        <is>
          <t>否</t>
        </is>
      </c>
      <c r="W266" t="inlineStr">
        <is>
          <t>否</t>
        </is>
      </c>
      <c r="X266" t="inlineStr">
        <is>
          <t>历史导入:内蒙古河北东北民族地区_舆情监测统计修正版(2).xlsx；来源类型:个人原创观点；重复:否；待核实:否</t>
        </is>
      </c>
    </row>
    <row r="267">
      <c r="A267" t="inlineStr">
        <is>
          <t>hist-c6012e71ab3cf18e</t>
        </is>
      </c>
      <c r="B267" s="82" t="n">
        <v>46252.9403587963</v>
      </c>
      <c r="C267" s="82" t="n">
        <v>46204</v>
      </c>
      <c r="D267" t="inlineStr">
        <is>
          <t>抖音</t>
        </is>
      </c>
      <c r="E267" t="inlineStr">
        <is>
          <t>抖音等视频平台</t>
        </is>
      </c>
      <c r="F267" t="inlineStr">
        <is>
          <t>原始网页</t>
        </is>
      </c>
      <c r="G267" t="inlineStr">
        <is>
          <t>内蒙古相关账号</t>
        </is>
      </c>
      <c r="H267" t="inlineStr">
        <is>
          <t>7月1日，《中华人民共和国民族团结进步促进法》将正式施行。内蒙古自治区作为模范自治区，各族儿女在岁月长河中守望相助。</t>
        </is>
      </c>
      <c r="I267" t="inlineStr">
        <is>
          <t>https://www.iesdouyin.com/share/video/7657480549958716713</t>
        </is>
      </c>
      <c r="J267" t="inlineStr">
        <is>
          <t>内蒙古</t>
        </is>
      </c>
      <c r="L267" t="inlineStr">
        <is>
          <t>内蒙古</t>
        </is>
      </c>
      <c r="O267" t="inlineStr">
        <is>
          <t>中文</t>
        </is>
      </c>
      <c r="P267" t="inlineStr">
        <is>
          <t>否</t>
        </is>
      </c>
      <c r="Q267" t="inlineStr">
        <is>
          <t>支持认可</t>
        </is>
      </c>
      <c r="R267" t="inlineStr">
        <is>
          <t>法律施行与总体解读</t>
        </is>
      </c>
      <c r="S267" t="n">
        <v>0</v>
      </c>
      <c r="T267" t="n">
        <v>0</v>
      </c>
      <c r="U267" t="n">
        <v>0</v>
      </c>
      <c r="V267" t="inlineStr">
        <is>
          <t>否</t>
        </is>
      </c>
      <c r="W267" t="inlineStr">
        <is>
          <t>否</t>
        </is>
      </c>
      <c r="X267" t="inlineStr">
        <is>
          <t>历史导入:内蒙古河北东北民族地区_舆情监测统计修正版(2).xlsx；来源类型:个人原创观点；重复:否；待核实:否</t>
        </is>
      </c>
    </row>
    <row r="268">
      <c r="A268" t="inlineStr">
        <is>
          <t>hist-cf8b072f5fee526b</t>
        </is>
      </c>
      <c r="B268" s="82" t="n">
        <v>46252.9403587963</v>
      </c>
      <c r="C268" s="82" t="n">
        <v>46204</v>
      </c>
      <c r="D268" t="inlineStr">
        <is>
          <t>搜狐网</t>
        </is>
      </c>
      <c r="E268" t="inlineStr">
        <is>
          <t>其他</t>
        </is>
      </c>
      <c r="F268" t="inlineStr">
        <is>
          <t>原始网页</t>
        </is>
      </c>
      <c r="G268" t="inlineStr">
        <is>
          <t>内蒙古自治区民族事务委员会</t>
        </is>
      </c>
      <c r="H268" t="inlineStr">
        <is>
          <t>《中华人民共和国民族团结进步促进法》于2026年7月1日起正式施行。</t>
        </is>
      </c>
      <c r="I268" t="inlineStr">
        <is>
          <t>https://m.sohu.com/a/1044395743_121106854/</t>
        </is>
      </c>
      <c r="J268" t="inlineStr">
        <is>
          <t>内蒙古全区</t>
        </is>
      </c>
      <c r="L268" t="inlineStr">
        <is>
          <t>内蒙古</t>
        </is>
      </c>
      <c r="O268" t="inlineStr">
        <is>
          <t>中文</t>
        </is>
      </c>
      <c r="P268" t="inlineStr">
        <is>
          <t>否</t>
        </is>
      </c>
      <c r="Q268" t="inlineStr">
        <is>
          <t>官方政策信息</t>
        </is>
      </c>
      <c r="R268" t="inlineStr">
        <is>
          <t>学习培训与宣传覆盖</t>
        </is>
      </c>
      <c r="S268" t="n">
        <v>0</v>
      </c>
      <c r="T268" t="n">
        <v>0</v>
      </c>
      <c r="U268" t="n">
        <v>0</v>
      </c>
      <c r="V268" t="inlineStr">
        <is>
          <t>否</t>
        </is>
      </c>
      <c r="W268" t="inlineStr">
        <is>
          <t>否</t>
        </is>
      </c>
      <c r="X268" t="inlineStr">
        <is>
          <t>历史导入:内蒙古河北东北民族地区_舆情监测统计修正版(2).xlsx；来源类型:官方实施信息；重复:否；待核实:否</t>
        </is>
      </c>
    </row>
    <row r="269">
      <c r="A269" t="inlineStr">
        <is>
          <t>hist-9cbed9f82adaa4b1</t>
        </is>
      </c>
      <c r="B269" s="82" t="n">
        <v>46252.9403587963</v>
      </c>
      <c r="C269" s="82" t="n">
        <v>46239</v>
      </c>
      <c r="D269" t="inlineStr">
        <is>
          <t>微博</t>
        </is>
      </c>
      <c r="E269" t="inlineStr">
        <is>
          <t>微博/热榜</t>
        </is>
      </c>
      <c r="F269" t="inlineStr">
        <is>
          <t>微博搜索</t>
        </is>
      </c>
      <c r="H269" t="inlineStr">
        <is>
          <t>中国《民族团结进步促进法》旨在促进各民族共同发展，却被西方曲解为“强制同化”。西方基于自身“单一民族国家”逻辑，掩盖其同化原住民的历史罪行。中国坚持“多元一体”，包容整合，与西方排他同化本质不同，走的是自己的道路。</t>
        </is>
      </c>
      <c r="I269" t="inlineStr">
        <is>
          <t>https://weibo.com/7921810443/RbYqFvEJK?refer_flag=1001030103_</t>
        </is>
      </c>
      <c r="J269" t="inlineStr">
        <is>
          <t>未获取</t>
        </is>
      </c>
      <c r="O269" t="inlineStr">
        <is>
          <t>中文</t>
        </is>
      </c>
      <c r="P269" t="inlineStr">
        <is>
          <t>否</t>
        </is>
      </c>
      <c r="Q269" t="inlineStr">
        <is>
          <t>中性信息</t>
        </is>
      </c>
      <c r="R269" t="inlineStr">
        <is>
          <t>法律实施、政策解读或相关讨论</t>
        </is>
      </c>
      <c r="S269" t="n">
        <v>5</v>
      </c>
      <c r="T269" t="n">
        <v>0</v>
      </c>
      <c r="U269" t="n">
        <v>0</v>
      </c>
      <c r="V269" t="inlineStr">
        <is>
          <t>否</t>
        </is>
      </c>
      <c r="W269" t="inlineStr">
        <is>
          <t>是</t>
        </is>
      </c>
      <c r="X269" t="inlineStr">
        <is>
          <t>历史导入:微博热榜平台_民族团结进步促进法舆情监测_最终修正版.xlsx；来源类型:个人；重复:否；待核实:否</t>
        </is>
      </c>
    </row>
    <row r="270">
      <c r="A270" t="inlineStr">
        <is>
          <t>hist-74a3f4628c521131</t>
        </is>
      </c>
      <c r="B270" s="82" t="n">
        <v>46252.9403587963</v>
      </c>
      <c r="C270" s="82" t="n">
        <v>46239</v>
      </c>
      <c r="D270" t="inlineStr">
        <is>
          <t>微博</t>
        </is>
      </c>
      <c r="E270" t="inlineStr">
        <is>
          <t>微博/热榜</t>
        </is>
      </c>
      <c r="F270" t="inlineStr">
        <is>
          <t>微博搜索</t>
        </is>
      </c>
      <c r="H270" t="inlineStr">
        <is>
          <t>发布了一篇公众号内容《民族团结进步促进法｜因地制宜发展新质生产力 统筹推进兴边富民 稳边固边》网址为：https://mp.weixin.qq.com/s/54I1wSw66hA2uwD2r5neCw</t>
        </is>
      </c>
      <c r="I270" t="inlineStr">
        <is>
          <t>https://weibo.com/2569810605/RbY42sACE?refer_flag=1001030103_</t>
        </is>
      </c>
      <c r="J270" t="inlineStr">
        <is>
          <t>未获取</t>
        </is>
      </c>
      <c r="O270" t="inlineStr">
        <is>
          <t>中文</t>
        </is>
      </c>
      <c r="P270" t="inlineStr">
        <is>
          <t>否</t>
        </is>
      </c>
      <c r="Q270" t="inlineStr">
        <is>
          <t>中性信息</t>
        </is>
      </c>
      <c r="R270" t="inlineStr">
        <is>
          <t>法律实施、政策解读或相关讨论</t>
        </is>
      </c>
      <c r="S270" t="n">
        <v>1</v>
      </c>
      <c r="T270" t="n">
        <v>0</v>
      </c>
      <c r="U270" t="n">
        <v>0</v>
      </c>
      <c r="V270" t="inlineStr">
        <is>
          <t>否</t>
        </is>
      </c>
      <c r="W270" t="inlineStr">
        <is>
          <t>是</t>
        </is>
      </c>
      <c r="X270" t="inlineStr">
        <is>
          <t>历史导入:微博热榜平台_民族团结进步促进法舆情监测_最终修正版.xlsx；来源类型:个人；复核:主要是转发对法律部分内容的政策讲解；重复:否；待核实:否</t>
        </is>
      </c>
    </row>
    <row r="271">
      <c r="A271" t="inlineStr">
        <is>
          <t>hist-e39e1aea0da95259</t>
        </is>
      </c>
      <c r="B271" s="82" t="n">
        <v>46252.9403587963</v>
      </c>
      <c r="C271" s="82" t="n">
        <v>46239</v>
      </c>
      <c r="D271" t="inlineStr">
        <is>
          <t>微博</t>
        </is>
      </c>
      <c r="E271" t="inlineStr">
        <is>
          <t>微博/热榜</t>
        </is>
      </c>
      <c r="F271" t="inlineStr">
        <is>
          <t>微博搜索</t>
        </is>
      </c>
      <c r="H271" t="inlineStr">
        <is>
          <t>【赖清德造谣抹黑民族团结进步促进法】台湾地区领导人赖清德8月4日上午在岛内出席活动时，公开造谣抹黑民族团结进步促进法，引发岛内舆论挞伐，直指其用心险恶。</t>
        </is>
      </c>
      <c r="I271" t="inlineStr">
        <is>
          <t>https://weibo.com/1733592447/RbXPKoqan?refer_flag=1001030103_</t>
        </is>
      </c>
      <c r="J271" t="inlineStr">
        <is>
          <t>未获取</t>
        </is>
      </c>
      <c r="O271" t="inlineStr">
        <is>
          <t>中文</t>
        </is>
      </c>
      <c r="P271" t="inlineStr">
        <is>
          <t>否</t>
        </is>
      </c>
      <c r="Q271" t="inlineStr">
        <is>
          <t>中性信息</t>
        </is>
      </c>
      <c r="R271" t="inlineStr">
        <is>
          <t>法律实施、政策解读或相关讨论</t>
        </is>
      </c>
      <c r="S271" t="n">
        <v>1</v>
      </c>
      <c r="T271" t="n">
        <v>0</v>
      </c>
      <c r="U271" t="n">
        <v>0</v>
      </c>
      <c r="V271" t="inlineStr">
        <is>
          <t>否</t>
        </is>
      </c>
      <c r="W271" t="inlineStr">
        <is>
          <t>是</t>
        </is>
      </c>
      <c r="X271" t="inlineStr">
        <is>
          <t>历史导入:微博热榜平台_民族团结进步促进法舆情监测_最终修正版.xlsx；来源类型:个人；重复:否；待核实:否</t>
        </is>
      </c>
    </row>
    <row r="272">
      <c r="A272" t="inlineStr">
        <is>
          <t>hist-ad134fd77c13f2c5</t>
        </is>
      </c>
      <c r="B272" s="82" t="n">
        <v>46252.9403587963</v>
      </c>
      <c r="C272" s="82" t="n">
        <v>46239</v>
      </c>
      <c r="D272" t="inlineStr">
        <is>
          <t>微博</t>
        </is>
      </c>
      <c r="E272" t="inlineStr">
        <is>
          <t>微博/热榜</t>
        </is>
      </c>
      <c r="F272" t="inlineStr">
        <is>
          <t>微博搜索</t>
        </is>
      </c>
      <c r="H272" t="inlineStr">
        <is>
          <t>美国政客麦考尔窜台，鼓噪依据《台湾关系法》对台军售140亿美元，赖清德借机抹黑大陆。但美方实则将该军售作为对华筹码并已暂停，麦考尔之行纯属政治表演。作者认为，此举违背一个中国原则，暴露美方自私算计；台湾当局“倚美谋独”注定失败，改变不了统一大势，只会将台湾推向险境。</t>
        </is>
      </c>
      <c r="I272" t="inlineStr">
        <is>
          <t>https://weibo.com/2001944053/RbXbpEsf6?refer_flag=1001030103_</t>
        </is>
      </c>
      <c r="J272" t="inlineStr">
        <is>
          <t>未获取</t>
        </is>
      </c>
      <c r="O272" t="inlineStr">
        <is>
          <t>中文</t>
        </is>
      </c>
      <c r="P272" t="inlineStr">
        <is>
          <t>否</t>
        </is>
      </c>
      <c r="Q272" t="inlineStr">
        <is>
          <t>中性信息</t>
        </is>
      </c>
      <c r="R272" t="inlineStr">
        <is>
          <t>法律实施、政策解读或相关讨论</t>
        </is>
      </c>
      <c r="S272" t="n">
        <v>2</v>
      </c>
      <c r="T272" t="n">
        <v>0</v>
      </c>
      <c r="U272" t="n">
        <v>0</v>
      </c>
      <c r="V272" t="inlineStr">
        <is>
          <t>否</t>
        </is>
      </c>
      <c r="W272" t="inlineStr">
        <is>
          <t>是</t>
        </is>
      </c>
      <c r="X272" t="inlineStr">
        <is>
          <t>历史导入:微博热榜平台_民族团结进步促进法舆情监测_最终修正版.xlsx；来源类型:个人；重复:否；待核实:否</t>
        </is>
      </c>
    </row>
    <row r="273">
      <c r="A273" t="inlineStr">
        <is>
          <t>hist-42106e98136065f9</t>
        </is>
      </c>
      <c r="B273" s="82" t="n">
        <v>46252.9403587963</v>
      </c>
      <c r="C273" s="82" t="n">
        <v>46239</v>
      </c>
      <c r="D273" t="inlineStr">
        <is>
          <t>微博</t>
        </is>
      </c>
      <c r="E273" t="inlineStr">
        <is>
          <t>微博/热榜</t>
        </is>
      </c>
      <c r="F273" t="inlineStr">
        <is>
          <t>微博搜索</t>
        </is>
      </c>
      <c r="H273" t="inlineStr">
        <is>
          <t>【外交部点名菲一小撮反华势力！奉劝其停止挑衅】有记者就菲律宾国防部发表声明并提及《中华人民共和国民族团结进步促进法》一事提问。外交部发言人林剑表示，所谓声明充斥谎言和恶意攻击，干涉中国内政，是性质极为恶劣的政治挑衅，中方对此坚决反对。公道自在人心。菲一小撮反华势力为谋取政治私利、掩盖菲海上侵权行径，大搞政治和舆论操弄，极力颠倒黑白、混淆视听，他们的图谋是不可能实现的。这一小撮人以菲政府部门名义发表</t>
        </is>
      </c>
      <c r="I273" t="inlineStr">
        <is>
          <t>https://weibo.com/2000016880/RbW9wwVvA?refer_flag=1001030103_</t>
        </is>
      </c>
      <c r="J273" t="inlineStr">
        <is>
          <t>未获取</t>
        </is>
      </c>
      <c r="O273" t="inlineStr">
        <is>
          <t>中文</t>
        </is>
      </c>
      <c r="P273" t="inlineStr">
        <is>
          <t>否</t>
        </is>
      </c>
      <c r="Q273" t="inlineStr">
        <is>
          <t>官方政策信息</t>
        </is>
      </c>
      <c r="R273" t="inlineStr">
        <is>
          <t>法律实施、政策解读或相关讨论</t>
        </is>
      </c>
      <c r="S273" t="n">
        <v>1</v>
      </c>
      <c r="T273" t="n">
        <v>0</v>
      </c>
      <c r="U273" t="n">
        <v>0</v>
      </c>
      <c r="V273" t="inlineStr">
        <is>
          <t>否</t>
        </is>
      </c>
      <c r="W273" t="inlineStr">
        <is>
          <t>是</t>
        </is>
      </c>
      <c r="X273" t="inlineStr">
        <is>
          <t>历史导入:微博热榜平台_民族团结进步促进法舆情监测_最终修正版.xlsx；来源类型:个人；重复:否；待核实:否</t>
        </is>
      </c>
    </row>
    <row r="274">
      <c r="A274" t="inlineStr">
        <is>
          <t>hist-b1a9dd70cd09948d</t>
        </is>
      </c>
      <c r="B274" s="82" t="n">
        <v>46252.9403587963</v>
      </c>
      <c r="C274" s="82" t="n">
        <v>46238</v>
      </c>
      <c r="D274" t="inlineStr">
        <is>
          <t>微博</t>
        </is>
      </c>
      <c r="E274" t="inlineStr">
        <is>
          <t>微博/热榜</t>
        </is>
      </c>
      <c r="F274" t="inlineStr">
        <is>
          <t>微博搜索</t>
        </is>
      </c>
      <c r="H274" t="inlineStr">
        <is>
          <t>【中方回应菲律宾国防部声明】路透社记者：据报道，7月31日，菲律宾国防部发表声明，对中方质疑菲方监督外国相关文化和学术交流项目表示谴责，并对外国法律框架带来的制度性风险“深表关切”。声明还称中国民族团结政策旨在“对身处中国管辖范围之外的个人行使域外管辖权”。中方对该声明有何评论？对于声明中提及《中华人民共和国民族团结进步促进法》有何具体看法？</t>
        </is>
      </c>
      <c r="I274" t="inlineStr">
        <is>
          <t>https://weibo.com/1784473157/RbRlFfuin?refer_flag=1001030103_</t>
        </is>
      </c>
      <c r="J274" t="inlineStr">
        <is>
          <t>未获取</t>
        </is>
      </c>
      <c r="O274" t="inlineStr">
        <is>
          <t>中文</t>
        </is>
      </c>
      <c r="P274" t="inlineStr">
        <is>
          <t>否</t>
        </is>
      </c>
      <c r="Q274" t="inlineStr">
        <is>
          <t>官方政策信息</t>
        </is>
      </c>
      <c r="R274" t="inlineStr">
        <is>
          <t>法律实施、政策解读或相关讨论</t>
        </is>
      </c>
      <c r="S274" t="n">
        <v>0</v>
      </c>
      <c r="T274" t="n">
        <v>0</v>
      </c>
      <c r="U274" t="n">
        <v>0</v>
      </c>
      <c r="V274" t="inlineStr">
        <is>
          <t>否</t>
        </is>
      </c>
      <c r="W274" t="inlineStr">
        <is>
          <t>是</t>
        </is>
      </c>
      <c r="X274" t="inlineStr">
        <is>
          <t>历史导入:微博热榜平台_民族团结进步促进法舆情监测_最终修正版.xlsx；来源类型:个人；重复:否；待核实:否</t>
        </is>
      </c>
    </row>
    <row r="275">
      <c r="A275" t="inlineStr">
        <is>
          <t>hist-6f64fa301af659c4</t>
        </is>
      </c>
      <c r="B275" s="82" t="n">
        <v>46252.9403587963</v>
      </c>
      <c r="C275" s="82" t="n">
        <v>46238</v>
      </c>
      <c r="D275" t="inlineStr">
        <is>
          <t>微博</t>
        </is>
      </c>
      <c r="E275" t="inlineStr">
        <is>
          <t>微博/热榜</t>
        </is>
      </c>
      <c r="F275" t="inlineStr">
        <is>
          <t>微博搜索</t>
        </is>
      </c>
      <c r="H275" t="inlineStr">
        <is>
          <t>台媒报道，日本前防卫大臣中谷元今日窜到台湾，在台外事部门举办的论坛上大放厥词， 大肆攻击中国大陆日前实施的《民族团结进步促进法》，妄称对该法“域外适用”所引发的“侵犯主权问题”，感到极度忧虑，扬言必须将其提升至“国防问题”来审慎看待。他还称，日本作为“共享最深厚情谊的邻国”，未来将继续与台湾携手同行。</t>
        </is>
      </c>
      <c r="I275" t="inlineStr">
        <is>
          <t>https://weibo.com/6875720662/RbQ37qt66?refer_flag=1001030103_</t>
        </is>
      </c>
      <c r="J275" t="inlineStr">
        <is>
          <t>未获取</t>
        </is>
      </c>
      <c r="O275" t="inlineStr">
        <is>
          <t>中文</t>
        </is>
      </c>
      <c r="P275" t="inlineStr">
        <is>
          <t>否</t>
        </is>
      </c>
      <c r="Q275" t="inlineStr">
        <is>
          <t>中性信息</t>
        </is>
      </c>
      <c r="R275" t="inlineStr">
        <is>
          <t>法律实施、政策解读或相关讨论</t>
        </is>
      </c>
      <c r="S275" t="n">
        <v>0</v>
      </c>
      <c r="T275" t="n">
        <v>0</v>
      </c>
      <c r="U275" t="n">
        <v>0</v>
      </c>
      <c r="V275" t="inlineStr">
        <is>
          <t>否</t>
        </is>
      </c>
      <c r="W275" t="inlineStr">
        <is>
          <t>是</t>
        </is>
      </c>
      <c r="X275" t="inlineStr">
        <is>
          <t>历史导入:微博热榜平台_民族团结进步促进法舆情监测_最终修正版.xlsx；来源类型:个人；重复:否；待核实:否</t>
        </is>
      </c>
    </row>
    <row r="276">
      <c r="A276" t="inlineStr">
        <is>
          <t>hist-b439843c4ec9857a</t>
        </is>
      </c>
      <c r="B276" s="82" t="n">
        <v>46252.9403587963</v>
      </c>
      <c r="C276" s="82" t="n">
        <v>46238</v>
      </c>
      <c r="D276" t="inlineStr">
        <is>
          <t>微博</t>
        </is>
      </c>
      <c r="E276" t="inlineStr">
        <is>
          <t>微博/热榜</t>
        </is>
      </c>
      <c r="F276" t="inlineStr">
        <is>
          <t>微博搜索</t>
        </is>
      </c>
      <c r="H276" t="inlineStr">
        <is>
          <t>梅新育肯定新疆对赛里木湖7名员工围殴司机案的处理，认为最大亮点是法律面前人人平等，未将治安案件当作“民族问题”枉法处理。他指出，这正落实了《民族团结进步促进法》“维护社会主义法制的统一、尊严和权威”的要求，为终结“两少一宽”、铸牢中华民族共同体意识奠定基础。</t>
        </is>
      </c>
      <c r="I276" t="inlineStr">
        <is>
          <t>https://weibo.com/1259914383/RbPVG8BbG?refer_flag=1001030103_</t>
        </is>
      </c>
      <c r="J276" t="inlineStr">
        <is>
          <t>未获取</t>
        </is>
      </c>
      <c r="O276" t="inlineStr">
        <is>
          <t>中文</t>
        </is>
      </c>
      <c r="P276" t="inlineStr">
        <is>
          <t>否</t>
        </is>
      </c>
      <c r="Q276" t="inlineStr">
        <is>
          <t>支持认可</t>
        </is>
      </c>
      <c r="R276" t="inlineStr">
        <is>
          <t>法律实施、政策解读或相关讨论</t>
        </is>
      </c>
      <c r="S276" t="n">
        <v>79</v>
      </c>
      <c r="T276" t="n">
        <v>1</v>
      </c>
      <c r="U276" t="n">
        <v>0</v>
      </c>
      <c r="V276" t="inlineStr">
        <is>
          <t>否</t>
        </is>
      </c>
      <c r="W276" t="inlineStr">
        <is>
          <t>是</t>
        </is>
      </c>
      <c r="X276" t="inlineStr">
        <is>
          <t>历史导入:微博热榜平台_民族团结进步促进法舆情监测_最终修正版.xlsx；来源类型:个人；重复:否；待核实:否</t>
        </is>
      </c>
    </row>
    <row r="277">
      <c r="A277" t="inlineStr">
        <is>
          <t>hist-39dc84ea01cf2e6a</t>
        </is>
      </c>
      <c r="B277" s="82" t="n">
        <v>46252.9403587963</v>
      </c>
      <c r="D277" t="inlineStr">
        <is>
          <t>微博</t>
        </is>
      </c>
      <c r="E277" t="inlineStr">
        <is>
          <t>微博/热榜</t>
        </is>
      </c>
      <c r="F277" t="inlineStr">
        <is>
          <t>微博搜索</t>
        </is>
      </c>
      <c r="H277" t="inlineStr">
        <is>
          <t>针对西方媒体将《民族团结进步促进法》保障跨区域就业与“强迫劳动”挂钩的言论，官方回应指出：该法第二十五条旨在保障各族群众平等发展权利，始终坚持完全自愿、双向选择、依法合规、来去自由的核心原则。新疆劳动力转移就业均基于群众个人意愿自主报名，根本不存在所谓“强制迁徙”“强迫劳动”，此类说法极其荒谬、极其可笑。</t>
        </is>
      </c>
      <c r="I277" t="inlineStr">
        <is>
          <t>https://weibo.com/2808153782/RbCzLyaIT?refer_flag=1001030103_</t>
        </is>
      </c>
      <c r="J277" t="inlineStr">
        <is>
          <t>未获取</t>
        </is>
      </c>
      <c r="O277" t="inlineStr">
        <is>
          <t>中文</t>
        </is>
      </c>
      <c r="P277" t="inlineStr">
        <is>
          <t>否</t>
        </is>
      </c>
      <c r="Q277" t="inlineStr">
        <is>
          <t>中性信息</t>
        </is>
      </c>
      <c r="R277" t="inlineStr">
        <is>
          <t>法律实施、政策解读或相关讨论</t>
        </is>
      </c>
      <c r="S277" t="n">
        <v>0</v>
      </c>
      <c r="T277" t="n">
        <v>0</v>
      </c>
      <c r="U277" t="n">
        <v>0</v>
      </c>
      <c r="V277" t="inlineStr">
        <is>
          <t>否</t>
        </is>
      </c>
      <c r="W277" t="inlineStr">
        <is>
          <t>是</t>
        </is>
      </c>
      <c r="X277" t="inlineStr">
        <is>
          <t>历史导入:微博热榜平台_民族团结进步促进法舆情监测_最终修正版.xlsx；来源类型:个人；重复:否；待核实:否</t>
        </is>
      </c>
    </row>
    <row r="278">
      <c r="A278" t="inlineStr">
        <is>
          <t>hist-bd2c199a08f7f235</t>
        </is>
      </c>
      <c r="B278" s="82" t="n">
        <v>46252.9403587963</v>
      </c>
      <c r="C278" s="82" t="n">
        <v>46226</v>
      </c>
      <c r="D278" t="inlineStr">
        <is>
          <t>微博</t>
        </is>
      </c>
      <c r="E278" t="inlineStr">
        <is>
          <t>微博/热榜</t>
        </is>
      </c>
      <c r="F278" t="inlineStr">
        <is>
          <t>微博搜索</t>
        </is>
      </c>
      <c r="H278" t="inlineStr">
        <is>
          <t>民族团结进步促进法7月1日起正式实施，而这一个月来各平台的伪史论大行其道，这是巧合吗 ​</t>
        </is>
      </c>
      <c r="I278" t="inlineStr">
        <is>
          <t>https://weibo.com/6567311498/R9W5tpxOo?refer_flag=1001030103_</t>
        </is>
      </c>
      <c r="J278" t="inlineStr">
        <is>
          <t>未获取</t>
        </is>
      </c>
      <c r="O278" t="inlineStr">
        <is>
          <t>中文</t>
        </is>
      </c>
      <c r="P278" t="inlineStr">
        <is>
          <t>否</t>
        </is>
      </c>
      <c r="Q278" t="inlineStr">
        <is>
          <t>担忧影响</t>
        </is>
      </c>
      <c r="R278" t="inlineStr">
        <is>
          <t>法律实施、政策解读或相关讨论</t>
        </is>
      </c>
      <c r="S278" t="n">
        <v>1</v>
      </c>
      <c r="T278" t="n">
        <v>0</v>
      </c>
      <c r="U278" t="n">
        <v>0</v>
      </c>
      <c r="V278" t="inlineStr">
        <is>
          <t>否</t>
        </is>
      </c>
      <c r="W278" t="inlineStr">
        <is>
          <t>是</t>
        </is>
      </c>
      <c r="X278" t="inlineStr">
        <is>
          <t>历史导入:微博热榜平台_民族团结进步促进法舆情监测_最终修正版.xlsx；来源类型:个人；重复:否；待核实:否</t>
        </is>
      </c>
    </row>
    <row r="279">
      <c r="A279" t="inlineStr">
        <is>
          <t>hist-9aa32b3089f19257</t>
        </is>
      </c>
      <c r="B279" s="82" t="n">
        <v>46252.9403587963</v>
      </c>
      <c r="C279" s="82" t="n">
        <v>46225</v>
      </c>
      <c r="D279" t="inlineStr">
        <is>
          <t>微博</t>
        </is>
      </c>
      <c r="E279" t="inlineStr">
        <is>
          <t>微博/热榜</t>
        </is>
      </c>
      <c r="F279" t="inlineStr">
        <is>
          <t>微博搜索</t>
        </is>
      </c>
      <c r="H279" t="inlineStr">
        <is>
          <t>《民族团结进步促进法》规定，境外机构或人员若从事挑拨民族矛盾、分裂渗透等行为，可依法追责、限制入境或司法追诉。作者认为，这改变了过去仅行政拘留的局限，对内外“反贼”形成更强震慑，体现维护民族团结的坚定决心。</t>
        </is>
      </c>
      <c r="I279" t="inlineStr">
        <is>
          <t>https://weibo.com/1781650705/R9Rs6z14F?refer_flag=1001030103_</t>
        </is>
      </c>
      <c r="J279" t="inlineStr">
        <is>
          <t>未获取</t>
        </is>
      </c>
      <c r="O279" t="inlineStr">
        <is>
          <t>中文</t>
        </is>
      </c>
      <c r="P279" t="inlineStr">
        <is>
          <t>否</t>
        </is>
      </c>
      <c r="Q279" t="inlineStr">
        <is>
          <t>支持认可</t>
        </is>
      </c>
      <c r="R279" t="inlineStr">
        <is>
          <t>法律实施、政策解读或相关讨论</t>
        </is>
      </c>
      <c r="S279" t="n">
        <v>1</v>
      </c>
      <c r="T279" t="n">
        <v>0</v>
      </c>
      <c r="U279" t="n">
        <v>0</v>
      </c>
      <c r="V279" t="inlineStr">
        <is>
          <t>否</t>
        </is>
      </c>
      <c r="W279" t="inlineStr">
        <is>
          <t>是</t>
        </is>
      </c>
      <c r="X279" t="inlineStr">
        <is>
          <t>历史导入:微博热榜平台_民族团结进步促进法舆情监测_最终修正版.xlsx；来源类型:个人；重复:否；待核实:否</t>
        </is>
      </c>
    </row>
    <row r="280">
      <c r="A280" t="inlineStr">
        <is>
          <t>hist-2442188dea93d679</t>
        </is>
      </c>
      <c r="B280" s="82" t="n">
        <v>46252.9403587963</v>
      </c>
      <c r="C280" s="82" t="n">
        <v>46223</v>
      </c>
      <c r="D280" t="inlineStr">
        <is>
          <t>微博</t>
        </is>
      </c>
      <c r="E280" t="inlineStr">
        <is>
          <t>微博/热榜</t>
        </is>
      </c>
      <c r="F280" t="inlineStr">
        <is>
          <t>微博搜索</t>
        </is>
      </c>
      <c r="H280" t="inlineStr">
        <is>
          <t>#澎湖海战#再说一遍，这是小部分人狭隘主义者的神经，不是大众情感，康熙派施琅收复台湾完成祖国统一，而非放任郑氏台湾割据，造成台湾与大陆彻底分割！这是值得肯定的历史，也是当前主流学界和大众肯定的历史！！无可争议！当前真正的历史观应该是多民族大一统的历史观，这也是《民族团结进步促进法》的核心原则！拒绝“狭隘主义历史观”邪修大行其道！！！</t>
        </is>
      </c>
      <c r="I280" t="inlineStr">
        <is>
          <t>https://weibo.com/7331408560/R9weeFcgB?refer_flag=1001030103_</t>
        </is>
      </c>
      <c r="J280" t="inlineStr">
        <is>
          <t>未获取</t>
        </is>
      </c>
      <c r="O280" t="inlineStr">
        <is>
          <t>中文</t>
        </is>
      </c>
      <c r="P280" t="inlineStr">
        <is>
          <t>否</t>
        </is>
      </c>
      <c r="Q280" t="inlineStr">
        <is>
          <t>支持认可</t>
        </is>
      </c>
      <c r="R280" t="inlineStr">
        <is>
          <t>法律实施、政策解读或相关讨论</t>
        </is>
      </c>
      <c r="S280" t="n">
        <v>147</v>
      </c>
      <c r="T280" t="n">
        <v>1</v>
      </c>
      <c r="U280" t="n">
        <v>0</v>
      </c>
      <c r="V280" t="inlineStr">
        <is>
          <t>否</t>
        </is>
      </c>
      <c r="W280" t="inlineStr">
        <is>
          <t>是</t>
        </is>
      </c>
      <c r="X280" t="inlineStr">
        <is>
          <t>历史导入:微博热榜平台_民族团结进步促进法舆情监测_最终修正版.xlsx；来源类型:个人；重复:否；待核实:否</t>
        </is>
      </c>
    </row>
    <row r="281">
      <c r="A281" t="inlineStr">
        <is>
          <t>hist-413796bc3c05263e</t>
        </is>
      </c>
      <c r="B281" s="82" t="n">
        <v>46252.9403587963</v>
      </c>
      <c r="C281" s="82" t="n">
        <v>46223</v>
      </c>
      <c r="D281" t="inlineStr">
        <is>
          <t>微博</t>
        </is>
      </c>
      <c r="E281" t="inlineStr">
        <is>
          <t>微博/热榜</t>
        </is>
      </c>
      <c r="F281" t="inlineStr">
        <is>
          <t>微博搜索</t>
        </is>
      </c>
      <c r="H281" t="inlineStr">
        <is>
          <t>#澎湖海战 撤档#撤档会有很多原因，包括非政治原因。但有一点，必须指出，《中华人民共和国民族团结进步促进法》已自2026年7月1日起正式施行。本法以中华民族共同体为整体导向，既反对狭隘汉本位，也反对各类狭隘民族本位。请狭隘汉本位主义者不要动不动就代表我们汉族，不要动不动就发表违法言论。</t>
        </is>
      </c>
      <c r="I281" t="inlineStr">
        <is>
          <t>https://weibo.com/1257200120/R9vqEgLWP?refer_flag=1001030103_</t>
        </is>
      </c>
      <c r="J281" t="inlineStr">
        <is>
          <t>未获取</t>
        </is>
      </c>
      <c r="O281" t="inlineStr">
        <is>
          <t>中文</t>
        </is>
      </c>
      <c r="P281" t="inlineStr">
        <is>
          <t>否</t>
        </is>
      </c>
      <c r="Q281" t="inlineStr">
        <is>
          <t>支持认可</t>
        </is>
      </c>
      <c r="R281" t="inlineStr">
        <is>
          <t>法律实施、政策解读或相关讨论</t>
        </is>
      </c>
      <c r="S281" t="n">
        <v>1</v>
      </c>
      <c r="T281" t="n">
        <v>0</v>
      </c>
      <c r="U281" t="n">
        <v>0</v>
      </c>
      <c r="V281" t="inlineStr">
        <is>
          <t>否</t>
        </is>
      </c>
      <c r="W281" t="inlineStr">
        <is>
          <t>是</t>
        </is>
      </c>
      <c r="X281" t="inlineStr">
        <is>
          <t>历史导入:微博热榜平台_民族团结进步促进法舆情监测_最终修正版.xlsx；来源类型:个人；重复:否；待核实:否</t>
        </is>
      </c>
    </row>
    <row r="282">
      <c r="A282" t="inlineStr">
        <is>
          <t>hist-1919e60554487444</t>
        </is>
      </c>
      <c r="B282" s="82" t="n">
        <v>46252.9403587963</v>
      </c>
      <c r="C282" s="82" t="n">
        <v>46223</v>
      </c>
      <c r="D282" t="inlineStr">
        <is>
          <t>微博</t>
        </is>
      </c>
      <c r="E282" t="inlineStr">
        <is>
          <t>微博/热榜</t>
        </is>
      </c>
      <c r="F282" t="inlineStr">
        <is>
          <t>微博搜索</t>
        </is>
      </c>
      <c r="H282" t="inlineStr">
        <is>
          <t>关于《澎湖海战》电影撤档一事，作者坚决拥护《民族团结进步促进法》，对一切挑拨民族矛盾的行为，对一切搞“清朝非中国”这种歪理学说的言论，要警惕再警惕！</t>
        </is>
      </c>
      <c r="I282" t="inlineStr">
        <is>
          <t>https://weibo.com/3340990650/R9tYVo2Oi?refer_flag=1001030103_</t>
        </is>
      </c>
      <c r="J282" t="inlineStr">
        <is>
          <t>未获取</t>
        </is>
      </c>
      <c r="O282" t="inlineStr">
        <is>
          <t>中文</t>
        </is>
      </c>
      <c r="P282" t="inlineStr">
        <is>
          <t>否</t>
        </is>
      </c>
      <c r="Q282" t="inlineStr">
        <is>
          <t>支持认可</t>
        </is>
      </c>
      <c r="R282" t="inlineStr">
        <is>
          <t>法律实施、政策解读或相关讨论</t>
        </is>
      </c>
      <c r="S282" t="n">
        <v>9</v>
      </c>
      <c r="T282" t="n">
        <v>0</v>
      </c>
      <c r="U282" t="n">
        <v>0</v>
      </c>
      <c r="V282" t="inlineStr">
        <is>
          <t>否</t>
        </is>
      </c>
      <c r="W282" t="inlineStr">
        <is>
          <t>是</t>
        </is>
      </c>
      <c r="X282" t="inlineStr">
        <is>
          <t>历史导入:微博热榜平台_民族团结进步促进法舆情监测_最终修正版.xlsx；来源类型:个人；重复:否；待核实:否</t>
        </is>
      </c>
    </row>
    <row r="283">
      <c r="A283" t="inlineStr">
        <is>
          <t>hist-5b500b1774b13990</t>
        </is>
      </c>
      <c r="B283" s="82" t="n">
        <v>46252.9403587963</v>
      </c>
      <c r="C283" s="82" t="n">
        <v>46222</v>
      </c>
      <c r="D283" t="inlineStr">
        <is>
          <t>微博</t>
        </is>
      </c>
      <c r="E283" t="inlineStr">
        <is>
          <t>微博/热榜</t>
        </is>
      </c>
      <c r="F283" t="inlineStr">
        <is>
          <t>微博搜索</t>
        </is>
      </c>
      <c r="H283" t="inlineStr">
        <is>
          <t>关于《澎湖海战》电影撤档一事，作者认为撤档完全的意料之中，只要人民教育出版社版本的历史教科书上还写着郑成功是民族英雄，这电影就绝不可能上映。还有，在《中华人民共和国民族团结进步促进法》出台的大背景下，若这种极具敏感性话题的影视作品能够上映，那必将引起社会舆论争议，这本身就是对民族团结的一种极大破坏。</t>
        </is>
      </c>
      <c r="I283" t="inlineStr">
        <is>
          <t>https://weibo.com/3027352521/R9rXC2XjJ?refer_flag=1001030103_</t>
        </is>
      </c>
      <c r="J283" t="inlineStr">
        <is>
          <t>未获取</t>
        </is>
      </c>
      <c r="O283" t="inlineStr">
        <is>
          <t>中文</t>
        </is>
      </c>
      <c r="P283" t="inlineStr">
        <is>
          <t>否</t>
        </is>
      </c>
      <c r="Q283" t="inlineStr">
        <is>
          <t>支持认可</t>
        </is>
      </c>
      <c r="R283" t="inlineStr">
        <is>
          <t>法律实施、政策解读或相关讨论</t>
        </is>
      </c>
      <c r="S283" t="n">
        <v>1</v>
      </c>
      <c r="T283" t="n">
        <v>0</v>
      </c>
      <c r="U283" t="n">
        <v>0</v>
      </c>
      <c r="V283" t="inlineStr">
        <is>
          <t>否</t>
        </is>
      </c>
      <c r="W283" t="inlineStr">
        <is>
          <t>是</t>
        </is>
      </c>
      <c r="X283" t="inlineStr">
        <is>
          <t>历史导入:微博热榜平台_民族团结进步促进法舆情监测_最终修正版.xlsx；来源类型:个人；重复:否；待核实:否</t>
        </is>
      </c>
    </row>
    <row r="284">
      <c r="A284" t="inlineStr">
        <is>
          <t>hist-0cef3c5021be86ad</t>
        </is>
      </c>
      <c r="B284" s="82" t="n">
        <v>46252.9403587963</v>
      </c>
      <c r="C284" s="82" t="n">
        <v>46209</v>
      </c>
      <c r="D284" t="inlineStr">
        <is>
          <t>微博</t>
        </is>
      </c>
      <c r="E284" t="inlineStr">
        <is>
          <t>微博/热榜</t>
        </is>
      </c>
      <c r="F284" t="inlineStr">
        <is>
          <t>微博搜索</t>
        </is>
      </c>
      <c r="H284" t="inlineStr">
        <is>
          <t>民族团结是生命线，共同体意识是根本。促进法施行，总书记强调作为基础性事业抓紧抓好。</t>
        </is>
      </c>
      <c r="I284" t="inlineStr">
        <is>
          <t>https://weibo.com/1784473157/R7p7NrLeZ?refer_flag=1001030103_</t>
        </is>
      </c>
      <c r="J284" t="inlineStr">
        <is>
          <t>未获取</t>
        </is>
      </c>
      <c r="O284" t="inlineStr">
        <is>
          <t>中文</t>
        </is>
      </c>
      <c r="P284" t="inlineStr">
        <is>
          <t>否</t>
        </is>
      </c>
      <c r="Q284" t="inlineStr">
        <is>
          <t>官方政策信息</t>
        </is>
      </c>
      <c r="R284" t="inlineStr">
        <is>
          <t>法律实施、政策解读或相关讨论</t>
        </is>
      </c>
      <c r="S284" t="n">
        <v>1615</v>
      </c>
      <c r="T284" t="n">
        <v>0</v>
      </c>
      <c r="U284" t="n">
        <v>0</v>
      </c>
      <c r="V284" t="inlineStr">
        <is>
          <t>否</t>
        </is>
      </c>
      <c r="W284" t="inlineStr">
        <is>
          <t>是</t>
        </is>
      </c>
      <c r="X284" t="inlineStr">
        <is>
          <t>历史导入:微博热榜平台_民族团结进步促进法舆情监测_最终修正版.xlsx；来源类型:个人；复核:只能看到作者精选评论；重复:否；待核实:否</t>
        </is>
      </c>
    </row>
    <row r="285">
      <c r="A285" t="inlineStr">
        <is>
          <t>hist-4e4225c2261bffd0</t>
        </is>
      </c>
      <c r="B285" s="82" t="n">
        <v>46252.9403587963</v>
      </c>
      <c r="C285" s="82" t="n">
        <v>46206</v>
      </c>
      <c r="D285" t="inlineStr">
        <is>
          <t>微博</t>
        </is>
      </c>
      <c r="E285" t="inlineStr">
        <is>
          <t>微博/热榜</t>
        </is>
      </c>
      <c r="F285" t="inlineStr">
        <is>
          <t>微博搜索</t>
        </is>
      </c>
      <c r="H285" t="inlineStr">
        <is>
          <t>反对美欧诋毁民族团结进步促进法</t>
        </is>
      </c>
      <c r="I285" t="inlineStr">
        <is>
          <t>https://weibo.com/1699432410/R6Yg1v6GK?refer_flag=1001030103_</t>
        </is>
      </c>
      <c r="J285" t="inlineStr">
        <is>
          <t>未获取</t>
        </is>
      </c>
      <c r="O285" t="inlineStr">
        <is>
          <t>中文</t>
        </is>
      </c>
      <c r="P285" t="inlineStr">
        <is>
          <t>否</t>
        </is>
      </c>
      <c r="Q285" t="inlineStr">
        <is>
          <t>官方政策信息</t>
        </is>
      </c>
      <c r="R285" t="inlineStr">
        <is>
          <t>法律实施、政策解读或相关讨论</t>
        </is>
      </c>
      <c r="S285" t="n">
        <v>2494</v>
      </c>
      <c r="T285" t="n">
        <v>0</v>
      </c>
      <c r="U285" t="n">
        <v>0</v>
      </c>
      <c r="V285" t="inlineStr">
        <is>
          <t>否</t>
        </is>
      </c>
      <c r="W285" t="inlineStr">
        <is>
          <t>是</t>
        </is>
      </c>
      <c r="X285" t="inlineStr">
        <is>
          <t>历史导入:微博热榜平台_民族团结进步促进法舆情监测_最终修正版.xlsx；来源类型:官方；复核:只能看到作者精选评论；重复:否；待核实:否</t>
        </is>
      </c>
    </row>
    <row r="286">
      <c r="A286" t="inlineStr">
        <is>
          <t>hist-7c4a5d9d0f5849af</t>
        </is>
      </c>
      <c r="B286" s="82" t="n">
        <v>46252.9403587963</v>
      </c>
      <c r="C286" s="82" t="n">
        <v>46210</v>
      </c>
      <c r="D286" t="inlineStr">
        <is>
          <t>微博</t>
        </is>
      </c>
      <c r="E286" t="inlineStr">
        <is>
          <t>微博/热榜</t>
        </is>
      </c>
      <c r="F286" t="inlineStr">
        <is>
          <t>微博搜索</t>
        </is>
      </c>
      <c r="H286" t="inlineStr">
        <is>
          <t>一部7月1日实施的《民族团结法》，在外网让土殖集体破防</t>
        </is>
      </c>
      <c r="I286" t="inlineStr">
        <is>
          <t>https://weibo.com/2323101850/R7xyf0xS8?refer_flag=1001030103_</t>
        </is>
      </c>
      <c r="J286" t="inlineStr">
        <is>
          <t>未获取</t>
        </is>
      </c>
      <c r="O286" t="inlineStr">
        <is>
          <t>中文</t>
        </is>
      </c>
      <c r="P286" t="inlineStr">
        <is>
          <t>否</t>
        </is>
      </c>
      <c r="Q286" t="inlineStr">
        <is>
          <t>支持认可</t>
        </is>
      </c>
      <c r="R286" t="inlineStr">
        <is>
          <t>法律实施、政策解读或相关讨论</t>
        </is>
      </c>
      <c r="S286" t="n">
        <v>1372</v>
      </c>
      <c r="T286" t="n">
        <v>1</v>
      </c>
      <c r="U286" t="n">
        <v>0</v>
      </c>
      <c r="V286" t="inlineStr">
        <is>
          <t>否</t>
        </is>
      </c>
      <c r="W286" t="inlineStr">
        <is>
          <t>是</t>
        </is>
      </c>
      <c r="X286" t="inlineStr">
        <is>
          <t>历史导入:微博热榜平台_民族团结进步促进法舆情监测_最终修正版.xlsx；来源类型:个人；重复:否；待核实:否</t>
        </is>
      </c>
    </row>
    <row r="287">
      <c r="A287" t="inlineStr">
        <is>
          <t>hist-b79205f2d64144f9</t>
        </is>
      </c>
      <c r="B287" s="82" t="n">
        <v>46252.9403587963</v>
      </c>
      <c r="C287" s="82" t="n">
        <v>46207</v>
      </c>
      <c r="D287" t="inlineStr">
        <is>
          <t>微博</t>
        </is>
      </c>
      <c r="E287" t="inlineStr">
        <is>
          <t>微博/热榜</t>
        </is>
      </c>
      <c r="F287" t="inlineStr">
        <is>
          <t>微博搜索</t>
        </is>
      </c>
      <c r="H287" t="inlineStr">
        <is>
          <t>表达了对7月1日落地的《中华人民共和国民族团结进步促进法》的全部内容的认同</t>
        </is>
      </c>
      <c r="I287" t="inlineStr">
        <is>
          <t>https://weibo.com/8013891733/R76C9gqIr?refer_flag=1001030103_</t>
        </is>
      </c>
      <c r="J287" t="inlineStr">
        <is>
          <t>未获取</t>
        </is>
      </c>
      <c r="O287" t="inlineStr">
        <is>
          <t>中文</t>
        </is>
      </c>
      <c r="P287" t="inlineStr">
        <is>
          <t>否</t>
        </is>
      </c>
      <c r="Q287" t="inlineStr">
        <is>
          <t>支持认可</t>
        </is>
      </c>
      <c r="R287" t="inlineStr">
        <is>
          <t>法律实施、政策解读或相关讨论</t>
        </is>
      </c>
      <c r="S287" t="n">
        <v>738</v>
      </c>
      <c r="T287" t="n">
        <v>1</v>
      </c>
      <c r="U287" t="n">
        <v>0</v>
      </c>
      <c r="V287" t="inlineStr">
        <is>
          <t>否</t>
        </is>
      </c>
      <c r="W287" t="inlineStr">
        <is>
          <t>是</t>
        </is>
      </c>
      <c r="X287" t="inlineStr">
        <is>
          <t>历史导入:微博热榜平台_民族团结进步促进法舆情监测_最终修正版.xlsx；来源类型:个人；重复:否；待核实:否</t>
        </is>
      </c>
    </row>
    <row r="288">
      <c r="A288" t="inlineStr">
        <is>
          <t>hist-8d6a06d4c7a73b8e</t>
        </is>
      </c>
      <c r="B288" s="82" t="n">
        <v>46252.9403587963</v>
      </c>
      <c r="C288" s="82" t="n">
        <v>46205</v>
      </c>
      <c r="D288" t="inlineStr">
        <is>
          <t>微博</t>
        </is>
      </c>
      <c r="E288" t="inlineStr">
        <is>
          <t>微博/热榜</t>
        </is>
      </c>
      <c r="F288" t="inlineStr">
        <is>
          <t>微博搜索</t>
        </is>
      </c>
      <c r="H288" t="inlineStr">
        <is>
          <t>促进法颁行后，台独团伙恐慌污蔑，岛民批驳不买账。</t>
        </is>
      </c>
      <c r="I288" t="inlineStr">
        <is>
          <t>https://weibo.com/1659893422/R6PO9jKkt?refer_flag=1001030103_</t>
        </is>
      </c>
      <c r="J288" t="inlineStr">
        <is>
          <t>未获取</t>
        </is>
      </c>
      <c r="O288" t="inlineStr">
        <is>
          <t>中文</t>
        </is>
      </c>
      <c r="P288" t="inlineStr">
        <is>
          <t>否</t>
        </is>
      </c>
      <c r="Q288" t="inlineStr">
        <is>
          <t>中性信息</t>
        </is>
      </c>
      <c r="R288" t="inlineStr">
        <is>
          <t>法律实施、政策解读或相关讨论</t>
        </is>
      </c>
      <c r="S288" t="n">
        <v>167</v>
      </c>
      <c r="T288" t="n">
        <v>0</v>
      </c>
      <c r="U288" t="n">
        <v>0</v>
      </c>
      <c r="V288" t="inlineStr">
        <is>
          <t>否</t>
        </is>
      </c>
      <c r="W288" t="inlineStr">
        <is>
          <t>是</t>
        </is>
      </c>
      <c r="X288" t="inlineStr">
        <is>
          <t>历史导入:微博热榜平台_民族团结进步促进法舆情监测_最终修正版.xlsx；来源类型:个人；重复:否；待核实:否</t>
        </is>
      </c>
    </row>
    <row r="289">
      <c r="A289" t="inlineStr">
        <is>
          <t>hist-4b9571a0b104a003</t>
        </is>
      </c>
      <c r="B289" s="82" t="n">
        <v>46252.9403587963</v>
      </c>
      <c r="C289" s="82" t="n">
        <v>46204</v>
      </c>
      <c r="D289" t="inlineStr">
        <is>
          <t>微博</t>
        </is>
      </c>
      <c r="E289" t="inlineStr">
        <is>
          <t>微博/热榜</t>
        </is>
      </c>
      <c r="F289" t="inlineStr">
        <is>
          <t>微博搜索</t>
        </is>
      </c>
      <c r="H289" t="inlineStr">
        <is>
          <t>作者认为，《民族团结进步促进法》的实施是中国凝聚认同、熔铸一体的正确举措，与特朗普“文化战争”形成对比；西方认同危机及出生公民权之争，反证中国文化传统与血统主义制度的优越性。</t>
        </is>
      </c>
      <c r="I289" t="inlineStr">
        <is>
          <t>https://weibo.com/1259914383/R6D0Rg7QT?refer_flag=1001030103_</t>
        </is>
      </c>
      <c r="J289" t="inlineStr">
        <is>
          <t>未获取</t>
        </is>
      </c>
      <c r="O289" t="inlineStr">
        <is>
          <t>中文</t>
        </is>
      </c>
      <c r="P289" t="inlineStr">
        <is>
          <t>否</t>
        </is>
      </c>
      <c r="Q289" t="inlineStr">
        <is>
          <t>支持认可</t>
        </is>
      </c>
      <c r="R289" t="inlineStr">
        <is>
          <t>法律实施、政策解读或相关讨论</t>
        </is>
      </c>
      <c r="S289" t="n">
        <v>143</v>
      </c>
      <c r="T289" t="n">
        <v>1</v>
      </c>
      <c r="U289" t="n">
        <v>0</v>
      </c>
      <c r="V289" t="inlineStr">
        <is>
          <t>否</t>
        </is>
      </c>
      <c r="W289" t="inlineStr">
        <is>
          <t>是</t>
        </is>
      </c>
      <c r="X289" t="inlineStr">
        <is>
          <t>历史导入:微博热榜平台_民族团结进步促进法舆情监测_最终修正版.xlsx；来源类型:个人；重复:否；待核实:否</t>
        </is>
      </c>
    </row>
    <row r="290">
      <c r="A290" t="inlineStr">
        <is>
          <t>hist-f6ba20956141c376</t>
        </is>
      </c>
      <c r="B290" s="82" t="n">
        <v>46252.9403587963</v>
      </c>
      <c r="C290" s="82" t="n">
        <v>46204</v>
      </c>
      <c r="D290" t="inlineStr">
        <is>
          <t>微博</t>
        </is>
      </c>
      <c r="E290" t="inlineStr">
        <is>
          <t>微博/热榜</t>
        </is>
      </c>
      <c r="F290" t="inlineStr">
        <is>
          <t>微博搜索</t>
        </is>
      </c>
      <c r="H290" t="inlineStr">
        <is>
          <t>湾伪今天表态，“严正反对”《民族团结进步促进法》，还呼吁国际社会“共同反制”。</t>
        </is>
      </c>
      <c r="I290" t="inlineStr">
        <is>
          <t>https://weibo.com/5802606551/R6G8yhdYn?refer_flag=1001030103_</t>
        </is>
      </c>
      <c r="J290" t="inlineStr">
        <is>
          <t>未获取</t>
        </is>
      </c>
      <c r="O290" t="inlineStr">
        <is>
          <t>中文</t>
        </is>
      </c>
      <c r="P290" t="inlineStr">
        <is>
          <t>否</t>
        </is>
      </c>
      <c r="Q290" t="inlineStr">
        <is>
          <t>中性信息</t>
        </is>
      </c>
      <c r="R290" t="inlineStr">
        <is>
          <t>法律实施、政策解读或相关讨论</t>
        </is>
      </c>
      <c r="S290" t="n">
        <v>296</v>
      </c>
      <c r="T290" t="n">
        <v>0</v>
      </c>
      <c r="U290" t="n">
        <v>0</v>
      </c>
      <c r="V290" t="inlineStr">
        <is>
          <t>否</t>
        </is>
      </c>
      <c r="W290" t="inlineStr">
        <is>
          <t>是</t>
        </is>
      </c>
      <c r="X290" t="inlineStr">
        <is>
          <t>历史导入:微博热榜平台_民族团结进步促进法舆情监测_最终修正版.xlsx；来源类型:个人；复核:作者在评论设置了防火墙；重复:否；待核实:否</t>
        </is>
      </c>
    </row>
    <row r="291">
      <c r="A291" t="inlineStr">
        <is>
          <t>hist-9be0a37ec20ab551</t>
        </is>
      </c>
      <c r="B291" s="82" t="n">
        <v>46252.9403587963</v>
      </c>
      <c r="C291" s="82" t="n">
        <v>46205</v>
      </c>
      <c r="D291" t="inlineStr">
        <is>
          <t>微博</t>
        </is>
      </c>
      <c r="E291" t="inlineStr">
        <is>
          <t>微博/热榜</t>
        </is>
      </c>
      <c r="F291" t="inlineStr">
        <is>
          <t>微博搜索</t>
        </is>
      </c>
      <c r="H291" t="inlineStr">
        <is>
          <t>国台办朱凤莲称《民族团结进步促进法》无“非统即独”及“跨境镇压”问题；台官方则批评并设跨部门平台应对。作者认为法律条文笼统，外界疑虑难以完全消除。</t>
        </is>
      </c>
      <c r="I291" t="inlineStr">
        <is>
          <t>https://weibo.com/1496863851/R6P4bA6dr?refer_flag=1001030103_</t>
        </is>
      </c>
      <c r="J291" t="inlineStr">
        <is>
          <t>未获取</t>
        </is>
      </c>
      <c r="O291" t="inlineStr">
        <is>
          <t>中文</t>
        </is>
      </c>
      <c r="P291" t="inlineStr">
        <is>
          <t>否</t>
        </is>
      </c>
      <c r="Q291" t="inlineStr">
        <is>
          <t>明确批评</t>
        </is>
      </c>
      <c r="R291" t="inlineStr">
        <is>
          <t>法律实施、政策解读或相关讨论</t>
        </is>
      </c>
      <c r="S291" t="n">
        <v>121</v>
      </c>
      <c r="T291" t="n">
        <v>0</v>
      </c>
      <c r="U291" t="n">
        <v>0</v>
      </c>
      <c r="V291" t="inlineStr">
        <is>
          <t>否</t>
        </is>
      </c>
      <c r="W291" t="inlineStr">
        <is>
          <t>是</t>
        </is>
      </c>
      <c r="X291" t="inlineStr">
        <is>
          <t>历史导入:微博热榜平台_民族团结进步促进法舆情监测_最终修正版.xlsx；来源类型:个人；重复:否；待核实:否</t>
        </is>
      </c>
    </row>
    <row r="292">
      <c r="A292" t="inlineStr">
        <is>
          <t>hist-1172451433b5f4a7</t>
        </is>
      </c>
      <c r="B292" s="82" t="n">
        <v>46252.9403587963</v>
      </c>
      <c r="C292" s="82" t="n">
        <v>46205</v>
      </c>
      <c r="D292" t="inlineStr">
        <is>
          <t>微博</t>
        </is>
      </c>
      <c r="E292" t="inlineStr">
        <is>
          <t>微博/热榜</t>
        </is>
      </c>
      <c r="F292" t="inlineStr">
        <is>
          <t>微博搜索</t>
        </is>
      </c>
      <c r="H292" t="inlineStr">
        <is>
          <t>7月1日《民族团结法》开始生效，湾湾陆委会梁文杰恐吓台湾人没事别去大陆</t>
        </is>
      </c>
      <c r="I292" t="inlineStr">
        <is>
          <t>https://weibo.com/3307231905/R6N5Qthxp?refer_flag=1001030103_</t>
        </is>
      </c>
      <c r="J292" t="inlineStr">
        <is>
          <t>未获取</t>
        </is>
      </c>
      <c r="O292" t="inlineStr">
        <is>
          <t>中文</t>
        </is>
      </c>
      <c r="P292" t="inlineStr">
        <is>
          <t>否</t>
        </is>
      </c>
      <c r="Q292" t="inlineStr">
        <is>
          <t>中性信息</t>
        </is>
      </c>
      <c r="R292" t="inlineStr">
        <is>
          <t>法律实施、政策解读或相关讨论</t>
        </is>
      </c>
      <c r="S292" t="n">
        <v>62</v>
      </c>
      <c r="T292" t="n">
        <v>0</v>
      </c>
      <c r="U292" t="n">
        <v>0</v>
      </c>
      <c r="V292" t="inlineStr">
        <is>
          <t>否</t>
        </is>
      </c>
      <c r="W292" t="inlineStr">
        <is>
          <t>是</t>
        </is>
      </c>
      <c r="X292" t="inlineStr">
        <is>
          <t>历史导入:微博热榜平台_民族团结进步促进法舆情监测_最终修正版.xlsx；来源类型:个人；重复:否；待核实:否</t>
        </is>
      </c>
    </row>
    <row r="293">
      <c r="A293" t="inlineStr">
        <is>
          <t>hist-500979a51a8ee66b</t>
        </is>
      </c>
      <c r="B293" s="82" t="n">
        <v>46252.9403587963</v>
      </c>
      <c r="C293" s="82" t="n">
        <v>46207</v>
      </c>
      <c r="D293" t="inlineStr">
        <is>
          <t>微博</t>
        </is>
      </c>
      <c r="E293" t="inlineStr">
        <is>
          <t>微博/热榜</t>
        </is>
      </c>
      <c r="F293" t="inlineStr">
        <is>
          <t>微博搜索</t>
        </is>
      </c>
      <c r="H293" t="inlineStr">
        <is>
          <t>国家统一正在稳步推进，而赵少康还在喋喋不休瞎咧咧——赵少康：我肯定民族团结进步促进法，但反对非统即独二元论，肯定还有第三条路！</t>
        </is>
      </c>
      <c r="I293" t="inlineStr">
        <is>
          <t>https://weibo.com/5604451021/R7a6pj4se?refer_flag=1001030103_</t>
        </is>
      </c>
      <c r="J293" t="inlineStr">
        <is>
          <t>未获取</t>
        </is>
      </c>
      <c r="O293" t="inlineStr">
        <is>
          <t>中文</t>
        </is>
      </c>
      <c r="P293" t="inlineStr">
        <is>
          <t>否</t>
        </is>
      </c>
      <c r="Q293" t="inlineStr">
        <is>
          <t>中性信息</t>
        </is>
      </c>
      <c r="R293" t="inlineStr">
        <is>
          <t>法律实施、政策解读或相关讨论</t>
        </is>
      </c>
      <c r="S293" t="n">
        <v>52</v>
      </c>
      <c r="T293" t="n">
        <v>0</v>
      </c>
      <c r="U293" t="n">
        <v>0</v>
      </c>
      <c r="V293" t="inlineStr">
        <is>
          <t>否</t>
        </is>
      </c>
      <c r="W293" t="inlineStr">
        <is>
          <t>是</t>
        </is>
      </c>
      <c r="X293" t="inlineStr">
        <is>
          <t>历史导入:微博热榜平台_民族团结进步促进法舆情监测_最终修正版.xlsx；来源类型:个人；重复:否；待核实:否</t>
        </is>
      </c>
    </row>
    <row r="294">
      <c r="A294" t="inlineStr">
        <is>
          <t>hist-1f69cb32c3d6d750</t>
        </is>
      </c>
      <c r="B294" s="82" t="n">
        <v>46252.9403587963</v>
      </c>
      <c r="C294" s="82" t="n">
        <v>46212</v>
      </c>
      <c r="D294" t="inlineStr">
        <is>
          <t>微博</t>
        </is>
      </c>
      <c r="E294" t="inlineStr">
        <is>
          <t>微博/热榜</t>
        </is>
      </c>
      <c r="F294" t="inlineStr">
        <is>
          <t>微博搜索</t>
        </is>
      </c>
      <c r="H294" t="inlineStr">
        <is>
          <t>作者认为《民促法》极具震慑力，主张对公然践踏红线、制造分裂的美国在台协会处长谷立言依法追究，建议提起公益诉讼并列入“台独”顽固分子清单，以祭刀立威、彰显法治权威。</t>
        </is>
      </c>
      <c r="I294" t="inlineStr">
        <is>
          <t>https://weibo.com/1647930880/R7QTHxNBx?refer_flag=1001030103_</t>
        </is>
      </c>
      <c r="J294" t="inlineStr">
        <is>
          <t>未获取</t>
        </is>
      </c>
      <c r="O294" t="inlineStr">
        <is>
          <t>中文</t>
        </is>
      </c>
      <c r="P294" t="inlineStr">
        <is>
          <t>否</t>
        </is>
      </c>
      <c r="Q294" t="inlineStr">
        <is>
          <t>支持认可促进法</t>
        </is>
      </c>
      <c r="R294" t="inlineStr">
        <is>
          <t>法律实施、政策解读或相关讨论</t>
        </is>
      </c>
      <c r="S294" t="n">
        <v>4</v>
      </c>
      <c r="T294" t="n">
        <v>0</v>
      </c>
      <c r="U294" t="n">
        <v>0</v>
      </c>
      <c r="V294" t="inlineStr">
        <is>
          <t>否</t>
        </is>
      </c>
      <c r="W294" t="inlineStr">
        <is>
          <t>是</t>
        </is>
      </c>
      <c r="X294" t="inlineStr">
        <is>
          <t>历史导入:微博热榜平台_民族团结进步促进法舆情监测_最终修正版.xlsx；来源类型:个人；重复:否；待核实:否</t>
        </is>
      </c>
    </row>
    <row r="295">
      <c r="A295" t="inlineStr">
        <is>
          <t>hist-b1878047f48a674f</t>
        </is>
      </c>
      <c r="B295" s="82" t="n">
        <v>46252.9403587963</v>
      </c>
      <c r="C295" s="82" t="n">
        <v>46219</v>
      </c>
      <c r="D295" t="inlineStr">
        <is>
          <t>微博</t>
        </is>
      </c>
      <c r="E295" t="inlineStr">
        <is>
          <t>微博/热榜</t>
        </is>
      </c>
      <c r="F295" t="inlineStr">
        <is>
          <t>微博搜索</t>
        </is>
      </c>
      <c r="H295" t="inlineStr">
        <is>
          <t>作者举办微博账号“京吃”（UID：3569314904，认证为“美食视频自媒体”）持续发布多篇违法有害信息，其行为严重破坏民族团结、攻击国家宗教政策、质疑国家政权性质，并对国家机关工作人员进行人身攻击</t>
        </is>
      </c>
      <c r="I295" t="inlineStr">
        <is>
          <t>https://weibo.com/6412018784/R8ZLrAZO3?refer_flag=1001030103_</t>
        </is>
      </c>
      <c r="J295" t="inlineStr">
        <is>
          <t>未获取</t>
        </is>
      </c>
      <c r="O295" t="inlineStr">
        <is>
          <t>中文</t>
        </is>
      </c>
      <c r="P295" t="inlineStr">
        <is>
          <t>否</t>
        </is>
      </c>
      <c r="Q295" t="inlineStr">
        <is>
          <t>投诉维权</t>
        </is>
      </c>
      <c r="R295" t="inlineStr">
        <is>
          <t>法律实施、政策解读或相关讨论</t>
        </is>
      </c>
      <c r="S295" t="n">
        <v>40</v>
      </c>
      <c r="T295" t="n">
        <v>0</v>
      </c>
      <c r="U295" t="n">
        <v>0</v>
      </c>
      <c r="V295" t="inlineStr">
        <is>
          <t>否</t>
        </is>
      </c>
      <c r="W295" t="inlineStr">
        <is>
          <t>是</t>
        </is>
      </c>
      <c r="X295" t="inlineStr">
        <is>
          <t>历史导入:微博热榜平台_民族团结进步促进法舆情监测_最终修正版.xlsx；来源类型:个人；复核:复核结果：该微博属于举报/投诉行为，举报者称账号“京吃”持续发布破坏民族团结、攻击国家宗教政策等内容。原举报微博可核验，因此将意见类型由“待核实”调整为“投诉维权”。被举报账号内容因仅对粉丝展示，当前无法进一步核实其具体内容真实性，故不对举报事项本身作事实认定。；重复:否；待核实:否</t>
        </is>
      </c>
    </row>
    <row r="296">
      <c r="A296" t="inlineStr">
        <is>
          <t>hist-080c6c199c3b7e81</t>
        </is>
      </c>
      <c r="B296" s="82" t="n">
        <v>46252.9403587963</v>
      </c>
      <c r="C296" s="82" t="n">
        <v>46212</v>
      </c>
      <c r="D296" t="inlineStr">
        <is>
          <t>微博</t>
        </is>
      </c>
      <c r="E296" t="inlineStr">
        <is>
          <t>微博/热榜</t>
        </is>
      </c>
      <c r="F296" t="inlineStr">
        <is>
          <t>微博搜索</t>
        </is>
      </c>
      <c r="H296" t="inlineStr">
        <is>
          <t>作者认为民族团结促进法、奖励三胎，并列为他眼中近十年来最重要的政策进步。但是和奖励三胎一样，他担心的是，方向对了，力度不够，最后止步于此，不竟全功。</t>
        </is>
      </c>
      <c r="I296" t="inlineStr">
        <is>
          <t>https://weibo.com/7506332448/R7VhZATbF?refer_flag=1001030103_</t>
        </is>
      </c>
      <c r="J296" t="inlineStr">
        <is>
          <t>未获取</t>
        </is>
      </c>
      <c r="O296" t="inlineStr">
        <is>
          <t>中文</t>
        </is>
      </c>
      <c r="P296" t="inlineStr">
        <is>
          <t>否</t>
        </is>
      </c>
      <c r="Q296" t="inlineStr">
        <is>
          <t>实施问题</t>
        </is>
      </c>
      <c r="R296" t="inlineStr">
        <is>
          <t>法律实施、政策解读或相关讨论</t>
        </is>
      </c>
      <c r="S296" t="n">
        <v>0</v>
      </c>
      <c r="T296" t="n">
        <v>0</v>
      </c>
      <c r="U296" t="n">
        <v>0</v>
      </c>
      <c r="V296" t="inlineStr">
        <is>
          <t>否</t>
        </is>
      </c>
      <c r="W296" t="inlineStr">
        <is>
          <t>是</t>
        </is>
      </c>
      <c r="X296" t="inlineStr">
        <is>
          <t>历史导入:微博热榜平台_民族团结进步促进法舆情监测_最终修正版.xlsx；来源类型:个人；重复:否；待核实:否</t>
        </is>
      </c>
    </row>
    <row r="297">
      <c r="A297" t="inlineStr">
        <is>
          <t>hist-cf7a3f14a24e71b0</t>
        </is>
      </c>
      <c r="B297" s="82" t="n">
        <v>46252.9403587963</v>
      </c>
      <c r="C297" s="82" t="n">
        <v>46204</v>
      </c>
      <c r="D297" t="inlineStr">
        <is>
          <t>微博</t>
        </is>
      </c>
      <c r="E297" t="inlineStr">
        <is>
          <t>微博/热榜</t>
        </is>
      </c>
      <c r="F297" t="inlineStr">
        <is>
          <t>微博搜索</t>
        </is>
      </c>
      <c r="H297" t="inlineStr">
        <is>
          <t>作者转发了一条微博，并配文支持民族团结进步促进法</t>
        </is>
      </c>
      <c r="I297" t="inlineStr">
        <is>
          <t>https://weibo.com/6314453343/R6BsNtIAw?refer_flag=1001030103_</t>
        </is>
      </c>
      <c r="J297" t="inlineStr">
        <is>
          <t>未获取</t>
        </is>
      </c>
      <c r="O297" t="inlineStr">
        <is>
          <t>中文</t>
        </is>
      </c>
      <c r="P297" t="inlineStr">
        <is>
          <t>否</t>
        </is>
      </c>
      <c r="Q297" t="inlineStr">
        <is>
          <t>支持认可</t>
        </is>
      </c>
      <c r="R297" t="inlineStr">
        <is>
          <t>法律实施、政策解读或相关讨论</t>
        </is>
      </c>
      <c r="S297" t="n">
        <v>0</v>
      </c>
      <c r="T297" t="n">
        <v>0</v>
      </c>
      <c r="U297" t="n">
        <v>0</v>
      </c>
      <c r="V297" t="inlineStr">
        <is>
          <t>否</t>
        </is>
      </c>
      <c r="W297" t="inlineStr">
        <is>
          <t>是</t>
        </is>
      </c>
      <c r="X297" t="inlineStr">
        <is>
          <t>历史导入:微博热榜平台_民族团结进步促进法舆情监测_最终修正版.xlsx；来源类型:个人；重复:否；待核实:否</t>
        </is>
      </c>
    </row>
    <row r="298">
      <c r="A298" t="inlineStr">
        <is>
          <t>hist-4dc5ad2a6783b160</t>
        </is>
      </c>
      <c r="B298" s="82" t="n">
        <v>46252.9403587963</v>
      </c>
      <c r="C298" s="82" t="n">
        <v>46207</v>
      </c>
      <c r="D298" t="inlineStr">
        <is>
          <t>快手</t>
        </is>
      </c>
      <c r="E298" t="inlineStr">
        <is>
          <t>快手</t>
        </is>
      </c>
      <c r="F298" t="inlineStr">
        <is>
          <t>软件</t>
        </is>
      </c>
      <c r="G298" t="inlineStr">
        <is>
          <t>临夏.马文华</t>
        </is>
      </c>
      <c r="H298" t="inlineStr">
        <is>
          <t>《民族团结进步促进法》7月1号开始落地实施了……让各族群众和睦共处，携手共建咱们的家园中国</t>
        </is>
      </c>
      <c r="I298" t="inlineStr">
        <is>
          <t>https://v.kuaishou.com/J4sElZen 牢筑中华民族共同体意识，树立休戚与共、荣辱与共，生死与共，命运与共的共同理念。 该作品在快手被播放过1.4万次，点击链接，打开【快手】直接观看！</t>
        </is>
      </c>
      <c r="J298" t="inlineStr">
        <is>
          <t>全国</t>
        </is>
      </c>
      <c r="O298" t="inlineStr">
        <is>
          <t>普通话</t>
        </is>
      </c>
      <c r="P298" t="inlineStr">
        <is>
          <t>否</t>
        </is>
      </c>
      <c r="Q298" t="inlineStr">
        <is>
          <t>支持认可</t>
        </is>
      </c>
      <c r="R298" t="inlineStr">
        <is>
          <t>法律施行与总体解读</t>
        </is>
      </c>
      <c r="S298" t="n">
        <v>169</v>
      </c>
      <c r="T298" t="n">
        <v>25</v>
      </c>
      <c r="U298" t="n">
        <v>17</v>
      </c>
      <c r="V298" t="inlineStr">
        <is>
          <t>否</t>
        </is>
      </c>
      <c r="W298" t="inlineStr">
        <is>
          <t>是</t>
        </is>
      </c>
      <c r="X298" t="inlineStr">
        <is>
          <t>历史导入:快手平台民族团结进步促进法舆情监测_统计修正版.xlsx；来源类型:自媒体；重复:否；待核实:否</t>
        </is>
      </c>
    </row>
    <row r="299">
      <c r="A299" t="inlineStr">
        <is>
          <t>hist-f7971cdbadaebb01</t>
        </is>
      </c>
      <c r="B299" s="82" t="n">
        <v>46252.9403587963</v>
      </c>
      <c r="C299" s="82" t="n">
        <v>46207</v>
      </c>
      <c r="D299" t="inlineStr">
        <is>
          <t>快手</t>
        </is>
      </c>
      <c r="E299" t="inlineStr">
        <is>
          <t>快手</t>
        </is>
      </c>
      <c r="F299" t="inlineStr">
        <is>
          <t>软件</t>
        </is>
      </c>
      <c r="G299" t="inlineStr">
        <is>
          <t>浪沙166</t>
        </is>
      </c>
      <c r="H299" t="inlineStr">
        <is>
          <t>民族团结一家亲[赞][赞][赞] 拒绝抹黑，拒绝攻击！</t>
        </is>
      </c>
      <c r="I299" t="inlineStr">
        <is>
          <t>https://v.kuaishou.com/J4sElZen 牢筑中华民族共同体意识，树立休戚与共、荣辱与共，生死与共，命运与共的共同理念。 该作品在快手被播放过1.4万次，点击链接，打开【快手】直接观看！评论内容</t>
        </is>
      </c>
      <c r="J299" t="inlineStr">
        <is>
          <t>河北</t>
        </is>
      </c>
      <c r="L299" t="inlineStr">
        <is>
          <t>河北</t>
        </is>
      </c>
      <c r="O299" t="inlineStr">
        <is>
          <t>普通话</t>
        </is>
      </c>
      <c r="P299" t="inlineStr">
        <is>
          <t>否</t>
        </is>
      </c>
      <c r="Q299" t="inlineStr">
        <is>
          <t>支持认可</t>
        </is>
      </c>
      <c r="R299" t="inlineStr">
        <is>
          <t>法律施行与总体解读</t>
        </is>
      </c>
      <c r="S299" t="n">
        <v>12</v>
      </c>
      <c r="T299" t="n">
        <v>0</v>
      </c>
      <c r="U299" t="n">
        <v>0</v>
      </c>
      <c r="V299" t="inlineStr">
        <is>
          <t>否</t>
        </is>
      </c>
      <c r="W299" t="inlineStr">
        <is>
          <t>是</t>
        </is>
      </c>
      <c r="X299" t="inlineStr">
        <is>
          <t>历史导入:快手平台民族团结进步促进法舆情监测_统计修正版.xlsx；来源类型:个人用户；重复:否；待核实:否</t>
        </is>
      </c>
    </row>
    <row r="300">
      <c r="A300" t="inlineStr">
        <is>
          <t>hist-de00da4165a1c109</t>
        </is>
      </c>
      <c r="B300" s="82" t="n">
        <v>46252.9403587963</v>
      </c>
      <c r="C300" s="82" t="n">
        <v>46207</v>
      </c>
      <c r="D300" t="inlineStr">
        <is>
          <t>快手</t>
        </is>
      </c>
      <c r="E300" t="inlineStr">
        <is>
          <t>快手</t>
        </is>
      </c>
      <c r="F300" t="inlineStr">
        <is>
          <t>软件</t>
        </is>
      </c>
      <c r="G300" t="inlineStr">
        <is>
          <t>快手用户1769235522797</t>
        </is>
      </c>
      <c r="H300" t="inlineStr">
        <is>
          <t>民族团结，国家昌盛，凝聚力能产生奇迹[玫瑰][玫瑰][玫瑰]祖国万岁[玫瑰][玫瑰][玫瑰]</t>
        </is>
      </c>
      <c r="I300" t="inlineStr">
        <is>
          <t>https://v.kuaishou.com/J4sElZen 牢筑中华民族共同体意识，树立休戚与共、荣辱与共，生死与共，命运与共的共同理念。 该作品在快手被播放过1.4万次，点击链接，打开【快手】直接观看！评论内容</t>
        </is>
      </c>
      <c r="J300" t="inlineStr">
        <is>
          <t>西藏</t>
        </is>
      </c>
      <c r="L300" t="inlineStr">
        <is>
          <t>西藏</t>
        </is>
      </c>
      <c r="O300" t="inlineStr">
        <is>
          <t>普通话</t>
        </is>
      </c>
      <c r="P300" t="inlineStr">
        <is>
          <t>否</t>
        </is>
      </c>
      <c r="Q300" t="inlineStr">
        <is>
          <t>支持认可</t>
        </is>
      </c>
      <c r="R300" t="inlineStr">
        <is>
          <t>法律施行与总体解读</t>
        </is>
      </c>
      <c r="S300" t="n">
        <v>3</v>
      </c>
      <c r="T300" t="n">
        <v>1</v>
      </c>
      <c r="U300" t="n">
        <v>1</v>
      </c>
      <c r="V300" t="inlineStr">
        <is>
          <t>否</t>
        </is>
      </c>
      <c r="W300" t="inlineStr">
        <is>
          <t>是</t>
        </is>
      </c>
      <c r="X300" t="inlineStr">
        <is>
          <t>历史导入:快手平台民族团结进步促进法舆情监测_统计修正版.xlsx；来源类型:个人用户；重复:否；待核实:否</t>
        </is>
      </c>
    </row>
    <row r="301">
      <c r="A301" t="inlineStr">
        <is>
          <t>hist-7a8ecc8c10d56a69</t>
        </is>
      </c>
      <c r="B301" s="82" t="n">
        <v>46252.9403587963</v>
      </c>
      <c r="C301" s="82" t="n">
        <v>46220</v>
      </c>
      <c r="D301" t="inlineStr">
        <is>
          <t>快手</t>
        </is>
      </c>
      <c r="E301" t="inlineStr">
        <is>
          <t>快手</t>
        </is>
      </c>
      <c r="F301" t="inlineStr">
        <is>
          <t>软件</t>
        </is>
      </c>
      <c r="G301" t="inlineStr">
        <is>
          <t>秘境玛曲</t>
        </is>
      </c>
      <c r="H301" t="inlineStr">
        <is>
          <t>中华人民共和国各民族一律平等……同心共建和谐稳定、繁荣美好的家园</t>
        </is>
      </c>
      <c r="I301" t="inlineStr">
        <is>
          <t>https://v.kuaishou.com/nL4riWUI 一起学习《中华人民共和国民族团结进步促进法》摄制：肉西卓玛） 该作品在快手被播放过1.8万次，点击链接，打开【快手】直接观看！</t>
        </is>
      </c>
      <c r="J301" t="inlineStr">
        <is>
          <t>甘南藏族自治州玛曲县</t>
        </is>
      </c>
      <c r="L301" t="inlineStr">
        <is>
          <t>甘肃</t>
        </is>
      </c>
      <c r="O301" t="inlineStr">
        <is>
          <t>藏文</t>
        </is>
      </c>
      <c r="P301" t="inlineStr">
        <is>
          <t>是</t>
        </is>
      </c>
      <c r="Q301" t="inlineStr">
        <is>
          <t>支持认可</t>
        </is>
      </c>
      <c r="R301" t="inlineStr">
        <is>
          <t>基层普法与群众参与</t>
        </is>
      </c>
      <c r="S301" t="n">
        <v>293</v>
      </c>
      <c r="T301" t="n">
        <v>0</v>
      </c>
      <c r="U301" t="n">
        <v>151</v>
      </c>
      <c r="V301" t="inlineStr">
        <is>
          <t>否</t>
        </is>
      </c>
      <c r="W301" t="inlineStr">
        <is>
          <t>否</t>
        </is>
      </c>
      <c r="X301" t="inlineStr">
        <is>
          <t>历史导入:快手平台民族团结进步促进法舆情监测_统计修正版.xlsx；来源类型:媒体；重复:否；待核实:否</t>
        </is>
      </c>
    </row>
    <row r="302">
      <c r="A302" t="inlineStr">
        <is>
          <t>hist-1675e27933f3b892</t>
        </is>
      </c>
      <c r="B302" s="82" t="n">
        <v>46252.9403587963</v>
      </c>
      <c r="C302" s="82" t="n">
        <v>46205</v>
      </c>
      <c r="D302" t="inlineStr">
        <is>
          <t>快手</t>
        </is>
      </c>
      <c r="E302" t="inlineStr">
        <is>
          <t>快手</t>
        </is>
      </c>
      <c r="F302" t="inlineStr">
        <is>
          <t>软件</t>
        </is>
      </c>
      <c r="G302" t="inlineStr">
        <is>
          <t>源头新闻</t>
        </is>
      </c>
      <c r="H302" t="inlineStr">
        <is>
          <t>《民族团结进步促进法》……有力维护了各族人民追求美好生活的根本利益</t>
        </is>
      </c>
      <c r="I302" t="inlineStr">
        <is>
          <t>https://v.kuaishou.com/JEhpt1s3 青海省学习宣传贯彻《民族团结进步促进法》新闻发布会 以法治固化民族团结根脉 用立法凝聚各族群众奋进合力（记者 马佩玉）"民族团结进步促进法"青海"本地新闻 该作品在快手被播放过5594次，点击链接，打开【快手】直接观看！</t>
        </is>
      </c>
      <c r="J302" t="inlineStr">
        <is>
          <t>青海省</t>
        </is>
      </c>
      <c r="L302" t="inlineStr">
        <is>
          <t>青海</t>
        </is>
      </c>
      <c r="O302" t="inlineStr">
        <is>
          <t>普通话</t>
        </is>
      </c>
      <c r="P302" t="inlineStr">
        <is>
          <t>否</t>
        </is>
      </c>
      <c r="Q302" t="inlineStr">
        <is>
          <t>支持认可</t>
        </is>
      </c>
      <c r="R302" t="inlineStr">
        <is>
          <t>法律施行与总体解读</t>
        </is>
      </c>
      <c r="S302" t="n">
        <v>45</v>
      </c>
      <c r="T302" t="n">
        <v>0</v>
      </c>
      <c r="U302" t="n">
        <v>15</v>
      </c>
      <c r="V302" t="inlineStr">
        <is>
          <t>否</t>
        </is>
      </c>
      <c r="W302" t="inlineStr">
        <is>
          <t>否</t>
        </is>
      </c>
      <c r="X302" t="inlineStr">
        <is>
          <t>历史导入:快手平台民族团结进步促进法舆情监测_统计修正版.xlsx；来源类型:媒体；重复:否；待核实:否</t>
        </is>
      </c>
    </row>
    <row r="303">
      <c r="A303" t="inlineStr">
        <is>
          <t>hist-c21e76edfe013463</t>
        </is>
      </c>
      <c r="B303" s="82" t="n">
        <v>46252.9403587963</v>
      </c>
      <c r="C303" s="82" t="n">
        <v>46223</v>
      </c>
      <c r="D303" t="inlineStr">
        <is>
          <t>快手</t>
        </is>
      </c>
      <c r="E303" t="inlineStr">
        <is>
          <t>快手</t>
        </is>
      </c>
      <c r="F303" t="inlineStr">
        <is>
          <t>软件</t>
        </is>
      </c>
      <c r="G303" t="inlineStr">
        <is>
          <t>麦谷</t>
        </is>
      </c>
      <c r="H303" t="inlineStr">
        <is>
          <t>我有一个孩子……</t>
        </is>
      </c>
      <c r="I303" t="inlineStr">
        <is>
          <t>https://v.kuaishou.com/nHYErm3p 新疆维吾尔语教学响应民族团结促进法 该作品在快手被播放过56.6万次，点击链接，打开【快手】直接观看！</t>
        </is>
      </c>
      <c r="J303" t="inlineStr">
        <is>
          <t>新疆</t>
        </is>
      </c>
      <c r="L303" t="inlineStr">
        <is>
          <t>新疆</t>
        </is>
      </c>
      <c r="O303" t="inlineStr">
        <is>
          <t>维吾尔语</t>
        </is>
      </c>
      <c r="P303" t="inlineStr">
        <is>
          <t>是</t>
        </is>
      </c>
      <c r="Q303" t="inlineStr">
        <is>
          <t>支持认可</t>
        </is>
      </c>
      <c r="R303" t="inlineStr">
        <is>
          <t>国家通用语言文字与少数民族语言保障</t>
        </is>
      </c>
      <c r="S303" t="n">
        <v>1503</v>
      </c>
      <c r="T303" t="n">
        <v>212</v>
      </c>
      <c r="U303" t="n">
        <v>1109</v>
      </c>
      <c r="V303" t="inlineStr">
        <is>
          <t>否</t>
        </is>
      </c>
      <c r="W303" t="inlineStr">
        <is>
          <t>是</t>
        </is>
      </c>
      <c r="X303" t="inlineStr">
        <is>
          <t>历史导入:快手平台民族团结进步促进法舆情监测_统计修正版.xlsx；来源类型:自媒体；重复:否；待核实:否</t>
        </is>
      </c>
    </row>
    <row r="304">
      <c r="A304" t="inlineStr">
        <is>
          <t>hist-4b2567182846fe0e</t>
        </is>
      </c>
      <c r="B304" s="82" t="n">
        <v>46252.9403587963</v>
      </c>
      <c r="C304" s="82" t="n">
        <v>46207</v>
      </c>
      <c r="D304" t="inlineStr">
        <is>
          <t>快手</t>
        </is>
      </c>
      <c r="E304" t="inlineStr">
        <is>
          <t>快手</t>
        </is>
      </c>
      <c r="F304" t="inlineStr">
        <is>
          <t>软件</t>
        </is>
      </c>
      <c r="G304" t="inlineStr">
        <is>
          <t>放猪老人~迪日尔古</t>
        </is>
      </c>
      <c r="H304" t="inlineStr">
        <is>
          <t>招工这儿不要某某民族，那儿不要某某民族的做法是违法的……大家要注意拥护</t>
        </is>
      </c>
      <c r="I304" t="inlineStr">
        <is>
          <t>https://v.kuaishou.com/KbUsbF4n 7月1日开始实施《民族团结进步促进法》"彝语 "彝族 "民族团结 "民族团结一家亲 该作品在快手被播放过30.6万次，点击链接，打开【快手】直接观看！</t>
        </is>
      </c>
      <c r="J304" t="inlineStr">
        <is>
          <t>全国</t>
        </is>
      </c>
      <c r="O304" t="inlineStr">
        <is>
          <t>彝语</t>
        </is>
      </c>
      <c r="P304" t="inlineStr">
        <is>
          <t>是</t>
        </is>
      </c>
      <c r="Q304" t="inlineStr">
        <is>
          <t>支持认可</t>
        </is>
      </c>
      <c r="R304" t="inlineStr">
        <is>
          <t>权利保障与公平正义</t>
        </is>
      </c>
      <c r="S304" t="n">
        <v>4836</v>
      </c>
      <c r="T304" t="n">
        <v>758</v>
      </c>
      <c r="U304" t="n">
        <v>530</v>
      </c>
      <c r="V304" t="inlineStr">
        <is>
          <t>否</t>
        </is>
      </c>
      <c r="W304" t="inlineStr">
        <is>
          <t>是</t>
        </is>
      </c>
      <c r="X304" t="inlineStr">
        <is>
          <t>历史导入:快手平台民族团结进步促进法舆情监测_统计修正版.xlsx；来源类型:自媒体；重复:否；待核实:否</t>
        </is>
      </c>
    </row>
    <row r="305">
      <c r="A305" t="inlineStr">
        <is>
          <t>hist-a3435ec7aec07269</t>
        </is>
      </c>
      <c r="B305" s="82" t="n">
        <v>46252.9403587963</v>
      </c>
      <c r="C305" s="82" t="n">
        <v>46208</v>
      </c>
      <c r="D305" t="inlineStr">
        <is>
          <t>快手</t>
        </is>
      </c>
      <c r="E305" t="inlineStr">
        <is>
          <t>快手</t>
        </is>
      </c>
      <c r="F305" t="inlineStr">
        <is>
          <t>软件</t>
        </is>
      </c>
      <c r="G305" t="inlineStr">
        <is>
          <t>一得惹</t>
        </is>
      </c>
      <c r="H305" t="inlineStr">
        <is>
          <t>[捂脸]人家没说不要彝族 看看你身份证 直接说暂时不招 暂时人🈵了[捂脸][捂脸]</t>
        </is>
      </c>
      <c r="I305" t="inlineStr">
        <is>
          <t>https://v.kuaishou.com/KbUsbF4n 7月1日开始实施《民族团结进步促进法》"彝语 "彝族 "民族团结 "民族团结一家亲 该作品在快手被播放过30.6万次，点击链接，打开【快手】直接观看！评论</t>
        </is>
      </c>
      <c r="J305" t="inlineStr">
        <is>
          <t>福建</t>
        </is>
      </c>
      <c r="L305" t="inlineStr">
        <is>
          <t>福建</t>
        </is>
      </c>
      <c r="O305" t="inlineStr">
        <is>
          <t>普通话</t>
        </is>
      </c>
      <c r="P305" t="inlineStr">
        <is>
          <t>否</t>
        </is>
      </c>
      <c r="Q305" t="inlineStr">
        <is>
          <t>歧视偏见</t>
        </is>
      </c>
      <c r="R305" t="inlineStr">
        <is>
          <t>权利保障与公平正义</t>
        </is>
      </c>
      <c r="S305" t="n">
        <v>46</v>
      </c>
      <c r="T305" t="n">
        <v>5</v>
      </c>
      <c r="U305" t="n">
        <v>0</v>
      </c>
      <c r="V305" t="inlineStr">
        <is>
          <t>否</t>
        </is>
      </c>
      <c r="W305" t="inlineStr">
        <is>
          <t>是</t>
        </is>
      </c>
      <c r="X305" t="inlineStr">
        <is>
          <t>历史导入:快手平台民族团结进步促进法舆情监测_统计修正版.xlsx；来源类型:个人用户；重复:否；待核实:否</t>
        </is>
      </c>
    </row>
    <row r="306">
      <c r="A306" t="inlineStr">
        <is>
          <t>hist-44b279af9a871045</t>
        </is>
      </c>
      <c r="B306" s="82" t="n">
        <v>46252.9403587963</v>
      </c>
      <c r="C306" s="82" t="n">
        <v>46207</v>
      </c>
      <c r="D306" t="inlineStr">
        <is>
          <t>快手</t>
        </is>
      </c>
      <c r="E306" t="inlineStr">
        <is>
          <t>快手</t>
        </is>
      </c>
      <c r="F306" t="inlineStr">
        <is>
          <t>软件</t>
        </is>
      </c>
      <c r="G306" t="inlineStr">
        <is>
          <t>黑桃K...006</t>
        </is>
      </c>
      <c r="H306" t="inlineStr">
        <is>
          <t>那是不可能的 四川电力公司都不要</t>
        </is>
      </c>
      <c r="I306" t="inlineStr">
        <is>
          <t>https://v.kuaishou.com/KbUsbF4n 7月1日开始实施《民族团结进步促进法》"彝语 "彝族 "民族团结 "民族团结一家亲 该作品在快手被播放过30.6万次，点击链接，打开【快手】直接观看！评论</t>
        </is>
      </c>
      <c r="J306" t="inlineStr">
        <is>
          <t>四川</t>
        </is>
      </c>
      <c r="L306" t="inlineStr">
        <is>
          <t>四川</t>
        </is>
      </c>
      <c r="O306" t="inlineStr">
        <is>
          <t>普通话</t>
        </is>
      </c>
      <c r="P306" t="inlineStr">
        <is>
          <t>否</t>
        </is>
      </c>
      <c r="Q306" t="inlineStr">
        <is>
          <t>歧视偏见</t>
        </is>
      </c>
      <c r="R306" t="inlineStr">
        <is>
          <t>权利保障与公平正义</t>
        </is>
      </c>
      <c r="S306" t="n">
        <v>14</v>
      </c>
      <c r="T306" t="n">
        <v>3</v>
      </c>
      <c r="U306" t="n">
        <v>0</v>
      </c>
      <c r="V306" t="inlineStr">
        <is>
          <t>否</t>
        </is>
      </c>
      <c r="W306" t="inlineStr">
        <is>
          <t>是</t>
        </is>
      </c>
      <c r="X306" t="inlineStr">
        <is>
          <t>历史导入:快手平台民族团结进步促进法舆情监测_统计修正版.xlsx；来源类型:个人用户；重复:否；待核实:否</t>
        </is>
      </c>
    </row>
    <row r="307">
      <c r="A307" t="inlineStr">
        <is>
          <t>hist-d1a14c7cc6f4a496</t>
        </is>
      </c>
      <c r="B307" s="82" t="n">
        <v>46252.9403587963</v>
      </c>
      <c r="C307" s="82" t="n">
        <v>46228</v>
      </c>
      <c r="D307" t="inlineStr">
        <is>
          <t>快手</t>
        </is>
      </c>
      <c r="E307" t="inlineStr">
        <is>
          <t>快手</t>
        </is>
      </c>
      <c r="F307" t="inlineStr">
        <is>
          <t>软件</t>
        </is>
      </c>
      <c r="G307" t="inlineStr">
        <is>
          <t>牧羊人</t>
        </is>
      </c>
      <c r="H307" t="inlineStr">
        <is>
          <t>七月都快月底了，怎么我在这个地方还不招彝族人？为什么为什么？你能告诉我吗？这样下去彝族下一代没有地方打工了，你能告诉我吗？这么样解决？</t>
        </is>
      </c>
      <c r="I307" t="inlineStr">
        <is>
          <t>https://v.kuaishou.com/KbUsbF4n 7月1日开始实施《民族团结进步促进法》"彝语 "彝族 "民族团结 "民族团结一家亲 该作品在快手被播放过30.6万次，点击链接，打开【快手】直接观看！评论</t>
        </is>
      </c>
      <c r="J307" t="inlineStr">
        <is>
          <t>辽宁</t>
        </is>
      </c>
      <c r="L307" t="inlineStr">
        <is>
          <t>辽宁</t>
        </is>
      </c>
      <c r="O307" t="inlineStr">
        <is>
          <t>普通话</t>
        </is>
      </c>
      <c r="P307" t="inlineStr">
        <is>
          <t>否</t>
        </is>
      </c>
      <c r="Q307" t="inlineStr">
        <is>
          <t>歧视偏见</t>
        </is>
      </c>
      <c r="R307" t="inlineStr">
        <is>
          <t>权利保障与公平正义</t>
        </is>
      </c>
      <c r="S307" t="n">
        <v>2</v>
      </c>
      <c r="T307" t="n">
        <v>1</v>
      </c>
      <c r="U307" t="n">
        <v>0</v>
      </c>
      <c r="V307" t="inlineStr">
        <is>
          <t>否</t>
        </is>
      </c>
      <c r="W307" t="inlineStr">
        <is>
          <t>是</t>
        </is>
      </c>
      <c r="X307" t="inlineStr">
        <is>
          <t>历史导入:快手平台民族团结进步促进法舆情监测_统计修正版.xlsx；来源类型:个人用户；重复:否；待核实:否</t>
        </is>
      </c>
    </row>
    <row r="308">
      <c r="A308" t="inlineStr">
        <is>
          <t>hist-429f64547362c407</t>
        </is>
      </c>
      <c r="B308" s="82" t="n">
        <v>46252.9403587963</v>
      </c>
      <c r="C308" s="82" t="n">
        <v>46208</v>
      </c>
      <c r="D308" t="inlineStr">
        <is>
          <t>快手</t>
        </is>
      </c>
      <c r="E308" t="inlineStr">
        <is>
          <t>快手</t>
        </is>
      </c>
      <c r="F308" t="inlineStr">
        <is>
          <t>软件</t>
        </is>
      </c>
      <c r="G308" t="inlineStr">
        <is>
          <t>何龙</t>
        </is>
      </c>
      <c r="H308" t="inlineStr">
        <is>
          <t>珠三角大部分工厂不要四大名族</t>
        </is>
      </c>
      <c r="I308" t="inlineStr">
        <is>
          <t>https://v.kuaishou.com/KbUsbF4n 7月1日开始实施《民族团结进步促进法》"彝语 "彝族 "民族团结 "民族团结一家亲 该作品在快手被播放过30.6万次，点击链接，打开【快手】直接观看！评论</t>
        </is>
      </c>
      <c r="J308" t="inlineStr">
        <is>
          <t>珠三角</t>
        </is>
      </c>
      <c r="L308" t="inlineStr">
        <is>
          <t>广东</t>
        </is>
      </c>
      <c r="O308" t="inlineStr">
        <is>
          <t>普通话</t>
        </is>
      </c>
      <c r="P308" t="inlineStr">
        <is>
          <t>否</t>
        </is>
      </c>
      <c r="Q308" t="inlineStr">
        <is>
          <t>歧视偏见</t>
        </is>
      </c>
      <c r="R308" t="inlineStr">
        <is>
          <t>权利保障与公平正义</t>
        </is>
      </c>
      <c r="S308" t="n">
        <v>4</v>
      </c>
      <c r="T308" t="n">
        <v>2</v>
      </c>
      <c r="U308" t="n">
        <v>0</v>
      </c>
      <c r="V308" t="inlineStr">
        <is>
          <t>否</t>
        </is>
      </c>
      <c r="W308" t="inlineStr">
        <is>
          <t>是</t>
        </is>
      </c>
      <c r="X308" t="inlineStr">
        <is>
          <t>历史导入:快手平台民族团结进步促进法舆情监测_统计修正版.xlsx；来源类型:个人用户；重复:否；待核实:否</t>
        </is>
      </c>
    </row>
    <row r="309">
      <c r="A309" t="inlineStr">
        <is>
          <t>hist-cdb638a50264f451</t>
        </is>
      </c>
      <c r="B309" s="82" t="n">
        <v>46252.9403587963</v>
      </c>
      <c r="C309" s="82" t="n">
        <v>46228</v>
      </c>
      <c r="D309" t="inlineStr">
        <is>
          <t>快手</t>
        </is>
      </c>
      <c r="E309" t="inlineStr">
        <is>
          <t>快手</t>
        </is>
      </c>
      <c r="F309" t="inlineStr">
        <is>
          <t>软件</t>
        </is>
      </c>
      <c r="G309" t="inlineStr">
        <is>
          <t>平凡的木呷惹</t>
        </is>
      </c>
      <c r="H309" t="inlineStr">
        <is>
          <t>找工作明面上不说不要，你去找工作一听说你是彝族就直接以各种理由不接收你，所以没有办法的，只能改变自身让以后自己的子孙提高素质 和教育文化程度 渐渐在2 30年以后也许就会少一点</t>
        </is>
      </c>
      <c r="I309" t="inlineStr">
        <is>
          <t>https://v.kuaishou.com/KbUsbF4n 7月1日开始实施《民族团结进步促进法》"彝语 "彝族 "民族团结 "民族团结一家亲 该作品在快手被播放过30.6万次，点击链接，打开【快手】直接观看！评论</t>
        </is>
      </c>
      <c r="J309" t="inlineStr">
        <is>
          <t>新疆</t>
        </is>
      </c>
      <c r="L309" t="inlineStr">
        <is>
          <t>新疆</t>
        </is>
      </c>
      <c r="O309" t="inlineStr">
        <is>
          <t>普通话</t>
        </is>
      </c>
      <c r="P309" t="inlineStr">
        <is>
          <t>否</t>
        </is>
      </c>
      <c r="Q309" t="inlineStr">
        <is>
          <t>歧视偏见</t>
        </is>
      </c>
      <c r="R309" t="inlineStr">
        <is>
          <t>权利保障与公平正义</t>
        </is>
      </c>
      <c r="S309" t="n">
        <v>1</v>
      </c>
      <c r="T309" t="n">
        <v>1</v>
      </c>
      <c r="U309" t="n">
        <v>0</v>
      </c>
      <c r="V309" t="inlineStr">
        <is>
          <t>否</t>
        </is>
      </c>
      <c r="W309" t="inlineStr">
        <is>
          <t>是</t>
        </is>
      </c>
      <c r="X309" t="inlineStr">
        <is>
          <t>历史导入:快手平台民族团结进步促进法舆情监测_统计修正版.xlsx；来源类型:个人用户；重复:否；待核实:否</t>
        </is>
      </c>
    </row>
    <row r="310">
      <c r="A310" t="inlineStr">
        <is>
          <t>hist-76e9b2ad93a8b8ca</t>
        </is>
      </c>
      <c r="B310" s="82" t="n">
        <v>46252.9403587963</v>
      </c>
      <c r="C310" s="82" t="n">
        <v>46228</v>
      </c>
      <c r="D310" t="inlineStr">
        <is>
          <t>快手</t>
        </is>
      </c>
      <c r="E310" t="inlineStr">
        <is>
          <t>快手</t>
        </is>
      </c>
      <c r="F310" t="inlineStr">
        <is>
          <t>软件</t>
        </is>
      </c>
      <c r="G310" t="inlineStr">
        <is>
          <t>你的生活我的梦</t>
        </is>
      </c>
      <c r="H310" t="inlineStr">
        <is>
          <t>直接在某个火车站，居然不让我们彝族人住，还理直气壮的说是派出所规定的，你说怎么解？</t>
        </is>
      </c>
      <c r="I310" t="inlineStr">
        <is>
          <t>https://v.kuaishou.com/KbUsbF4n 7月1日开始实施《民族团结进步促进法》"彝语 "彝族 "民族团结 "民族团结一家亲 该作品在快手被播放过30.6万次，点击链接，打开【快手】直接观看！评论</t>
        </is>
      </c>
      <c r="J310" t="inlineStr">
        <is>
          <t>四川</t>
        </is>
      </c>
      <c r="L310" t="inlineStr">
        <is>
          <t>四川</t>
        </is>
      </c>
      <c r="O310" t="inlineStr">
        <is>
          <t>普通话</t>
        </is>
      </c>
      <c r="P310" t="inlineStr">
        <is>
          <t>否</t>
        </is>
      </c>
      <c r="Q310" t="inlineStr">
        <is>
          <t>歧视偏见</t>
        </is>
      </c>
      <c r="R310" t="inlineStr">
        <is>
          <t>权利保障与公平正义</t>
        </is>
      </c>
      <c r="S310" t="n">
        <v>0</v>
      </c>
      <c r="T310" t="n">
        <v>0</v>
      </c>
      <c r="U310" t="n">
        <v>0</v>
      </c>
      <c r="V310" t="inlineStr">
        <is>
          <t>否</t>
        </is>
      </c>
      <c r="W310" t="inlineStr">
        <is>
          <t>是</t>
        </is>
      </c>
      <c r="X310" t="inlineStr">
        <is>
          <t>历史导入:快手平台民族团结进步促进法舆情监测_统计修正版.xlsx；来源类型:个人用户；重复:否；待核实:否</t>
        </is>
      </c>
    </row>
    <row r="311">
      <c r="A311" t="inlineStr">
        <is>
          <t>hist-b0eb9c8688165727</t>
        </is>
      </c>
      <c r="B311" s="82" t="n">
        <v>46252.9403587963</v>
      </c>
      <c r="C311" s="82" t="n">
        <v>46216</v>
      </c>
      <c r="D311" t="inlineStr">
        <is>
          <t>快手</t>
        </is>
      </c>
      <c r="E311" t="inlineStr">
        <is>
          <t>快手</t>
        </is>
      </c>
      <c r="F311" t="inlineStr">
        <is>
          <t>软件</t>
        </is>
      </c>
      <c r="G311" t="inlineStr">
        <is>
          <t>@东先森</t>
        </is>
      </c>
      <c r="H311" t="inlineStr">
        <is>
          <t>一般不会直说，看身份证说招满了，暂时不要了你能怎么办</t>
        </is>
      </c>
      <c r="I311" t="inlineStr">
        <is>
          <t>https://v.kuaishou.com/KbUsbF4n 7月1日开始实施《民族团结进步促进法》"彝语 "彝族 "民族团结 "民族团结一家亲 该作品在快手被播放过30.6万次，点击链接，打开【快手】直接观看！评论</t>
        </is>
      </c>
      <c r="J311" t="inlineStr">
        <is>
          <t>江苏</t>
        </is>
      </c>
      <c r="L311" t="inlineStr">
        <is>
          <t>江苏</t>
        </is>
      </c>
      <c r="O311" t="inlineStr">
        <is>
          <t>普通话</t>
        </is>
      </c>
      <c r="P311" t="inlineStr">
        <is>
          <t>否</t>
        </is>
      </c>
      <c r="Q311" t="inlineStr">
        <is>
          <t>歧视偏见</t>
        </is>
      </c>
      <c r="R311" t="inlineStr">
        <is>
          <t>权利保障与公平正义</t>
        </is>
      </c>
      <c r="S311" t="n">
        <v>0</v>
      </c>
      <c r="T311" t="n">
        <v>0</v>
      </c>
      <c r="U311" t="n">
        <v>0</v>
      </c>
      <c r="V311" t="inlineStr">
        <is>
          <t>否</t>
        </is>
      </c>
      <c r="W311" t="inlineStr">
        <is>
          <t>是</t>
        </is>
      </c>
      <c r="X311" t="inlineStr">
        <is>
          <t>历史导入:快手平台民族团结进步促进法舆情监测_统计修正版.xlsx；来源类型:个人用户；重复:否；待核实:否</t>
        </is>
      </c>
    </row>
    <row r="312">
      <c r="A312" t="inlineStr">
        <is>
          <t>hist-f45f7e0efb4f3b5b</t>
        </is>
      </c>
      <c r="B312" s="82" t="n">
        <v>46252.9403587963</v>
      </c>
      <c r="C312" s="82" t="n">
        <v>46209</v>
      </c>
      <c r="D312" t="inlineStr">
        <is>
          <t>快手</t>
        </is>
      </c>
      <c r="E312" t="inlineStr">
        <is>
          <t>快手</t>
        </is>
      </c>
      <c r="F312" t="inlineStr">
        <is>
          <t>软件</t>
        </is>
      </c>
      <c r="G312" t="inlineStr">
        <is>
          <t>山边大叔627</t>
        </is>
      </c>
      <c r="H312" t="inlineStr">
        <is>
          <t>上个月我在甘肃庆阳工地身份证一看老板说彝族不要就一个班都没上就回去了</t>
        </is>
      </c>
      <c r="I312" t="inlineStr">
        <is>
          <t>https://v.kuaishou.com/KbUsbF4n 7月1日开始实施《民族团结进步促进法》"彝语 "彝族 "民族团结 "民族团结一家亲 该作品在快手被播放过30.6万次，点击链接，打开【快手】直接观看！评论</t>
        </is>
      </c>
      <c r="J312" t="inlineStr">
        <is>
          <t>陕西</t>
        </is>
      </c>
      <c r="L312" t="inlineStr">
        <is>
          <t>陕西</t>
        </is>
      </c>
      <c r="O312" t="inlineStr">
        <is>
          <t>普通话</t>
        </is>
      </c>
      <c r="P312" t="inlineStr">
        <is>
          <t>否</t>
        </is>
      </c>
      <c r="Q312" t="inlineStr">
        <is>
          <t>歧视偏见</t>
        </is>
      </c>
      <c r="R312" t="inlineStr">
        <is>
          <t>权利保障与公平正义</t>
        </is>
      </c>
      <c r="S312" t="n">
        <v>2</v>
      </c>
      <c r="T312" t="n">
        <v>0</v>
      </c>
      <c r="U312" t="n">
        <v>0</v>
      </c>
      <c r="V312" t="inlineStr">
        <is>
          <t>否</t>
        </is>
      </c>
      <c r="W312" t="inlineStr">
        <is>
          <t>是</t>
        </is>
      </c>
      <c r="X312" t="inlineStr">
        <is>
          <t>历史导入:快手平台民族团结进步促进法舆情监测_统计修正版.xlsx；来源类型:个人用户；重复:否；待核实:否</t>
        </is>
      </c>
    </row>
    <row r="313">
      <c r="A313" t="inlineStr">
        <is>
          <t>hist-12d205212822a036</t>
        </is>
      </c>
      <c r="B313" s="82" t="n">
        <v>46252.9403587963</v>
      </c>
      <c r="C313" s="82" t="n">
        <v>46232</v>
      </c>
      <c r="D313" t="inlineStr">
        <is>
          <t>快手</t>
        </is>
      </c>
      <c r="E313" t="inlineStr">
        <is>
          <t>快手</t>
        </is>
      </c>
      <c r="F313" t="inlineStr">
        <is>
          <t>软件</t>
        </is>
      </c>
      <c r="G313" t="inlineStr">
        <is>
          <t>散场随缘走</t>
        </is>
      </c>
      <c r="H313" t="inlineStr">
        <is>
          <t>只是嘴巴说说没用，我都知道好几个公司都不要彝族的 工程都在凉山的</t>
        </is>
      </c>
      <c r="I313" t="inlineStr">
        <is>
          <t>https://v.kuaishou.com/KbUsbF4n 7月1日开始实施《民族团结进步促进法》"彝语 "彝族 "民族团结 "民族团结一家亲 该作品在快手被播放过30.6万次，点击链接，打开【快手】直接观看！评论</t>
        </is>
      </c>
      <c r="J313" t="inlineStr">
        <is>
          <t>四川</t>
        </is>
      </c>
      <c r="L313" t="inlineStr">
        <is>
          <t>四川</t>
        </is>
      </c>
      <c r="O313" t="inlineStr">
        <is>
          <t>普通话</t>
        </is>
      </c>
      <c r="P313" t="inlineStr">
        <is>
          <t>否</t>
        </is>
      </c>
      <c r="Q313" t="inlineStr">
        <is>
          <t>实施问题</t>
        </is>
      </c>
      <c r="R313" t="inlineStr">
        <is>
          <t>权利保障与公平正义</t>
        </is>
      </c>
      <c r="S313" t="n">
        <v>0</v>
      </c>
      <c r="T313" t="n">
        <v>0</v>
      </c>
      <c r="U313" t="n">
        <v>0</v>
      </c>
      <c r="V313" t="inlineStr">
        <is>
          <t>否</t>
        </is>
      </c>
      <c r="W313" t="inlineStr">
        <is>
          <t>是</t>
        </is>
      </c>
      <c r="X313" t="inlineStr">
        <is>
          <t>历史导入:快手平台民族团结进步促进法舆情监测_统计修正版.xlsx；来源类型:个人用户；重复:否；待核实:否</t>
        </is>
      </c>
    </row>
    <row r="314">
      <c r="A314" t="inlineStr">
        <is>
          <t>hist-b3dd2126857ed43e</t>
        </is>
      </c>
      <c r="B314" s="82" t="n">
        <v>46252.9403587963</v>
      </c>
      <c r="C314" s="82" t="n">
        <v>46210</v>
      </c>
      <c r="D314" t="inlineStr">
        <is>
          <t>快手</t>
        </is>
      </c>
      <c r="E314" t="inlineStr">
        <is>
          <t>快手</t>
        </is>
      </c>
      <c r="F314" t="inlineStr">
        <is>
          <t>软件</t>
        </is>
      </c>
      <c r="G314" t="inlineStr">
        <is>
          <t>马金华344</t>
        </is>
      </c>
      <c r="H314" t="inlineStr">
        <is>
          <t>公司秘密招人，一看身份证就彝族人，就是说临时不招，到时候招人了通知你们，这句话就完了</t>
        </is>
      </c>
      <c r="I314" t="inlineStr">
        <is>
          <t>https://v.kuaishou.com/KbUsbF4n 7月1日开始实施《民族团结进步促进法》"彝语 "彝族 "民族团结 "民族团结一家亲 该作品在快手被播放过30.6万次，点击链接，打开【快手】直接观看！评论</t>
        </is>
      </c>
      <c r="J314" t="inlineStr">
        <is>
          <t>四川</t>
        </is>
      </c>
      <c r="L314" t="inlineStr">
        <is>
          <t>四川</t>
        </is>
      </c>
      <c r="O314" t="inlineStr">
        <is>
          <t>普通话</t>
        </is>
      </c>
      <c r="P314" t="inlineStr">
        <is>
          <t>否</t>
        </is>
      </c>
      <c r="Q314" t="inlineStr">
        <is>
          <t>歧视偏见</t>
        </is>
      </c>
      <c r="R314" t="inlineStr">
        <is>
          <t>权利保障与公平正义</t>
        </is>
      </c>
      <c r="S314" t="n">
        <v>1</v>
      </c>
      <c r="T314" t="n">
        <v>0</v>
      </c>
      <c r="U314" t="n">
        <v>0</v>
      </c>
      <c r="V314" t="inlineStr">
        <is>
          <t>否</t>
        </is>
      </c>
      <c r="W314" t="inlineStr">
        <is>
          <t>是</t>
        </is>
      </c>
      <c r="X314" t="inlineStr">
        <is>
          <t>历史导入:快手平台民族团结进步促进法舆情监测_统计修正版.xlsx；来源类型:个人用户；重复:否；待核实:否</t>
        </is>
      </c>
    </row>
    <row r="315">
      <c r="A315" t="inlineStr">
        <is>
          <t>hist-32483d22eb1ebbe9</t>
        </is>
      </c>
      <c r="B315" s="82" t="n">
        <v>46252.9403587963</v>
      </c>
      <c r="C315" s="82" t="n">
        <v>46229</v>
      </c>
      <c r="D315" t="inlineStr">
        <is>
          <t>快手</t>
        </is>
      </c>
      <c r="E315" t="inlineStr">
        <is>
          <t>快手</t>
        </is>
      </c>
      <c r="F315" t="inlineStr">
        <is>
          <t>软件</t>
        </is>
      </c>
      <c r="G315" t="inlineStr">
        <is>
          <t>圣洁波忍</t>
        </is>
      </c>
      <c r="H315" t="inlineStr">
        <is>
          <t>我也是彝族是诺苏来自云南。但广东这边找工作他都要我，她们说只是不要四川大凉山的彝族。</t>
        </is>
      </c>
      <c r="I315" t="inlineStr">
        <is>
          <t>https://v.kuaishou.com/KbUsbF4n 7月1日开始实施《民族团结进步促进法》"彝语 "彝族 "民族团结 "民族团结一家亲 该作品在快手被播放过30.6万次，点击链接，打开【快手】直接观看！评论</t>
        </is>
      </c>
      <c r="J315" t="inlineStr">
        <is>
          <t>广东</t>
        </is>
      </c>
      <c r="L315" t="inlineStr">
        <is>
          <t>广东</t>
        </is>
      </c>
      <c r="O315" t="inlineStr">
        <is>
          <t>普通话</t>
        </is>
      </c>
      <c r="P315" t="inlineStr">
        <is>
          <t>否</t>
        </is>
      </c>
      <c r="Q315" t="inlineStr">
        <is>
          <t>歧视偏见</t>
        </is>
      </c>
      <c r="R315" t="inlineStr">
        <is>
          <t>权利保障与公平正义</t>
        </is>
      </c>
      <c r="S315" t="n">
        <v>0</v>
      </c>
      <c r="T315" t="n">
        <v>0</v>
      </c>
      <c r="U315" t="n">
        <v>0</v>
      </c>
      <c r="V315" t="inlineStr">
        <is>
          <t>否</t>
        </is>
      </c>
      <c r="W315" t="inlineStr">
        <is>
          <t>是</t>
        </is>
      </c>
      <c r="X315" t="inlineStr">
        <is>
          <t>历史导入:快手平台民族团结进步促进法舆情监测_统计修正版.xlsx；来源类型:个人用户；重复:否；待核实:否</t>
        </is>
      </c>
    </row>
    <row r="316">
      <c r="A316" t="inlineStr">
        <is>
          <t>hist-7b85fcbecbf1a298</t>
        </is>
      </c>
      <c r="B316" s="82" t="n">
        <v>46252.9403587963</v>
      </c>
      <c r="C316" s="82" t="n">
        <v>46211</v>
      </c>
      <c r="D316" t="inlineStr">
        <is>
          <t>快手</t>
        </is>
      </c>
      <c r="E316" t="inlineStr">
        <is>
          <t>快手</t>
        </is>
      </c>
      <c r="F316" t="inlineStr">
        <is>
          <t>软件</t>
        </is>
      </c>
      <c r="G316" t="inlineStr">
        <is>
          <t>白泽宇</t>
        </is>
      </c>
      <c r="H316" t="inlineStr">
        <is>
          <t>浙江我这个公司现在说不要彝族人了，</t>
        </is>
      </c>
      <c r="I316" t="inlineStr">
        <is>
          <t>https://v.kuaishou.com/KbUsbF4n 7月1日开始实施《民族团结进步促进法》"彝语 "彝族 "民族团结 "民族团结一家亲 该作品在快手被播放过30.6万次，点击链接，打开【快手】直接观看！评论</t>
        </is>
      </c>
      <c r="J316" t="inlineStr">
        <is>
          <t>浙江</t>
        </is>
      </c>
      <c r="L316" t="inlineStr">
        <is>
          <t>浙江</t>
        </is>
      </c>
      <c r="O316" t="inlineStr">
        <is>
          <t>普通话</t>
        </is>
      </c>
      <c r="P316" t="inlineStr">
        <is>
          <t>否</t>
        </is>
      </c>
      <c r="Q316" t="inlineStr">
        <is>
          <t>歧视偏见</t>
        </is>
      </c>
      <c r="R316" t="inlineStr">
        <is>
          <t>权利保障与公平正义</t>
        </is>
      </c>
      <c r="S316" t="n">
        <v>0</v>
      </c>
      <c r="T316" t="n">
        <v>0</v>
      </c>
      <c r="U316" t="n">
        <v>0</v>
      </c>
      <c r="V316" t="inlineStr">
        <is>
          <t>否</t>
        </is>
      </c>
      <c r="W316" t="inlineStr">
        <is>
          <t>是</t>
        </is>
      </c>
      <c r="X316" t="inlineStr">
        <is>
          <t>历史导入:快手平台民族团结进步促进法舆情监测_统计修正版.xlsx；来源类型:个人用户；重复:否；待核实:否</t>
        </is>
      </c>
    </row>
    <row r="317">
      <c r="A317" t="inlineStr">
        <is>
          <t>hist-b042f6555ab755f5</t>
        </is>
      </c>
      <c r="B317" s="82" t="n">
        <v>46252.9403587963</v>
      </c>
      <c r="C317" s="82" t="n">
        <v>46210</v>
      </c>
      <c r="D317" t="inlineStr">
        <is>
          <t>快手</t>
        </is>
      </c>
      <c r="E317" t="inlineStr">
        <is>
          <t>快手</t>
        </is>
      </c>
      <c r="F317" t="inlineStr">
        <is>
          <t>软件</t>
        </is>
      </c>
      <c r="G317" t="inlineStr">
        <is>
          <t>平淡人生</t>
        </is>
      </c>
      <c r="H317" t="inlineStr">
        <is>
          <t>有的企业故意破坏民族团结的应该严惩</t>
        </is>
      </c>
      <c r="I317" t="inlineStr">
        <is>
          <t>https://v.kuaishou.com/KbUsbF4n 7月1日开始实施《民族团结进步促进法》"彝语 "彝族 "民族团结 "民族团结一家亲 该作品在快手被播放过30.6万次，点击链接，打开【快手】直接观看！评论</t>
        </is>
      </c>
      <c r="J317" t="inlineStr">
        <is>
          <t>安徽</t>
        </is>
      </c>
      <c r="L317" t="inlineStr">
        <is>
          <t>安徽</t>
        </is>
      </c>
      <c r="O317" t="inlineStr">
        <is>
          <t>普通话</t>
        </is>
      </c>
      <c r="P317" t="inlineStr">
        <is>
          <t>否</t>
        </is>
      </c>
      <c r="Q317" t="inlineStr">
        <is>
          <t>实施问题</t>
        </is>
      </c>
      <c r="R317" t="inlineStr">
        <is>
          <t>权利保障与公平正义</t>
        </is>
      </c>
      <c r="S317" t="n">
        <v>0</v>
      </c>
      <c r="T317" t="n">
        <v>0</v>
      </c>
      <c r="U317" t="n">
        <v>0</v>
      </c>
      <c r="V317" t="inlineStr">
        <is>
          <t>否</t>
        </is>
      </c>
      <c r="W317" t="inlineStr">
        <is>
          <t>是</t>
        </is>
      </c>
      <c r="X317" t="inlineStr">
        <is>
          <t>历史导入:快手平台民族团结进步促进法舆情监测_统计修正版.xlsx；来源类型:个人用户；重复:否；待核实:否</t>
        </is>
      </c>
    </row>
    <row r="318">
      <c r="A318" t="inlineStr">
        <is>
          <t>hist-fc14c3ddf5d6d4e7</t>
        </is>
      </c>
      <c r="B318" s="82" t="n">
        <v>46252.9403587963</v>
      </c>
      <c r="C318" s="82" t="n">
        <v>46209</v>
      </c>
      <c r="D318" t="inlineStr">
        <is>
          <t>快手</t>
        </is>
      </c>
      <c r="E318" t="inlineStr">
        <is>
          <t>快手</t>
        </is>
      </c>
      <c r="F318" t="inlineStr">
        <is>
          <t>软件</t>
        </is>
      </c>
      <c r="G318" t="inlineStr">
        <is>
          <t>罗杰</t>
        </is>
      </c>
      <c r="H318" t="inlineStr">
        <is>
          <t>很多公司不要彝族人</t>
        </is>
      </c>
      <c r="I318" t="inlineStr">
        <is>
          <t>https://v.kuaishou.com/KbUsbF4n 7月1日开始实施《民族团结进步促进法》"彝语 "彝族 "民族团结 "民族团结一家亲 该作品在快手被播放过30.6万次，点击链接，打开【快手】直接观看！评论</t>
        </is>
      </c>
      <c r="J318" t="inlineStr">
        <is>
          <t>四川</t>
        </is>
      </c>
      <c r="L318" t="inlineStr">
        <is>
          <t>四川</t>
        </is>
      </c>
      <c r="O318" t="inlineStr">
        <is>
          <t>普通话</t>
        </is>
      </c>
      <c r="P318" t="inlineStr">
        <is>
          <t>否</t>
        </is>
      </c>
      <c r="Q318" t="inlineStr">
        <is>
          <t>歧视偏见</t>
        </is>
      </c>
      <c r="R318" t="inlineStr">
        <is>
          <t>权利保障与公平正义</t>
        </is>
      </c>
      <c r="S318" t="n">
        <v>0</v>
      </c>
      <c r="T318" t="n">
        <v>0</v>
      </c>
      <c r="U318" t="n">
        <v>0</v>
      </c>
      <c r="V318" t="inlineStr">
        <is>
          <t>否</t>
        </is>
      </c>
      <c r="W318" t="inlineStr">
        <is>
          <t>是</t>
        </is>
      </c>
      <c r="X318" t="inlineStr">
        <is>
          <t>历史导入:快手平台民族团结进步促进法舆情监测_统计修正版.xlsx；来源类型:个人用户；重复:否；待核实:否</t>
        </is>
      </c>
    </row>
    <row r="319">
      <c r="A319" t="inlineStr">
        <is>
          <t>hist-784ac99c5bc9fbbc</t>
        </is>
      </c>
      <c r="B319" s="82" t="n">
        <v>46252.9403587963</v>
      </c>
      <c r="C319" s="82" t="n">
        <v>46208</v>
      </c>
      <c r="D319" t="inlineStr">
        <is>
          <t>快手</t>
        </is>
      </c>
      <c r="E319" t="inlineStr">
        <is>
          <t>快手</t>
        </is>
      </c>
      <c r="F319" t="inlineStr">
        <is>
          <t>软件</t>
        </is>
      </c>
      <c r="G319" t="inlineStr">
        <is>
          <t>阿赤风帅</t>
        </is>
      </c>
      <c r="H319" t="inlineStr">
        <is>
          <t>不应该去怪别人 而是自我反省为什么被拒绝，我们诺苏一些年轻人素质教育需要改变</t>
        </is>
      </c>
      <c r="I319" t="inlineStr">
        <is>
          <t>https://v.kuaishou.com/KbUsbF4n 7月1日开始实施《民族团结进步促进法》"彝语 "彝族 "民族团结 "民族团结一家亲 该作品在快手被播放过30.6万次，点击链接，打开【快手】直接观看！评论</t>
        </is>
      </c>
      <c r="J319" t="inlineStr">
        <is>
          <t>浙江</t>
        </is>
      </c>
      <c r="L319" t="inlineStr">
        <is>
          <t>浙江</t>
        </is>
      </c>
      <c r="O319" t="inlineStr">
        <is>
          <t>普通话</t>
        </is>
      </c>
      <c r="P319" t="inlineStr">
        <is>
          <t>否</t>
        </is>
      </c>
      <c r="Q319" t="inlineStr">
        <is>
          <t>中性信息</t>
        </is>
      </c>
      <c r="R319" t="inlineStr">
        <is>
          <t>权利保障与公平正义</t>
        </is>
      </c>
      <c r="S319" t="n">
        <v>1</v>
      </c>
      <c r="T319" t="n">
        <v>0</v>
      </c>
      <c r="U319" t="n">
        <v>0</v>
      </c>
      <c r="V319" t="inlineStr">
        <is>
          <t>否</t>
        </is>
      </c>
      <c r="W319" t="inlineStr">
        <is>
          <t>是</t>
        </is>
      </c>
      <c r="X319" t="inlineStr">
        <is>
          <t>历史导入:快手平台民族团结进步促进法舆情监测_统计修正版.xlsx；来源类型:个人用户；重复:否；待核实:否</t>
        </is>
      </c>
    </row>
    <row r="320">
      <c r="A320" t="inlineStr">
        <is>
          <t>hist-658752f60acb4ced</t>
        </is>
      </c>
      <c r="B320" s="82" t="n">
        <v>46252.9403587963</v>
      </c>
      <c r="C320" s="82" t="n">
        <v>46208</v>
      </c>
      <c r="D320" t="inlineStr">
        <is>
          <t>快手</t>
        </is>
      </c>
      <c r="E320" t="inlineStr">
        <is>
          <t>快手</t>
        </is>
      </c>
      <c r="F320" t="inlineStr">
        <is>
          <t>软件</t>
        </is>
      </c>
      <c r="G320" t="inlineStr">
        <is>
          <t>@七少🙏🙏</t>
        </is>
      </c>
      <c r="H320" t="inlineStr">
        <is>
          <t>白搭的 ，，人家又不会直接说 不要彝族啥的</t>
        </is>
      </c>
      <c r="I320" t="inlineStr">
        <is>
          <t>https://v.kuaishou.com/KbUsbF4n 7月1日开始实施《民族团结进步促进法》"彝语 "彝族 "民族团结 "民族团结一家亲 该作品在快手被播放过30.6万次，点击链接，打开【快手】直接观看！评论</t>
        </is>
      </c>
      <c r="J320" t="inlineStr">
        <is>
          <t>四川</t>
        </is>
      </c>
      <c r="L320" t="inlineStr">
        <is>
          <t>四川</t>
        </is>
      </c>
      <c r="O320" t="inlineStr">
        <is>
          <t>普通话</t>
        </is>
      </c>
      <c r="P320" t="inlineStr">
        <is>
          <t>否</t>
        </is>
      </c>
      <c r="Q320" t="inlineStr">
        <is>
          <t>歧视偏见</t>
        </is>
      </c>
      <c r="R320" t="inlineStr">
        <is>
          <t>权利保障与公平正义</t>
        </is>
      </c>
      <c r="S320" t="n">
        <v>0</v>
      </c>
      <c r="T320" t="n">
        <v>0</v>
      </c>
      <c r="U320" t="n">
        <v>0</v>
      </c>
      <c r="V320" t="inlineStr">
        <is>
          <t>否</t>
        </is>
      </c>
      <c r="W320" t="inlineStr">
        <is>
          <t>是</t>
        </is>
      </c>
      <c r="X320" t="inlineStr">
        <is>
          <t>历史导入:快手平台民族团结进步促进法舆情监测_统计修正版.xlsx；来源类型:个人用户；重复:否；待核实:否</t>
        </is>
      </c>
    </row>
    <row r="321">
      <c r="A321" t="inlineStr">
        <is>
          <t>hist-a4ef346d764a1e9f</t>
        </is>
      </c>
      <c r="B321" s="82" t="n">
        <v>46252.9403587963</v>
      </c>
      <c r="C321" s="82" t="n">
        <v>46208</v>
      </c>
      <c r="D321" t="inlineStr">
        <is>
          <t>快手</t>
        </is>
      </c>
      <c r="E321" t="inlineStr">
        <is>
          <t>快手</t>
        </is>
      </c>
      <c r="F321" t="inlineStr">
        <is>
          <t>软件</t>
        </is>
      </c>
      <c r="G321" t="inlineStr">
        <is>
          <t>何～～</t>
        </is>
      </c>
      <c r="H321" t="inlineStr">
        <is>
          <t>我都告了3年了！根本没人管</t>
        </is>
      </c>
      <c r="I321" t="inlineStr">
        <is>
          <t>https://v.kuaishou.com/KbUsbF4n 7月1日开始实施《民族团结进步促进法》"彝语 "彝族 "民族团结 "民族团结一家亲 该作品在快手被播放过30.6万次，点击链接，打开【快手】直接观看！评论</t>
        </is>
      </c>
      <c r="J321" t="inlineStr">
        <is>
          <t>四川</t>
        </is>
      </c>
      <c r="L321" t="inlineStr">
        <is>
          <t>四川</t>
        </is>
      </c>
      <c r="O321" t="inlineStr">
        <is>
          <t>普通话</t>
        </is>
      </c>
      <c r="P321" t="inlineStr">
        <is>
          <t>否</t>
        </is>
      </c>
      <c r="Q321" t="inlineStr">
        <is>
          <t>投诉维权</t>
        </is>
      </c>
      <c r="R321" t="inlineStr">
        <is>
          <t>权利保障与公平正义</t>
        </is>
      </c>
      <c r="S321" t="n">
        <v>0</v>
      </c>
      <c r="T321" t="n">
        <v>0</v>
      </c>
      <c r="U321" t="n">
        <v>0</v>
      </c>
      <c r="V321" t="inlineStr">
        <is>
          <t>否</t>
        </is>
      </c>
      <c r="W321" t="inlineStr">
        <is>
          <t>是</t>
        </is>
      </c>
      <c r="X321" t="inlineStr">
        <is>
          <t>历史导入:快手平台民族团结进步促进法舆情监测_统计修正版.xlsx；来源类型:个人用户；重复:否；待核实:否</t>
        </is>
      </c>
    </row>
    <row r="322">
      <c r="A322" t="inlineStr">
        <is>
          <t>hist-d226d9f302a067c5</t>
        </is>
      </c>
      <c r="B322" s="82" t="n">
        <v>46252.9403587963</v>
      </c>
      <c r="C322" s="82" t="n">
        <v>46208</v>
      </c>
      <c r="D322" t="inlineStr">
        <is>
          <t>快手</t>
        </is>
      </c>
      <c r="E322" t="inlineStr">
        <is>
          <t>快手</t>
        </is>
      </c>
      <c r="F322" t="inlineStr">
        <is>
          <t>软件</t>
        </is>
      </c>
      <c r="G322" t="inlineStr">
        <is>
          <t>彝家游子</t>
        </is>
      </c>
      <c r="H322" t="inlineStr">
        <is>
          <t>没用。人家看了你的身份证以后才说各种各样的理由拒绝你</t>
        </is>
      </c>
      <c r="I322" t="inlineStr">
        <is>
          <t>https://v.kuaishou.com/KbUsbF4n 7月1日开始实施《民族团结进步促进法》"彝语 "彝族 "民族团结 "民族团结一家亲 该作品在快手被播放过30.6万次，点击链接，打开【快手】直接观看！评论</t>
        </is>
      </c>
      <c r="J322" t="inlineStr">
        <is>
          <t>四川</t>
        </is>
      </c>
      <c r="L322" t="inlineStr">
        <is>
          <t>四川</t>
        </is>
      </c>
      <c r="O322" t="inlineStr">
        <is>
          <t>普通话</t>
        </is>
      </c>
      <c r="P322" t="inlineStr">
        <is>
          <t>否</t>
        </is>
      </c>
      <c r="Q322" t="inlineStr">
        <is>
          <t>歧视偏见</t>
        </is>
      </c>
      <c r="R322" t="inlineStr">
        <is>
          <t>权利保障与公平正义</t>
        </is>
      </c>
      <c r="S322" t="n">
        <v>0</v>
      </c>
      <c r="T322" t="n">
        <v>0</v>
      </c>
      <c r="U322" t="n">
        <v>0</v>
      </c>
      <c r="V322" t="inlineStr">
        <is>
          <t>否</t>
        </is>
      </c>
      <c r="W322" t="inlineStr">
        <is>
          <t>是</t>
        </is>
      </c>
      <c r="X322" t="inlineStr">
        <is>
          <t>历史导入:快手平台民族团结进步促进法舆情监测_统计修正版.xlsx；来源类型:个人用户；重复:否；待核实:否</t>
        </is>
      </c>
    </row>
    <row r="323">
      <c r="A323" t="inlineStr">
        <is>
          <t>hist-5e7f7b2dd62d89f5</t>
        </is>
      </c>
      <c r="B323" s="82" t="n">
        <v>46252.9403587963</v>
      </c>
      <c r="C323" s="82" t="n">
        <v>46208</v>
      </c>
      <c r="D323" t="inlineStr">
        <is>
          <t>快手</t>
        </is>
      </c>
      <c r="E323" t="inlineStr">
        <is>
          <t>快手</t>
        </is>
      </c>
      <c r="F323" t="inlineStr">
        <is>
          <t>软件</t>
        </is>
      </c>
      <c r="G323" t="inlineStr">
        <is>
          <t>凌晨《268》</t>
        </is>
      </c>
      <c r="H323" t="inlineStr">
        <is>
          <t>不是你说了算，四川是彝族最多的，连成都都不要彝族人，😂😂😂😂</t>
        </is>
      </c>
      <c r="I323" t="inlineStr">
        <is>
          <t>https://v.kuaishou.com/KbUsbF4n 7月1日开始实施《民族团结进步促进法》"彝语 "彝族 "民族团结 "民族团结一家亲 该作品在快手被播放过30.6万次，点击链接，打开【快手】直接观看！评论</t>
        </is>
      </c>
      <c r="J323" t="inlineStr">
        <is>
          <t>四川</t>
        </is>
      </c>
      <c r="L323" t="inlineStr">
        <is>
          <t>四川</t>
        </is>
      </c>
      <c r="O323" t="inlineStr">
        <is>
          <t>普通话</t>
        </is>
      </c>
      <c r="P323" t="inlineStr">
        <is>
          <t>否</t>
        </is>
      </c>
      <c r="Q323" t="inlineStr">
        <is>
          <t>歧视偏见</t>
        </is>
      </c>
      <c r="R323" t="inlineStr">
        <is>
          <t>权利保障与公平正义</t>
        </is>
      </c>
      <c r="S323" t="n">
        <v>0</v>
      </c>
      <c r="T323" t="n">
        <v>0</v>
      </c>
      <c r="U323" t="n">
        <v>0</v>
      </c>
      <c r="V323" t="inlineStr">
        <is>
          <t>否</t>
        </is>
      </c>
      <c r="W323" t="inlineStr">
        <is>
          <t>是</t>
        </is>
      </c>
      <c r="X323" t="inlineStr">
        <is>
          <t>历史导入:快手平台民族团结进步促进法舆情监测_统计修正版.xlsx；来源类型:个人用户；重复:否；待核实:否</t>
        </is>
      </c>
    </row>
    <row r="324">
      <c r="A324" t="inlineStr">
        <is>
          <t>hist-0b4a4a29c278b52b</t>
        </is>
      </c>
      <c r="B324" s="82" t="n">
        <v>46252.9403587963</v>
      </c>
      <c r="C324" s="82" t="n">
        <v>46208</v>
      </c>
      <c r="D324" t="inlineStr">
        <is>
          <t>快手</t>
        </is>
      </c>
      <c r="E324" t="inlineStr">
        <is>
          <t>快手</t>
        </is>
      </c>
      <c r="F324" t="inlineStr">
        <is>
          <t>软件</t>
        </is>
      </c>
      <c r="G324" t="inlineStr">
        <is>
          <t>Mr. Fu。</t>
        </is>
      </c>
      <c r="H324" t="inlineStr">
        <is>
          <t>算了，这样话不要出来讲了😂大企业都不要你不信我带你去😂</t>
        </is>
      </c>
      <c r="I324" t="inlineStr">
        <is>
          <t>https://v.kuaishou.com/KbUsbF4n 7月1日开始实施《民族团结进步促进法》"彝语 "彝族 "民族团结 "民族团结一家亲 该作品在快手被播放过30.6万次，点击链接，打开【快手】直接观看！评论</t>
        </is>
      </c>
      <c r="J324" t="inlineStr">
        <is>
          <t>江苏</t>
        </is>
      </c>
      <c r="L324" t="inlineStr">
        <is>
          <t>江苏</t>
        </is>
      </c>
      <c r="O324" t="inlineStr">
        <is>
          <t>普通话</t>
        </is>
      </c>
      <c r="P324" t="inlineStr">
        <is>
          <t>否</t>
        </is>
      </c>
      <c r="Q324" t="inlineStr">
        <is>
          <t>歧视偏见</t>
        </is>
      </c>
      <c r="R324" t="inlineStr">
        <is>
          <t>权利保障与公平正义</t>
        </is>
      </c>
      <c r="S324" t="n">
        <v>0</v>
      </c>
      <c r="T324" t="n">
        <v>0</v>
      </c>
      <c r="U324" t="n">
        <v>0</v>
      </c>
      <c r="V324" t="inlineStr">
        <is>
          <t>否</t>
        </is>
      </c>
      <c r="W324" t="inlineStr">
        <is>
          <t>是</t>
        </is>
      </c>
      <c r="X324" t="inlineStr">
        <is>
          <t>历史导入:快手平台民族团结进步促进法舆情监测_统计修正版.xlsx；来源类型:个人用户；重复:否；待核实:否</t>
        </is>
      </c>
    </row>
    <row r="325">
      <c r="A325" t="inlineStr">
        <is>
          <t>hist-d81612ce1ec6c631</t>
        </is>
      </c>
      <c r="B325" s="82" t="n">
        <v>46252.9403587963</v>
      </c>
      <c r="C325" s="82" t="n">
        <v>46208</v>
      </c>
      <c r="D325" t="inlineStr">
        <is>
          <t>快手</t>
        </is>
      </c>
      <c r="E325" t="inlineStr">
        <is>
          <t>快手</t>
        </is>
      </c>
      <c r="F325" t="inlineStr">
        <is>
          <t>软件</t>
        </is>
      </c>
      <c r="G325" t="inlineStr">
        <is>
          <t>Mazibu</t>
        </is>
      </c>
      <c r="H325" t="inlineStr">
        <is>
          <t>那也没有办法去面试的时候一说是四川的，直接给你找各种理由了不是说人满了就是招满了</t>
        </is>
      </c>
      <c r="I325" t="inlineStr">
        <is>
          <t>https://v.kuaishou.com/KbUsbF4n 7月1日开始实施《民族团结进步促进法》"彝语 "彝族 "民族团结 "民族团结一家亲 该作品在快手被播放过30.6万次，点击链接，打开【快手】直接观看！评论</t>
        </is>
      </c>
      <c r="J325" t="inlineStr">
        <is>
          <t>安徽</t>
        </is>
      </c>
      <c r="L325" t="inlineStr">
        <is>
          <t>安徽</t>
        </is>
      </c>
      <c r="O325" t="inlineStr">
        <is>
          <t>普通话</t>
        </is>
      </c>
      <c r="P325" t="inlineStr">
        <is>
          <t>否</t>
        </is>
      </c>
      <c r="Q325" t="inlineStr">
        <is>
          <t>歧视偏见</t>
        </is>
      </c>
      <c r="R325" t="inlineStr">
        <is>
          <t>权利保障与公平正义</t>
        </is>
      </c>
      <c r="S325" t="n">
        <v>0</v>
      </c>
      <c r="T325" t="n">
        <v>0</v>
      </c>
      <c r="U325" t="n">
        <v>0</v>
      </c>
      <c r="V325" t="inlineStr">
        <is>
          <t>否</t>
        </is>
      </c>
      <c r="W325" t="inlineStr">
        <is>
          <t>是</t>
        </is>
      </c>
      <c r="X325" t="inlineStr">
        <is>
          <t>历史导入:快手平台民族团结进步促进法舆情监测_统计修正版.xlsx；来源类型:个人用户；重复:否；待核实:否</t>
        </is>
      </c>
    </row>
    <row r="326">
      <c r="A326" t="inlineStr">
        <is>
          <t>hist-dc5f9ca7885cf8af</t>
        </is>
      </c>
      <c r="B326" s="82" t="n">
        <v>46252.9403587963</v>
      </c>
      <c r="C326" s="82" t="n">
        <v>46208</v>
      </c>
      <c r="D326" t="inlineStr">
        <is>
          <t>快手</t>
        </is>
      </c>
      <c r="E326" t="inlineStr">
        <is>
          <t>快手</t>
        </is>
      </c>
      <c r="F326" t="inlineStr">
        <is>
          <t>软件</t>
        </is>
      </c>
      <c r="G326" t="inlineStr">
        <is>
          <t>ꆈꌠ索玛先生</t>
        </is>
      </c>
      <c r="H326" t="inlineStr">
        <is>
          <t>反正彝族找工作好难老是不要，感觉打工都打不下去了，</t>
        </is>
      </c>
      <c r="I326" t="inlineStr">
        <is>
          <t>https://v.kuaishou.com/KbUsbF4n 7月1日开始实施《民族团结进步促进法》"彝语 "彝族 "民族团结 "民族团结一家亲 该作品在快手被播放过30.6万次，点击链接，打开【快手】直接观看！评论</t>
        </is>
      </c>
      <c r="J326" t="inlineStr">
        <is>
          <t>江苏</t>
        </is>
      </c>
      <c r="L326" t="inlineStr">
        <is>
          <t>江苏</t>
        </is>
      </c>
      <c r="O326" t="inlineStr">
        <is>
          <t>普通话</t>
        </is>
      </c>
      <c r="P326" t="inlineStr">
        <is>
          <t>否</t>
        </is>
      </c>
      <c r="Q326" t="inlineStr">
        <is>
          <t>歧视偏见</t>
        </is>
      </c>
      <c r="R326" t="inlineStr">
        <is>
          <t>权利保障与公平正义</t>
        </is>
      </c>
      <c r="S326" t="n">
        <v>0</v>
      </c>
      <c r="T326" t="n">
        <v>0</v>
      </c>
      <c r="U326" t="n">
        <v>0</v>
      </c>
      <c r="V326" t="inlineStr">
        <is>
          <t>否</t>
        </is>
      </c>
      <c r="W326" t="inlineStr">
        <is>
          <t>是</t>
        </is>
      </c>
      <c r="X326" t="inlineStr">
        <is>
          <t>历史导入:快手平台民族团结进步促进法舆情监测_统计修正版.xlsx；来源类型:个人用户；重复:否；待核实:否</t>
        </is>
      </c>
    </row>
    <row r="327">
      <c r="A327" t="inlineStr">
        <is>
          <t>hist-2c11f9f6d3d44cdc</t>
        </is>
      </c>
      <c r="B327" s="82" t="n">
        <v>46252.9403587963</v>
      </c>
      <c r="C327" s="82" t="n">
        <v>46208</v>
      </c>
      <c r="D327" t="inlineStr">
        <is>
          <t>快手</t>
        </is>
      </c>
      <c r="E327" t="inlineStr">
        <is>
          <t>快手</t>
        </is>
      </c>
      <c r="F327" t="inlineStr">
        <is>
          <t>软件</t>
        </is>
      </c>
      <c r="G327" t="inlineStr">
        <is>
          <t>西南-马向阳</t>
        </is>
      </c>
      <c r="H327" t="inlineStr">
        <is>
          <t>公司老板都嫌弃彝族工难</t>
        </is>
      </c>
      <c r="I327" t="inlineStr">
        <is>
          <t>https://v.kuaishou.com/KbUsbF4n 7月1日开始实施《民族团结进步促进法》"彝语 "彝族 "民族团结 "民族团结一家亲 该作品在快手被播放过30.6万次，点击链接，打开【快手】直接观看！评论</t>
        </is>
      </c>
      <c r="J327" t="inlineStr">
        <is>
          <t>浙江</t>
        </is>
      </c>
      <c r="L327" t="inlineStr">
        <is>
          <t>浙江</t>
        </is>
      </c>
      <c r="O327" t="inlineStr">
        <is>
          <t>普通话</t>
        </is>
      </c>
      <c r="P327" t="inlineStr">
        <is>
          <t>否</t>
        </is>
      </c>
      <c r="Q327" t="inlineStr">
        <is>
          <t>歧视偏见</t>
        </is>
      </c>
      <c r="R327" t="inlineStr">
        <is>
          <t>权利保障与公平正义</t>
        </is>
      </c>
      <c r="S327" t="n">
        <v>0</v>
      </c>
      <c r="T327" t="n">
        <v>0</v>
      </c>
      <c r="U327" t="n">
        <v>0</v>
      </c>
      <c r="V327" t="inlineStr">
        <is>
          <t>否</t>
        </is>
      </c>
      <c r="W327" t="inlineStr">
        <is>
          <t>是</t>
        </is>
      </c>
      <c r="X327" t="inlineStr">
        <is>
          <t>历史导入:快手平台民族团结进步促进法舆情监测_统计修正版.xlsx；来源类型:个人用户；重复:否；待核实:否</t>
        </is>
      </c>
    </row>
    <row r="328">
      <c r="A328" t="inlineStr">
        <is>
          <t>hist-907a414328a5ba79</t>
        </is>
      </c>
      <c r="B328" s="82" t="n">
        <v>46252.9403587963</v>
      </c>
      <c r="C328" s="82" t="n">
        <v>46208</v>
      </c>
      <c r="D328" t="inlineStr">
        <is>
          <t>快手</t>
        </is>
      </c>
      <c r="E328" t="inlineStr">
        <is>
          <t>快手</t>
        </is>
      </c>
      <c r="F328" t="inlineStr">
        <is>
          <t>软件</t>
        </is>
      </c>
      <c r="G328" t="inlineStr">
        <is>
          <t>小歌（1906）</t>
        </is>
      </c>
      <c r="H328" t="inlineStr">
        <is>
          <t>没有用的，该不要还是不要，工作难找啊</t>
        </is>
      </c>
      <c r="I328" t="inlineStr">
        <is>
          <t>https://v.kuaishou.com/KbUsbF4n 7月1日开始实施《民族团结进步促进法》"彝语 "彝族 "民族团结 "民族团结一家亲 该作品在快手被播放过30.6万次，点击链接，打开【快手】直接观看！评论</t>
        </is>
      </c>
      <c r="J328" t="inlineStr">
        <is>
          <t>四川</t>
        </is>
      </c>
      <c r="L328" t="inlineStr">
        <is>
          <t>四川</t>
        </is>
      </c>
      <c r="O328" t="inlineStr">
        <is>
          <t>普通话</t>
        </is>
      </c>
      <c r="P328" t="inlineStr">
        <is>
          <t>否</t>
        </is>
      </c>
      <c r="Q328" t="inlineStr">
        <is>
          <t>实施问题</t>
        </is>
      </c>
      <c r="R328" t="inlineStr">
        <is>
          <t>权利保障与公平正义</t>
        </is>
      </c>
      <c r="S328" t="n">
        <v>4</v>
      </c>
      <c r="T328" t="n">
        <v>0</v>
      </c>
      <c r="U328" t="n">
        <v>0</v>
      </c>
      <c r="V328" t="inlineStr">
        <is>
          <t>否</t>
        </is>
      </c>
      <c r="W328" t="inlineStr">
        <is>
          <t>是</t>
        </is>
      </c>
      <c r="X328" t="inlineStr">
        <is>
          <t>历史导入:快手平台民族团结进步促进法舆情监测_统计修正版.xlsx；来源类型:个人用户；重复:否；待核实:否</t>
        </is>
      </c>
    </row>
    <row r="329">
      <c r="A329" t="inlineStr">
        <is>
          <t>hist-8c4fad897aafb80b</t>
        </is>
      </c>
      <c r="B329" s="82" t="n">
        <v>46252.9403587963</v>
      </c>
      <c r="C329" s="82" t="n">
        <v>46208</v>
      </c>
      <c r="D329" t="inlineStr">
        <is>
          <t>快手</t>
        </is>
      </c>
      <c r="E329" t="inlineStr">
        <is>
          <t>快手</t>
        </is>
      </c>
      <c r="F329" t="inlineStr">
        <is>
          <t>软件</t>
        </is>
      </c>
      <c r="G329" t="inlineStr">
        <is>
          <t>T T 惹（阿莫惹古）</t>
        </is>
      </c>
      <c r="H329" t="inlineStr">
        <is>
          <t>人家不说民族 人家只说 不要人了 难不成你去告他吗 这些话大人忽悠小孩的 😁</t>
        </is>
      </c>
      <c r="I329" t="inlineStr">
        <is>
          <t>https://v.kuaishou.com/KbUsbF4n 7月1日开始实施《民族团结进步促进法》"彝语 "彝族 "民族团结 "民族团结一家亲 该作品在快手被播放过30.6万次，点击链接，打开【快手】直接观看！评论</t>
        </is>
      </c>
      <c r="J329" t="inlineStr">
        <is>
          <t>浙江</t>
        </is>
      </c>
      <c r="L329" t="inlineStr">
        <is>
          <t>浙江</t>
        </is>
      </c>
      <c r="O329" t="inlineStr">
        <is>
          <t>普通话</t>
        </is>
      </c>
      <c r="P329" t="inlineStr">
        <is>
          <t>否</t>
        </is>
      </c>
      <c r="Q329" t="inlineStr">
        <is>
          <t>明确批评</t>
        </is>
      </c>
      <c r="R329" t="inlineStr">
        <is>
          <t>权利保障与公平正义</t>
        </is>
      </c>
      <c r="S329" t="n">
        <v>1</v>
      </c>
      <c r="T329" t="n">
        <v>0</v>
      </c>
      <c r="U329" t="n">
        <v>0</v>
      </c>
      <c r="V329" t="inlineStr">
        <is>
          <t>否</t>
        </is>
      </c>
      <c r="W329" t="inlineStr">
        <is>
          <t>是</t>
        </is>
      </c>
      <c r="X329" t="inlineStr">
        <is>
          <t>历史导入:快手平台民族团结进步促进法舆情监测_统计修正版.xlsx；来源类型:个人用户；重复:否；待核实:否</t>
        </is>
      </c>
    </row>
    <row r="330">
      <c r="A330" t="inlineStr">
        <is>
          <t>hist-93c1fa294cd4de22</t>
        </is>
      </c>
      <c r="B330" s="82" t="n">
        <v>46252.9403587963</v>
      </c>
      <c r="C330" s="82" t="n">
        <v>46209</v>
      </c>
      <c r="D330" t="inlineStr">
        <is>
          <t>快手</t>
        </is>
      </c>
      <c r="E330" t="inlineStr">
        <is>
          <t>快手</t>
        </is>
      </c>
      <c r="F330" t="inlineStr">
        <is>
          <t>软件</t>
        </is>
      </c>
      <c r="G330" t="inlineStr">
        <is>
          <t>心随浮动</t>
        </is>
      </c>
      <c r="H330" t="inlineStr">
        <is>
          <t>就是</t>
        </is>
      </c>
      <c r="I330" t="inlineStr">
        <is>
          <t>https://v.kuaishou.com/KbUsbF4n 7月1日开始实施《民族团结进步促进法》"彝语 "彝族 "民族团结 "民族团结一家亲 该作品在快手被播放过30.6万次，点击链接，打开【快手】直接观看！评论</t>
        </is>
      </c>
      <c r="J330" t="inlineStr">
        <is>
          <t>四川</t>
        </is>
      </c>
      <c r="L330" t="inlineStr">
        <is>
          <t>四川</t>
        </is>
      </c>
      <c r="O330" t="inlineStr">
        <is>
          <t>普通话</t>
        </is>
      </c>
      <c r="P330" t="inlineStr">
        <is>
          <t>否</t>
        </is>
      </c>
      <c r="Q330" t="inlineStr">
        <is>
          <t>明确批评</t>
        </is>
      </c>
      <c r="R330" t="inlineStr">
        <is>
          <t>权利保障与公平正义</t>
        </is>
      </c>
      <c r="S330" t="n">
        <v>0</v>
      </c>
      <c r="T330" t="n">
        <v>0</v>
      </c>
      <c r="U330" t="n">
        <v>0</v>
      </c>
      <c r="V330" t="inlineStr">
        <is>
          <t>否</t>
        </is>
      </c>
      <c r="W330" t="inlineStr">
        <is>
          <t>是</t>
        </is>
      </c>
      <c r="X330" t="inlineStr">
        <is>
          <t>历史导入:快手平台民族团结进步促进法舆情监测_统计修正版.xlsx；来源类型:个人用户；重复:否；待核实:否</t>
        </is>
      </c>
    </row>
    <row r="331">
      <c r="A331" t="inlineStr">
        <is>
          <t>hist-5c0efd25a724dbf9</t>
        </is>
      </c>
      <c r="B331" s="82" t="n">
        <v>46252.9403587963</v>
      </c>
      <c r="C331" s="82" t="n">
        <v>46207</v>
      </c>
      <c r="D331" t="inlineStr">
        <is>
          <t>快手</t>
        </is>
      </c>
      <c r="E331" t="inlineStr">
        <is>
          <t>快手</t>
        </is>
      </c>
      <c r="F331" t="inlineStr">
        <is>
          <t>软件</t>
        </is>
      </c>
      <c r="G331" t="inlineStr">
        <is>
          <t>优 ~</t>
        </is>
      </c>
      <c r="H331" t="inlineStr">
        <is>
          <t>说的特别好，希望我们民族越来越好，</t>
        </is>
      </c>
      <c r="I331" t="inlineStr">
        <is>
          <t>https://v.kuaishou.com/KbUsbF4n 7月1日开始实施《民族团结进步促进法》"彝语 "彝族 "民族团结 "民族团结一家亲 该作品在快手被播放过30.6万次，点击链接，打开【快手】直接观看！评论</t>
        </is>
      </c>
      <c r="J331" t="inlineStr">
        <is>
          <t>江苏</t>
        </is>
      </c>
      <c r="L331" t="inlineStr">
        <is>
          <t>江苏</t>
        </is>
      </c>
      <c r="O331" t="inlineStr">
        <is>
          <t>普通话</t>
        </is>
      </c>
      <c r="P331" t="inlineStr">
        <is>
          <t>否</t>
        </is>
      </c>
      <c r="Q331" t="inlineStr">
        <is>
          <t>支持认可</t>
        </is>
      </c>
      <c r="R331" t="inlineStr">
        <is>
          <t>权利保障与公平正义</t>
        </is>
      </c>
      <c r="S331" t="n">
        <v>1</v>
      </c>
      <c r="T331" t="n">
        <v>0</v>
      </c>
      <c r="U331" t="n">
        <v>0</v>
      </c>
      <c r="V331" t="inlineStr">
        <is>
          <t>否</t>
        </is>
      </c>
      <c r="W331" t="inlineStr">
        <is>
          <t>是</t>
        </is>
      </c>
      <c r="X331" t="inlineStr">
        <is>
          <t>历史导入:快手平台民族团结进步促进法舆情监测_统计修正版.xlsx；来源类型:个人用户；重复:否；待核实:否</t>
        </is>
      </c>
    </row>
    <row r="332">
      <c r="A332" t="inlineStr">
        <is>
          <t>hist-b4b61b6af356cf38</t>
        </is>
      </c>
      <c r="B332" s="82" t="n">
        <v>46252.9403587963</v>
      </c>
      <c r="C332" s="82" t="n">
        <v>46207</v>
      </c>
      <c r="D332" t="inlineStr">
        <is>
          <t>快手</t>
        </is>
      </c>
      <c r="E332" t="inlineStr">
        <is>
          <t>快手</t>
        </is>
      </c>
      <c r="F332" t="inlineStr">
        <is>
          <t>软件</t>
        </is>
      </c>
      <c r="G332" t="inlineStr">
        <is>
          <t>@呐,𖼇誰? .{萨锅}</t>
        </is>
      </c>
      <c r="H332" t="inlineStr">
        <is>
          <t>我不想要你就不要你，你能把我怎样？因为用你我闲的麻烦。就是事实</t>
        </is>
      </c>
      <c r="I332" t="inlineStr">
        <is>
          <t>https://v.kuaishou.com/KbUsbF4n 7月1日开始实施《民族团结进步促进法》"彝语 "彝族 "民族团结 "民族团结一家亲 该作品在快手被播放过30.6万次，点击链接，打开【快手】直接观看！评论</t>
        </is>
      </c>
      <c r="J332" t="inlineStr">
        <is>
          <t>四川</t>
        </is>
      </c>
      <c r="L332" t="inlineStr">
        <is>
          <t>四川</t>
        </is>
      </c>
      <c r="O332" t="inlineStr">
        <is>
          <t>普通话</t>
        </is>
      </c>
      <c r="P332" t="inlineStr">
        <is>
          <t>否</t>
        </is>
      </c>
      <c r="Q332" t="inlineStr">
        <is>
          <t>歧视偏见</t>
        </is>
      </c>
      <c r="R332" t="inlineStr">
        <is>
          <t>权利保障与公平正义</t>
        </is>
      </c>
      <c r="S332" t="n">
        <v>2</v>
      </c>
      <c r="T332" t="n">
        <v>0</v>
      </c>
      <c r="U332" t="n">
        <v>0</v>
      </c>
      <c r="V332" t="inlineStr">
        <is>
          <t>否</t>
        </is>
      </c>
      <c r="W332" t="inlineStr">
        <is>
          <t>是</t>
        </is>
      </c>
      <c r="X332" t="inlineStr">
        <is>
          <t>历史导入:快手平台民族团结进步促进法舆情监测_统计修正版.xlsx；来源类型:个人用户；重复:否；待核实:否</t>
        </is>
      </c>
    </row>
    <row r="333">
      <c r="A333" t="inlineStr">
        <is>
          <t>hist-13e6669e30073970</t>
        </is>
      </c>
      <c r="B333" s="82" t="n">
        <v>46252.9403587963</v>
      </c>
      <c r="C333" s="82" t="n">
        <v>46207</v>
      </c>
      <c r="D333" t="inlineStr">
        <is>
          <t>快手</t>
        </is>
      </c>
      <c r="E333" t="inlineStr">
        <is>
          <t>快手</t>
        </is>
      </c>
      <c r="F333" t="inlineStr">
        <is>
          <t>软件</t>
        </is>
      </c>
      <c r="G333" t="inlineStr">
        <is>
          <t>伍佳：勇往直前</t>
        </is>
      </c>
      <c r="H333" t="inlineStr">
        <is>
          <t>招惹不起人家躲得起，对呀，何必给自己找麻烦，不缺人</t>
        </is>
      </c>
      <c r="I333" t="inlineStr">
        <is>
          <t>https://v.kuaishou.com/KbUsbF4n 7月1日开始实施《民族团结进步促进法》"彝语 "彝族 "民族团结 "民族团结一家亲 该作品在快手被播放过30.6万次，点击链接，打开【快手】直接观看！评论</t>
        </is>
      </c>
      <c r="J333" t="inlineStr">
        <is>
          <t>四川</t>
        </is>
      </c>
      <c r="L333" t="inlineStr">
        <is>
          <t>四川</t>
        </is>
      </c>
      <c r="O333" t="inlineStr">
        <is>
          <t>普通话</t>
        </is>
      </c>
      <c r="P333" t="inlineStr">
        <is>
          <t>否</t>
        </is>
      </c>
      <c r="Q333" t="inlineStr">
        <is>
          <t>歧视偏见</t>
        </is>
      </c>
      <c r="R333" t="inlineStr">
        <is>
          <t>权利保障与公平正义</t>
        </is>
      </c>
      <c r="S333" t="n">
        <v>0</v>
      </c>
      <c r="T333" t="n">
        <v>0</v>
      </c>
      <c r="U333" t="n">
        <v>0</v>
      </c>
      <c r="V333" t="inlineStr">
        <is>
          <t>否</t>
        </is>
      </c>
      <c r="W333" t="inlineStr">
        <is>
          <t>是</t>
        </is>
      </c>
      <c r="X333" t="inlineStr">
        <is>
          <t>历史导入:快手平台民族团结进步促进法舆情监测_统计修正版.xlsx；来源类型:个人用户；重复:否；待核实:否</t>
        </is>
      </c>
    </row>
    <row r="334">
      <c r="A334" t="inlineStr">
        <is>
          <t>hist-166b6fe5a86cf706</t>
        </is>
      </c>
      <c r="B334" s="82" t="n">
        <v>46252.9403587963</v>
      </c>
      <c r="C334" s="82" t="n">
        <v>46207</v>
      </c>
      <c r="D334" t="inlineStr">
        <is>
          <t>快手</t>
        </is>
      </c>
      <c r="E334" t="inlineStr">
        <is>
          <t>快手</t>
        </is>
      </c>
      <c r="F334" t="inlineStr">
        <is>
          <t>软件</t>
        </is>
      </c>
      <c r="G334" t="inlineStr">
        <is>
          <t>谁伴我闯荡29237</t>
        </is>
      </c>
      <c r="H334" t="inlineStr">
        <is>
          <t>对于不用我们彝族的这点事你觉得会实现不、怎么就一天天的说这些没用的废话呐</t>
        </is>
      </c>
      <c r="I334" t="inlineStr">
        <is>
          <t>https://v.kuaishou.com/KbUsbF4n 7月1日开始实施《民族团结进步促进法》"彝语 "彝族 "民族团结 "民族团结一家亲 该作品在快手被播放过30.6万次，点击链接，打开【快手】直接观看！评论</t>
        </is>
      </c>
      <c r="J334" t="inlineStr">
        <is>
          <t>陕西</t>
        </is>
      </c>
      <c r="L334" t="inlineStr">
        <is>
          <t>陕西</t>
        </is>
      </c>
      <c r="O334" t="inlineStr">
        <is>
          <t>普通话</t>
        </is>
      </c>
      <c r="P334" t="inlineStr">
        <is>
          <t>否</t>
        </is>
      </c>
      <c r="Q334" t="inlineStr">
        <is>
          <t>明确批评</t>
        </is>
      </c>
      <c r="R334" t="inlineStr">
        <is>
          <t>权利保障与公平正义</t>
        </is>
      </c>
      <c r="S334" t="n">
        <v>0</v>
      </c>
      <c r="T334" t="n">
        <v>0</v>
      </c>
      <c r="U334" t="n">
        <v>0</v>
      </c>
      <c r="V334" t="inlineStr">
        <is>
          <t>否</t>
        </is>
      </c>
      <c r="W334" t="inlineStr">
        <is>
          <t>是</t>
        </is>
      </c>
      <c r="X334" t="inlineStr">
        <is>
          <t>历史导入:快手平台民族团结进步促进法舆情监测_统计修正版.xlsx；来源类型:个人用户；重复:否；待核实:否</t>
        </is>
      </c>
    </row>
    <row r="335">
      <c r="A335" t="inlineStr">
        <is>
          <t>hist-9c19008fc1c17fb0</t>
        </is>
      </c>
      <c r="B335" s="82" t="n">
        <v>46252.9403587963</v>
      </c>
      <c r="C335" s="82" t="n">
        <v>46207</v>
      </c>
      <c r="D335" t="inlineStr">
        <is>
          <t>快手</t>
        </is>
      </c>
      <c r="E335" t="inlineStr">
        <is>
          <t>快手</t>
        </is>
      </c>
      <c r="F335" t="inlineStr">
        <is>
          <t>软件</t>
        </is>
      </c>
      <c r="G335" t="inlineStr">
        <is>
          <t>松煜</t>
        </is>
      </c>
      <c r="H335" t="inlineStr">
        <is>
          <t>违法你又能拿他们有什么办法?</t>
        </is>
      </c>
      <c r="I335" t="inlineStr">
        <is>
          <t>https://v.kuaishou.com/KbUsbF4n 7月1日开始实施《民族团结进步促进法》"彝语 "彝族 "民族团结 "民族团结一家亲 该作品在快手被播放过30.6万次，点击链接，打开【快手】直接观看！评论</t>
        </is>
      </c>
      <c r="J335" t="inlineStr">
        <is>
          <t>四川</t>
        </is>
      </c>
      <c r="L335" t="inlineStr">
        <is>
          <t>四川</t>
        </is>
      </c>
      <c r="O335" t="inlineStr">
        <is>
          <t>普通话</t>
        </is>
      </c>
      <c r="P335" t="inlineStr">
        <is>
          <t>否</t>
        </is>
      </c>
      <c r="Q335" t="inlineStr">
        <is>
          <t>实施问题</t>
        </is>
      </c>
      <c r="R335" t="inlineStr">
        <is>
          <t>权利保障与公平正义</t>
        </is>
      </c>
      <c r="S335" t="n">
        <v>0</v>
      </c>
      <c r="T335" t="n">
        <v>0</v>
      </c>
      <c r="U335" t="n">
        <v>0</v>
      </c>
      <c r="V335" t="inlineStr">
        <is>
          <t>否</t>
        </is>
      </c>
      <c r="W335" t="inlineStr">
        <is>
          <t>是</t>
        </is>
      </c>
      <c r="X335" t="inlineStr">
        <is>
          <t>历史导入:快手平台民族团结进步促进法舆情监测_统计修正版.xlsx；来源类型:个人用户；重复:否；待核实:否</t>
        </is>
      </c>
    </row>
    <row r="336">
      <c r="A336" t="inlineStr">
        <is>
          <t>hist-5faa7a442cb3a2b6</t>
        </is>
      </c>
      <c r="B336" s="82" t="n">
        <v>46252.9403587963</v>
      </c>
      <c r="C336" s="82" t="n">
        <v>46207</v>
      </c>
      <c r="D336" t="inlineStr">
        <is>
          <t>快手</t>
        </is>
      </c>
      <c r="E336" t="inlineStr">
        <is>
          <t>快手</t>
        </is>
      </c>
      <c r="F336" t="inlineStr">
        <is>
          <t>软件</t>
        </is>
      </c>
      <c r="G336" t="inlineStr">
        <is>
          <t>伟流年似水</t>
        </is>
      </c>
      <c r="H336" t="inlineStr">
        <is>
          <t>自觉点吧！这些是没用的</t>
        </is>
      </c>
      <c r="I336" t="inlineStr">
        <is>
          <t>https://v.kuaishou.com/KbUsbF4n 7月1日开始实施《民族团结进步促进法》"彝语 "彝族 "民族团结 "民族团结一家亲 该作品在快手被播放过30.6万次，点击链接，打开【快手】直接观看！评论</t>
        </is>
      </c>
      <c r="J336" t="inlineStr">
        <is>
          <t>安徽</t>
        </is>
      </c>
      <c r="L336" t="inlineStr">
        <is>
          <t>安徽</t>
        </is>
      </c>
      <c r="O336" t="inlineStr">
        <is>
          <t>普通话</t>
        </is>
      </c>
      <c r="P336" t="inlineStr">
        <is>
          <t>否</t>
        </is>
      </c>
      <c r="Q336" t="inlineStr">
        <is>
          <t>实施问题</t>
        </is>
      </c>
      <c r="R336" t="inlineStr">
        <is>
          <t>权利保障与公平正义</t>
        </is>
      </c>
      <c r="S336" t="n">
        <v>2</v>
      </c>
      <c r="T336" t="n">
        <v>0</v>
      </c>
      <c r="U336" t="n">
        <v>0</v>
      </c>
      <c r="V336" t="inlineStr">
        <is>
          <t>否</t>
        </is>
      </c>
      <c r="W336" t="inlineStr">
        <is>
          <t>是</t>
        </is>
      </c>
      <c r="X336" t="inlineStr">
        <is>
          <t>历史导入:快手平台民族团结进步促进法舆情监测_统计修正版.xlsx；来源类型:个人用户；重复:否；待核实:否</t>
        </is>
      </c>
    </row>
    <row r="337">
      <c r="A337" t="inlineStr">
        <is>
          <t>hist-7fce442e6ff6bbef</t>
        </is>
      </c>
      <c r="B337" s="82" t="n">
        <v>46252.9403587963</v>
      </c>
      <c r="C337" s="82" t="n">
        <v>46208</v>
      </c>
      <c r="D337" t="inlineStr">
        <is>
          <t>快手</t>
        </is>
      </c>
      <c r="E337" t="inlineStr">
        <is>
          <t>快手</t>
        </is>
      </c>
      <c r="F337" t="inlineStr">
        <is>
          <t>软件</t>
        </is>
      </c>
      <c r="G337" t="inlineStr">
        <is>
          <t>加州</t>
        </is>
      </c>
      <c r="H337" t="inlineStr">
        <is>
          <t>有屁用 偏见永远会在</t>
        </is>
      </c>
      <c r="I337" t="inlineStr">
        <is>
          <t>https://v.kuaishou.com/KbUsbF4n 7月1日开始实施《民族团结进步促进法》"彝语 "彝族 "民族团结 "民族团结一家亲 该作品在快手被播放过30.6万次，点击链接，打开【快手】直接观看！评论</t>
        </is>
      </c>
      <c r="J337" t="inlineStr">
        <is>
          <t>云南</t>
        </is>
      </c>
      <c r="L337" t="inlineStr">
        <is>
          <t>云南</t>
        </is>
      </c>
      <c r="O337" t="inlineStr">
        <is>
          <t>普通话</t>
        </is>
      </c>
      <c r="P337" t="inlineStr">
        <is>
          <t>否</t>
        </is>
      </c>
      <c r="Q337" t="inlineStr">
        <is>
          <t>明确批评</t>
        </is>
      </c>
      <c r="R337" t="inlineStr">
        <is>
          <t>权利保障与公平正义</t>
        </is>
      </c>
      <c r="S337" t="n">
        <v>0</v>
      </c>
      <c r="T337" t="n">
        <v>0</v>
      </c>
      <c r="U337" t="n">
        <v>0</v>
      </c>
      <c r="V337" t="inlineStr">
        <is>
          <t>否</t>
        </is>
      </c>
      <c r="W337" t="inlineStr">
        <is>
          <t>是</t>
        </is>
      </c>
      <c r="X337" t="inlineStr">
        <is>
          <t>历史导入:快手平台民族团结进步促进法舆情监测_统计修正版.xlsx；来源类型:个人用户；重复:否；待核实:否</t>
        </is>
      </c>
    </row>
    <row r="338">
      <c r="A338" t="inlineStr">
        <is>
          <t>hist-650b27bdf9102a6f</t>
        </is>
      </c>
      <c r="B338" s="82" t="n">
        <v>46252.9403587963</v>
      </c>
      <c r="C338" s="82" t="n">
        <v>46208</v>
      </c>
      <c r="D338" t="inlineStr">
        <is>
          <t>快手</t>
        </is>
      </c>
      <c r="E338" t="inlineStr">
        <is>
          <t>快手</t>
        </is>
      </c>
      <c r="F338" t="inlineStr">
        <is>
          <t>软件</t>
        </is>
      </c>
      <c r="G338" t="inlineStr">
        <is>
          <t>风雪中的梅花最能知晓热</t>
        </is>
      </c>
      <c r="H338" t="inlineStr">
        <is>
          <t>没事儿，多积点德 留给将来你的孙子孙女，在这里说这些没用的，什么新f，现在他们自己都难，还让你分蛋糕吃，痴心妄想</t>
        </is>
      </c>
      <c r="I338" t="inlineStr">
        <is>
          <t>https://v.kuaishou.com/KbUsbF4n 7月1日开始实施《民族团结进步促进法》"彝语 "彝族 "民族团结 "民族团结一家亲 该作品在快手被播放过30.6万次，点击链接，打开【快手】直接观看！评论</t>
        </is>
      </c>
      <c r="J338" t="inlineStr">
        <is>
          <t>青海</t>
        </is>
      </c>
      <c r="L338" t="inlineStr">
        <is>
          <t>青海</t>
        </is>
      </c>
      <c r="O338" t="inlineStr">
        <is>
          <t>普通话</t>
        </is>
      </c>
      <c r="P338" t="inlineStr">
        <is>
          <t>否</t>
        </is>
      </c>
      <c r="Q338" t="inlineStr">
        <is>
          <t>歧视偏见</t>
        </is>
      </c>
      <c r="R338" t="inlineStr">
        <is>
          <t>权利保障与公平正义</t>
        </is>
      </c>
      <c r="S338" t="n">
        <v>0</v>
      </c>
      <c r="T338" t="n">
        <v>0</v>
      </c>
      <c r="U338" t="n">
        <v>0</v>
      </c>
      <c r="V338" t="inlineStr">
        <is>
          <t>否</t>
        </is>
      </c>
      <c r="W338" t="inlineStr">
        <is>
          <t>是</t>
        </is>
      </c>
      <c r="X338" t="inlineStr">
        <is>
          <t>历史导入:快手平台民族团结进步促进法舆情监测_统计修正版.xlsx；来源类型:个人用户；重复:否；待核实:否</t>
        </is>
      </c>
    </row>
    <row r="339">
      <c r="A339" t="inlineStr">
        <is>
          <t>hist-84b04b4b67207169</t>
        </is>
      </c>
      <c r="B339" s="82" t="n">
        <v>46252.9403587963</v>
      </c>
      <c r="C339" s="82" t="n">
        <v>46208</v>
      </c>
      <c r="D339" t="inlineStr">
        <is>
          <t>快手</t>
        </is>
      </c>
      <c r="E339" t="inlineStr">
        <is>
          <t>快手</t>
        </is>
      </c>
      <c r="F339" t="inlineStr">
        <is>
          <t>软件</t>
        </is>
      </c>
      <c r="G339" t="inlineStr">
        <is>
          <t>一得惹</t>
        </is>
      </c>
      <c r="H339" t="inlineStr">
        <is>
          <t>不要说东说西连四川省会 成都都不要彝包</t>
        </is>
      </c>
      <c r="I339" t="inlineStr">
        <is>
          <t>https://v.kuaishou.com/KbUsbF4n 7月1日开始实施《民族团结进步促进法》"彝语 "彝族 "民族团结 "民族团结一家亲 该作品在快手被播放过30.6万次，点击链接，打开【快手】直接观看！评论</t>
        </is>
      </c>
      <c r="J339" t="inlineStr">
        <is>
          <t>福建</t>
        </is>
      </c>
      <c r="L339" t="inlineStr">
        <is>
          <t>福建</t>
        </is>
      </c>
      <c r="O339" t="inlineStr">
        <is>
          <t>普通话</t>
        </is>
      </c>
      <c r="P339" t="inlineStr">
        <is>
          <t>否</t>
        </is>
      </c>
      <c r="Q339" t="inlineStr">
        <is>
          <t>歧视偏见</t>
        </is>
      </c>
      <c r="R339" t="inlineStr">
        <is>
          <t>权利保障与公平正义</t>
        </is>
      </c>
      <c r="S339" t="n">
        <v>0</v>
      </c>
      <c r="T339" t="n">
        <v>0</v>
      </c>
      <c r="U339" t="n">
        <v>0</v>
      </c>
      <c r="V339" t="inlineStr">
        <is>
          <t>否</t>
        </is>
      </c>
      <c r="W339" t="inlineStr">
        <is>
          <t>是</t>
        </is>
      </c>
      <c r="X339" t="inlineStr">
        <is>
          <t>历史导入:快手平台民族团结进步促进法舆情监测_统计修正版.xlsx；来源类型:个人用户；重复:否；待核实:否</t>
        </is>
      </c>
    </row>
    <row r="340">
      <c r="A340" t="inlineStr">
        <is>
          <t>hist-47fa9ad69b937db9</t>
        </is>
      </c>
      <c r="B340" s="82" t="n">
        <v>46252.9403587963</v>
      </c>
      <c r="C340" s="82" t="n">
        <v>46207</v>
      </c>
      <c r="D340" t="inlineStr">
        <is>
          <t>快手</t>
        </is>
      </c>
      <c r="E340" t="inlineStr">
        <is>
          <t>快手</t>
        </is>
      </c>
      <c r="F340" t="inlineStr">
        <is>
          <t>软件</t>
        </is>
      </c>
      <c r="G340" t="inlineStr">
        <is>
          <t>晓驒</t>
        </is>
      </c>
      <c r="H340" t="inlineStr">
        <is>
          <t>违法个屁，你还不知道外面现在好多厂不要四川彝族了😁😁</t>
        </is>
      </c>
      <c r="I340" t="inlineStr">
        <is>
          <t>https://v.kuaishou.com/KbUsbF4n 7月1日开始实施《民族团结进步促进法》"彝语 "彝族 "民族团结 "民族团结一家亲 该作品在快手被播放过30.6万次，点击链接，打开【快手】直接观看！评论</t>
        </is>
      </c>
      <c r="J340" t="inlineStr">
        <is>
          <t>江苏</t>
        </is>
      </c>
      <c r="L340" t="inlineStr">
        <is>
          <t>江苏</t>
        </is>
      </c>
      <c r="O340" t="inlineStr">
        <is>
          <t>普通话</t>
        </is>
      </c>
      <c r="P340" t="inlineStr">
        <is>
          <t>否</t>
        </is>
      </c>
      <c r="Q340" t="inlineStr">
        <is>
          <t>明确批评</t>
        </is>
      </c>
      <c r="R340" t="inlineStr">
        <is>
          <t>权利保障与公平正义</t>
        </is>
      </c>
      <c r="S340" t="n">
        <v>1</v>
      </c>
      <c r="T340" t="n">
        <v>0</v>
      </c>
      <c r="U340" t="n">
        <v>0</v>
      </c>
      <c r="V340" t="inlineStr">
        <is>
          <t>否</t>
        </is>
      </c>
      <c r="W340" t="inlineStr">
        <is>
          <t>是</t>
        </is>
      </c>
      <c r="X340" t="inlineStr">
        <is>
          <t>历史导入:快手平台民族团结进步促进法舆情监测_统计修正版.xlsx；来源类型:个人用户；重复:否；待核实:否</t>
        </is>
      </c>
    </row>
    <row r="341">
      <c r="A341" t="inlineStr">
        <is>
          <t>hist-b1b3c377219763dc</t>
        </is>
      </c>
      <c r="B341" s="82" t="n">
        <v>46252.9403587963</v>
      </c>
      <c r="C341" s="82" t="n">
        <v>46208</v>
      </c>
      <c r="D341" t="inlineStr">
        <is>
          <t>快手</t>
        </is>
      </c>
      <c r="E341" t="inlineStr">
        <is>
          <t>快手</t>
        </is>
      </c>
      <c r="F341" t="inlineStr">
        <is>
          <t>软件</t>
        </is>
      </c>
      <c r="G341" t="inlineStr">
        <is>
          <t>一得惹</t>
        </is>
      </c>
      <c r="H341" t="inlineStr">
        <is>
          <t>意思其它民族 不违法</t>
        </is>
      </c>
      <c r="I341" t="inlineStr">
        <is>
          <t>https://v.kuaishou.com/KbUsbF4n 7月1日开始实施《民族团结进步促进法》"彝语 "彝族 "民族团结 "民族团结一家亲 该作品在快手被播放过30.6万次，点击链接，打开【快手】直接观看！评论</t>
        </is>
      </c>
      <c r="J341" t="inlineStr">
        <is>
          <t>福建</t>
        </is>
      </c>
      <c r="L341" t="inlineStr">
        <is>
          <t>福建</t>
        </is>
      </c>
      <c r="O341" t="inlineStr">
        <is>
          <t>普通话</t>
        </is>
      </c>
      <c r="P341" t="inlineStr">
        <is>
          <t>否</t>
        </is>
      </c>
      <c r="Q341" t="inlineStr">
        <is>
          <t>咨询疑问</t>
        </is>
      </c>
      <c r="R341" t="inlineStr">
        <is>
          <t>权利保障与公平正义</t>
        </is>
      </c>
      <c r="S341" t="n">
        <v>1</v>
      </c>
      <c r="T341" t="n">
        <v>0</v>
      </c>
      <c r="U341" t="n">
        <v>0</v>
      </c>
      <c r="V341" t="inlineStr">
        <is>
          <t>否</t>
        </is>
      </c>
      <c r="W341" t="inlineStr">
        <is>
          <t>是</t>
        </is>
      </c>
      <c r="X341" t="inlineStr">
        <is>
          <t>历史导入:快手平台民族团结进步促进法舆情监测_统计修正版.xlsx；来源类型:个人用户；重复:否；待核实:否</t>
        </is>
      </c>
    </row>
    <row r="342">
      <c r="A342" t="inlineStr">
        <is>
          <t>hist-402c75cf6ab1dae5</t>
        </is>
      </c>
      <c r="B342" s="82" t="n">
        <v>46252.9403587963</v>
      </c>
      <c r="C342" s="82" t="n">
        <v>46206</v>
      </c>
      <c r="D342" t="inlineStr">
        <is>
          <t>快手</t>
        </is>
      </c>
      <c r="E342" t="inlineStr">
        <is>
          <t>快手</t>
        </is>
      </c>
      <c r="F342" t="inlineStr">
        <is>
          <t>软件</t>
        </is>
      </c>
      <c r="G342" t="inlineStr">
        <is>
          <t>中国新闻网</t>
        </is>
      </c>
      <c r="H342" t="inlineStr">
        <is>
          <t>7月1日，在大陆正式施行的……最后会有法律来对你究责</t>
        </is>
      </c>
      <c r="I342" t="inlineStr">
        <is>
          <t>https://v.kuaishou.com/KJeA8xsL 【邱毅称 "民族团结进步促进法让日本右翼紧张 】 "统战促进民族团结让赖清德特别忌惮 民族团结进步促进法于7月1日正式施行。台湾时事评论员邱毅指出，岛内部分“台独”人士迫害大陆配偶，日本右翼分子勾连分裂势力，其目的皆在挑起中华民族的矛盾与仇恨。此类行为即便发生在境外，只要涉及破坏民族团结、制造对立，也应依法追究责任。邱毅称，赖清德当局对相关法律条款“特别忌惮”。“台独”分裂活动危害民族团结，不应继续错下去。他还强调，统战本质在于促进交流、减少误解与对立，而非外界曲解渲染的负面概念。 "燕新台 该作品在快手被播放过546.5万次，点击链接，打开【快手】直接观看！</t>
        </is>
      </c>
      <c r="J342" t="inlineStr">
        <is>
          <t>全国</t>
        </is>
      </c>
      <c r="O342" t="inlineStr">
        <is>
          <t>普通话</t>
        </is>
      </c>
      <c r="P342" t="inlineStr">
        <is>
          <t>否</t>
        </is>
      </c>
      <c r="Q342" t="inlineStr">
        <is>
          <t>支持认可</t>
        </is>
      </c>
      <c r="R342" t="inlineStr">
        <is>
          <t>法律施行与总体解读</t>
        </is>
      </c>
      <c r="S342" t="n">
        <v>255000</v>
      </c>
      <c r="T342" t="n">
        <v>1068</v>
      </c>
      <c r="U342" t="n">
        <v>1432</v>
      </c>
      <c r="V342" t="inlineStr">
        <is>
          <t>否</t>
        </is>
      </c>
      <c r="W342" t="inlineStr">
        <is>
          <t>否</t>
        </is>
      </c>
      <c r="X342" t="inlineStr">
        <is>
          <t>历史导入:快手平台民族团结进步促进法舆情监测_统计修正版.xlsx；来源类型:媒体；重复:否；待核实:否</t>
        </is>
      </c>
    </row>
    <row r="343">
      <c r="A343" t="inlineStr">
        <is>
          <t>hist-440362751844ac39</t>
        </is>
      </c>
      <c r="B343" s="82" t="n">
        <v>46252.9403587963</v>
      </c>
      <c r="C343" s="82" t="n">
        <v>46207</v>
      </c>
      <c r="D343" t="inlineStr">
        <is>
          <t>快手</t>
        </is>
      </c>
      <c r="E343" t="inlineStr">
        <is>
          <t>快手</t>
        </is>
      </c>
      <c r="F343" t="inlineStr">
        <is>
          <t>软件</t>
        </is>
      </c>
      <c r="G343" t="inlineStr">
        <is>
          <t>勇往直前00904</t>
        </is>
      </c>
      <c r="H343" t="inlineStr">
        <is>
          <t>祖国成立民族团结进步促进法成立的好，为祖国点赞👍👍👍</t>
        </is>
      </c>
      <c r="I343" t="inlineStr">
        <is>
          <t>https://v.kuaishou.com/KJeA8xsL 【邱毅称 "民族团结进步促进法让日本右翼紧张 】 "统战促进民族团结让赖清德特别忌惮 民族团结进步促进法于7月1日正式施行。台湾时事评论员邱毅指出，岛内部分“台独”人士迫害大陆配偶，日本右翼分子勾连分裂势力，其目的皆在挑起中华民族的矛盾与仇恨。此类行为即便发生在境外，只要涉及破坏民族团结、制造对立，也应依法追究责任。邱毅称，赖清德当局对相关法律条款“特别忌惮”。“台独”分裂活动危害民族团结，不应继续错下去。他还强调，统战本质在于促进交流、减少误解与对立，而非外界曲解渲染的负面概念。 "燕新台 该作品在快手被播放过546.5万次，点击链接，打开【快手】直接观看！评论</t>
        </is>
      </c>
      <c r="J343" t="inlineStr">
        <is>
          <t>山东</t>
        </is>
      </c>
      <c r="L343" t="inlineStr">
        <is>
          <t>山东</t>
        </is>
      </c>
      <c r="O343" t="inlineStr">
        <is>
          <t>普通话</t>
        </is>
      </c>
      <c r="P343" t="inlineStr">
        <is>
          <t>否</t>
        </is>
      </c>
      <c r="Q343" t="inlineStr">
        <is>
          <t>支持认可</t>
        </is>
      </c>
      <c r="R343" t="inlineStr">
        <is>
          <t>法律施行与总体解读</t>
        </is>
      </c>
      <c r="S343" t="n">
        <v>73</v>
      </c>
      <c r="T343" t="n">
        <v>0</v>
      </c>
      <c r="U343" t="n">
        <v>0</v>
      </c>
      <c r="V343" t="inlineStr">
        <is>
          <t>否</t>
        </is>
      </c>
      <c r="W343" t="inlineStr">
        <is>
          <t>是</t>
        </is>
      </c>
      <c r="X343" t="inlineStr">
        <is>
          <t>历史导入:快手平台民族团结进步促进法舆情监测_统计修正版.xlsx；来源类型:个人用户；重复:否；待核实:否</t>
        </is>
      </c>
    </row>
    <row r="344">
      <c r="A344" t="inlineStr">
        <is>
          <t>hist-ff618b9c4928268e</t>
        </is>
      </c>
      <c r="B344" s="82" t="n">
        <v>46252.9403587963</v>
      </c>
      <c r="C344" s="82" t="n">
        <v>46204</v>
      </c>
      <c r="D344" t="inlineStr">
        <is>
          <t>快手</t>
        </is>
      </c>
      <c r="E344" t="inlineStr">
        <is>
          <t>快手</t>
        </is>
      </c>
      <c r="F344" t="inlineStr">
        <is>
          <t>软件</t>
        </is>
      </c>
      <c r="G344" t="inlineStr">
        <is>
          <t>胡子哥</t>
        </is>
      </c>
      <c r="H344" t="inlineStr">
        <is>
          <t>56个民族，56多花，56个民族是一家……荣辱与共，生死与共</t>
        </is>
      </c>
      <c r="I344" t="inlineStr">
        <is>
          <t>https://v.kuaishou.com/JeQ8Rp21 看人别只看表面，心正才是真本事 "正能量 "民族文化 "民族团结一家亲 该作品在快手被播放过2.3万次，点击链接，打开【快手】直接观看！</t>
        </is>
      </c>
      <c r="J344" t="inlineStr">
        <is>
          <t>全国</t>
        </is>
      </c>
      <c r="O344" t="inlineStr">
        <is>
          <t>普通话</t>
        </is>
      </c>
      <c r="P344" t="inlineStr">
        <is>
          <t>否</t>
        </is>
      </c>
      <c r="Q344" t="inlineStr">
        <is>
          <t>支持认可</t>
        </is>
      </c>
      <c r="R344" t="inlineStr">
        <is>
          <t>法律施行与总体解读</t>
        </is>
      </c>
      <c r="S344" t="n">
        <v>481</v>
      </c>
      <c r="T344" t="n">
        <v>408</v>
      </c>
      <c r="U344" t="n">
        <v>49</v>
      </c>
      <c r="V344" t="inlineStr">
        <is>
          <t>否</t>
        </is>
      </c>
      <c r="W344" t="inlineStr">
        <is>
          <t>是</t>
        </is>
      </c>
      <c r="X344" t="inlineStr">
        <is>
          <t>历史导入:快手平台民族团结进步促进法舆情监测_统计修正版.xlsx；来源类型:自媒体；重复:否；待核实:否</t>
        </is>
      </c>
    </row>
    <row r="345">
      <c r="A345" t="inlineStr">
        <is>
          <t>hist-fb7baff99a433305</t>
        </is>
      </c>
      <c r="B345" s="82" t="n">
        <v>46252.9403587963</v>
      </c>
      <c r="C345" s="82" t="n">
        <v>46205</v>
      </c>
      <c r="D345" t="inlineStr">
        <is>
          <t>快手</t>
        </is>
      </c>
      <c r="E345" t="inlineStr">
        <is>
          <t>快手</t>
        </is>
      </c>
      <c r="F345" t="inlineStr">
        <is>
          <t>软件</t>
        </is>
      </c>
      <c r="G345" t="inlineStr">
        <is>
          <t>关陇山人</t>
        </is>
      </c>
      <c r="H345" t="inlineStr">
        <is>
          <t>大家真正能一个桌子上吃饭的时候，才是一家人</t>
        </is>
      </c>
      <c r="I345" t="inlineStr">
        <is>
          <t>https://v.kuaishou.com/JeQ8Rp21 看人别只看表面，心正才是真本事 "正能量 "民族文化 "民族团结一家亲 该作品在快手被播放过2.3万次，点击链接，打开【快手】直接观看！评论</t>
        </is>
      </c>
      <c r="J345" t="inlineStr">
        <is>
          <t>宁夏</t>
        </is>
      </c>
      <c r="L345" t="inlineStr">
        <is>
          <t>宁夏</t>
        </is>
      </c>
      <c r="O345" t="inlineStr">
        <is>
          <t>普通话</t>
        </is>
      </c>
      <c r="P345" t="inlineStr">
        <is>
          <t>否</t>
        </is>
      </c>
      <c r="Q345" t="inlineStr">
        <is>
          <t>实施问题</t>
        </is>
      </c>
      <c r="R345" t="inlineStr">
        <is>
          <t>权利保障与公平正义</t>
        </is>
      </c>
      <c r="S345" t="n">
        <v>46</v>
      </c>
      <c r="T345" t="n">
        <v>18</v>
      </c>
      <c r="U345" t="n">
        <v>0</v>
      </c>
      <c r="V345" t="inlineStr">
        <is>
          <t>否</t>
        </is>
      </c>
      <c r="W345" t="inlineStr">
        <is>
          <t>是</t>
        </is>
      </c>
      <c r="X345" t="inlineStr">
        <is>
          <t>历史导入:快手平台民族团结进步促进法舆情监测_统计修正版.xlsx；来源类型:个人用户；重复:否；待核实:否</t>
        </is>
      </c>
    </row>
    <row r="346">
      <c r="A346" t="inlineStr">
        <is>
          <t>hist-6cb4c4eaf4d8b148</t>
        </is>
      </c>
      <c r="B346" s="82" t="n">
        <v>46252.9403587963</v>
      </c>
      <c r="C346" s="82" t="n">
        <v>46206</v>
      </c>
      <c r="D346" t="inlineStr">
        <is>
          <t>快手</t>
        </is>
      </c>
      <c r="E346" t="inlineStr">
        <is>
          <t>快手</t>
        </is>
      </c>
      <c r="F346" t="inlineStr">
        <is>
          <t>软件</t>
        </is>
      </c>
      <c r="G346" t="inlineStr">
        <is>
          <t>戏骨许仙（拒私聊）</t>
        </is>
      </c>
      <c r="H346" t="inlineStr">
        <is>
          <t>我们要的不是石榴，要的是熔炉。石榴只是貌合神离，表面看起来是一个整体，但是粒粒都能剥得开，粒粒都不相连。熔炉里的铁是扳不开的。拿石榴来做比喻就是居心叵测，司马昭之心，路人皆知。</t>
        </is>
      </c>
      <c r="I346" t="inlineStr">
        <is>
          <t>https://v.kuaishou.com/JeQ8Rp21 看人别只看表面，心正才是真本事 "正能量 "民族文化 "民族团结一家亲 该作品在快手被播放过2.3万次，点击链接，打开【快手】直接观看！评论</t>
        </is>
      </c>
      <c r="J346" t="inlineStr">
        <is>
          <t>安徽</t>
        </is>
      </c>
      <c r="L346" t="inlineStr">
        <is>
          <t>安徽</t>
        </is>
      </c>
      <c r="O346" t="inlineStr">
        <is>
          <t>普通话</t>
        </is>
      </c>
      <c r="P346" t="inlineStr">
        <is>
          <t>否</t>
        </is>
      </c>
      <c r="Q346" t="inlineStr">
        <is>
          <t>明确批评</t>
        </is>
      </c>
      <c r="R346" t="inlineStr">
        <is>
          <t>法律施行与总体解读</t>
        </is>
      </c>
      <c r="S346" t="n">
        <v>10</v>
      </c>
      <c r="T346" t="n">
        <v>0</v>
      </c>
      <c r="U346" t="n">
        <v>0</v>
      </c>
      <c r="V346" t="inlineStr">
        <is>
          <t>否</t>
        </is>
      </c>
      <c r="W346" t="inlineStr">
        <is>
          <t>是</t>
        </is>
      </c>
      <c r="X346" t="inlineStr">
        <is>
          <t>历史导入:快手平台民族团结进步促进法舆情监测_统计修正版.xlsx；来源类型:个人用户；重复:否；待核实:否</t>
        </is>
      </c>
    </row>
    <row r="347">
      <c r="A347" t="inlineStr">
        <is>
          <t>hist-f8e89bcf679683e0</t>
        </is>
      </c>
      <c r="B347" s="82" t="n">
        <v>46252.9403587963</v>
      </c>
      <c r="C347" s="82" t="n">
        <v>46206</v>
      </c>
      <c r="D347" t="inlineStr">
        <is>
          <t>快手</t>
        </is>
      </c>
      <c r="E347" t="inlineStr">
        <is>
          <t>快手</t>
        </is>
      </c>
      <c r="F347" t="inlineStr">
        <is>
          <t>软件</t>
        </is>
      </c>
      <c r="G347" t="inlineStr">
        <is>
          <t>春天飞舞110</t>
        </is>
      </c>
      <c r="H347" t="inlineStr">
        <is>
          <t>对故意挑起民族对立民族仇恨的人，应该严厉打击判刑</t>
        </is>
      </c>
      <c r="I347" t="inlineStr">
        <is>
          <t>https://v.kuaishou.com/JeQ8Rp21 看人别只看表面，心正才是真本事 "正能量 "民族文化 "民族团结一家亲 该作品在快手被播放过2.3万次，点击链接，打开【快手】直接观看！评论</t>
        </is>
      </c>
      <c r="J347" t="inlineStr">
        <is>
          <t>新疆</t>
        </is>
      </c>
      <c r="L347" t="inlineStr">
        <is>
          <t>新疆</t>
        </is>
      </c>
      <c r="O347" t="inlineStr">
        <is>
          <t>普通话</t>
        </is>
      </c>
      <c r="P347" t="inlineStr">
        <is>
          <t>否</t>
        </is>
      </c>
      <c r="Q347" t="inlineStr">
        <is>
          <t>中性信息</t>
        </is>
      </c>
      <c r="R347" t="inlineStr">
        <is>
          <t>法律施行与总体解读</t>
        </is>
      </c>
      <c r="S347" t="n">
        <v>4</v>
      </c>
      <c r="T347" t="n">
        <v>1</v>
      </c>
      <c r="U347" t="n">
        <v>0</v>
      </c>
      <c r="V347" t="inlineStr">
        <is>
          <t>否</t>
        </is>
      </c>
      <c r="W347" t="inlineStr">
        <is>
          <t>是</t>
        </is>
      </c>
      <c r="X347" t="inlineStr">
        <is>
          <t>历史导入:快手平台民族团结进步促进法舆情监测_统计修正版.xlsx；来源类型:个人用户；重复:否；待核实:否</t>
        </is>
      </c>
    </row>
    <row r="348">
      <c r="A348" t="inlineStr">
        <is>
          <t>hist-9d16e8703bf6760a</t>
        </is>
      </c>
      <c r="B348" s="82" t="n">
        <v>46252.9403587963</v>
      </c>
      <c r="C348" s="82" t="n">
        <v>46205</v>
      </c>
      <c r="D348" t="inlineStr">
        <is>
          <t>快手</t>
        </is>
      </c>
      <c r="E348" t="inlineStr">
        <is>
          <t>快手</t>
        </is>
      </c>
      <c r="F348" t="inlineStr">
        <is>
          <t>软件</t>
        </is>
      </c>
      <c r="G348" t="inlineStr">
        <is>
          <t>急时雨072</t>
        </is>
      </c>
      <c r="H348" t="inlineStr">
        <is>
          <t>民族不在大小，我们都是一个大家庭，这才是中国人的脊梁。</t>
        </is>
      </c>
      <c r="I348" t="inlineStr">
        <is>
          <t>https://v.kuaishou.com/JeQ8Rp21 看人别只看表面，心正才是真本事 "正能量 "民族文化 "民族团结一家亲 该作品在快手被播放过2.3万次，点击链接，打开【快手】直接观看！评论</t>
        </is>
      </c>
      <c r="J348" t="inlineStr">
        <is>
          <t>内蒙古</t>
        </is>
      </c>
      <c r="L348" t="inlineStr">
        <is>
          <t>内蒙古</t>
        </is>
      </c>
      <c r="O348" t="inlineStr">
        <is>
          <t>普通话</t>
        </is>
      </c>
      <c r="P348" t="inlineStr">
        <is>
          <t>否</t>
        </is>
      </c>
      <c r="Q348" t="inlineStr">
        <is>
          <t>支持认可</t>
        </is>
      </c>
      <c r="R348" t="inlineStr">
        <is>
          <t>法律施行与总体解读</t>
        </is>
      </c>
      <c r="S348" t="n">
        <v>3</v>
      </c>
      <c r="T348" t="n">
        <v>1</v>
      </c>
      <c r="U348" t="n">
        <v>0</v>
      </c>
      <c r="V348" t="inlineStr">
        <is>
          <t>否</t>
        </is>
      </c>
      <c r="W348" t="inlineStr">
        <is>
          <t>是</t>
        </is>
      </c>
      <c r="X348" t="inlineStr">
        <is>
          <t>历史导入:快手平台民族团结进步促进法舆情监测_统计修正版.xlsx；来源类型:个人用户；重复:否；待核实:否</t>
        </is>
      </c>
    </row>
    <row r="349">
      <c r="A349" t="inlineStr">
        <is>
          <t>hist-b8fad5fc748e0b00</t>
        </is>
      </c>
      <c r="B349" s="82" t="n">
        <v>46252.9403587963</v>
      </c>
      <c r="C349" s="82" t="n">
        <v>46207</v>
      </c>
      <c r="D349" t="inlineStr">
        <is>
          <t>快手</t>
        </is>
      </c>
      <c r="E349" t="inlineStr">
        <is>
          <t>快手</t>
        </is>
      </c>
      <c r="F349" t="inlineStr">
        <is>
          <t>软件</t>
        </is>
      </c>
      <c r="G349" t="inlineStr">
        <is>
          <t>→_→</t>
        </is>
      </c>
      <c r="H349" t="inlineStr">
        <is>
          <t>点赞！👍👍👍👍👍</t>
        </is>
      </c>
      <c r="I349" t="inlineStr">
        <is>
          <t>https://v.kuaishou.com/JeQ8Rp21 看人别只看表面，心正才是真本事 "正能量 "民族文化 "民族团结一家亲 该作品在快手被播放过2.3万次，点击链接，打开【快手】直接观看！评论</t>
        </is>
      </c>
      <c r="J349" t="inlineStr">
        <is>
          <t>青海</t>
        </is>
      </c>
      <c r="L349" t="inlineStr">
        <is>
          <t>青海</t>
        </is>
      </c>
      <c r="O349" t="inlineStr">
        <is>
          <t>普通话</t>
        </is>
      </c>
      <c r="P349" t="inlineStr">
        <is>
          <t>否</t>
        </is>
      </c>
      <c r="Q349" t="inlineStr">
        <is>
          <t>支持认可</t>
        </is>
      </c>
      <c r="R349" t="inlineStr">
        <is>
          <t>民族团结与民族关系</t>
        </is>
      </c>
      <c r="S349" t="n">
        <v>0</v>
      </c>
      <c r="T349" t="n">
        <v>0</v>
      </c>
      <c r="U349" t="n">
        <v>0</v>
      </c>
      <c r="V349" t="inlineStr">
        <is>
          <t>否</t>
        </is>
      </c>
      <c r="W349" t="inlineStr">
        <is>
          <t>是</t>
        </is>
      </c>
      <c r="X349" t="inlineStr">
        <is>
          <t>历史导入:快手平台民族团结进步促进法舆情监测_统计修正版.xlsx；来源类型:个人用户；重复:否；待核实:否</t>
        </is>
      </c>
    </row>
    <row r="350">
      <c r="A350" t="inlineStr">
        <is>
          <t>hist-b4d005aa3799a14f</t>
        </is>
      </c>
      <c r="B350" s="82" t="n">
        <v>46252.9403587963</v>
      </c>
      <c r="C350" s="82" t="n">
        <v>46206</v>
      </c>
      <c r="D350" t="inlineStr">
        <is>
          <t>快手</t>
        </is>
      </c>
      <c r="E350" t="inlineStr">
        <is>
          <t>快手</t>
        </is>
      </c>
      <c r="F350" t="inlineStr">
        <is>
          <t>软件</t>
        </is>
      </c>
      <c r="G350" t="inlineStr">
        <is>
          <t>沧海一粟</t>
        </is>
      </c>
      <c r="H350" t="inlineStr">
        <is>
          <t>说的好！团结才能进步</t>
        </is>
      </c>
      <c r="I350" t="inlineStr">
        <is>
          <t>https://v.kuaishou.com/JeQ8Rp21 看人别只看表面，心正才是真本事 "正能量 "民族文化 "民族团结一家亲 该作品在快手被播放过2.3万次，点击链接，打开【快手】直接观看！评论</t>
        </is>
      </c>
      <c r="J350" t="inlineStr">
        <is>
          <t>甘肃</t>
        </is>
      </c>
      <c r="L350" t="inlineStr">
        <is>
          <t>甘肃</t>
        </is>
      </c>
      <c r="O350" t="inlineStr">
        <is>
          <t>普通话</t>
        </is>
      </c>
      <c r="P350" t="inlineStr">
        <is>
          <t>否</t>
        </is>
      </c>
      <c r="Q350" t="inlineStr">
        <is>
          <t>支持认可</t>
        </is>
      </c>
      <c r="R350" t="inlineStr">
        <is>
          <t>民族团结与民族关系</t>
        </is>
      </c>
      <c r="S350" t="n">
        <v>0</v>
      </c>
      <c r="T350" t="n">
        <v>0</v>
      </c>
      <c r="U350" t="n">
        <v>0</v>
      </c>
      <c r="V350" t="inlineStr">
        <is>
          <t>否</t>
        </is>
      </c>
      <c r="W350" t="inlineStr">
        <is>
          <t>是</t>
        </is>
      </c>
      <c r="X350" t="inlineStr">
        <is>
          <t>历史导入:快手平台民族团结进步促进法舆情监测_统计修正版.xlsx；来源类型:个人用户；重复:否；待核实:否</t>
        </is>
      </c>
    </row>
    <row r="351">
      <c r="A351" t="inlineStr">
        <is>
          <t>hist-eff3cfe9182d5e15</t>
        </is>
      </c>
      <c r="B351" s="82" t="n">
        <v>46252.9403587963</v>
      </c>
      <c r="C351" s="82" t="n">
        <v>46206</v>
      </c>
      <c r="D351" t="inlineStr">
        <is>
          <t>快手</t>
        </is>
      </c>
      <c r="E351" t="inlineStr">
        <is>
          <t>快手</t>
        </is>
      </c>
      <c r="F351" t="inlineStr">
        <is>
          <t>软件</t>
        </is>
      </c>
      <c r="G351" t="inlineStr">
        <is>
          <t>浪沙166</t>
        </is>
      </c>
      <c r="H351" t="inlineStr">
        <is>
          <t>只定个法律了事，不严厉处罚，那种刻意抹黑的人还是逍遥自在的没完没了的搞破坏</t>
        </is>
      </c>
      <c r="I351" t="inlineStr">
        <is>
          <t>https://v.kuaishou.com/JeQ8Rp21 看人别只看表面，心正才是真本事 "正能量 "民族文化 "民族团结一家亲 该作品在快手被播放过2.3万次，点击链接，打开【快手】直接观看！评论</t>
        </is>
      </c>
      <c r="J351" t="inlineStr">
        <is>
          <t>河北</t>
        </is>
      </c>
      <c r="L351" t="inlineStr">
        <is>
          <t>河北</t>
        </is>
      </c>
      <c r="O351" t="inlineStr">
        <is>
          <t>普通话</t>
        </is>
      </c>
      <c r="P351" t="inlineStr">
        <is>
          <t>否</t>
        </is>
      </c>
      <c r="Q351" t="inlineStr">
        <is>
          <t>实施问题</t>
        </is>
      </c>
      <c r="R351" t="inlineStr">
        <is>
          <t>法律施行与总体解读</t>
        </is>
      </c>
      <c r="S351" t="n">
        <v>0</v>
      </c>
      <c r="T351" t="n">
        <v>0</v>
      </c>
      <c r="U351" t="n">
        <v>0</v>
      </c>
      <c r="V351" t="inlineStr">
        <is>
          <t>否</t>
        </is>
      </c>
      <c r="W351" t="inlineStr">
        <is>
          <t>是</t>
        </is>
      </c>
      <c r="X351" t="inlineStr">
        <is>
          <t>历史导入:快手平台民族团结进步促进法舆情监测_统计修正版.xlsx；来源类型:个人用户；重复:否；待核实:否</t>
        </is>
      </c>
    </row>
    <row r="352">
      <c r="A352" t="inlineStr">
        <is>
          <t>hist-cb5392941da1d616</t>
        </is>
      </c>
      <c r="B352" s="82" t="n">
        <v>46252.9403587963</v>
      </c>
      <c r="C352" s="82" t="n">
        <v>46205</v>
      </c>
      <c r="D352" t="inlineStr">
        <is>
          <t>快手</t>
        </is>
      </c>
      <c r="E352" t="inlineStr">
        <is>
          <t>快手</t>
        </is>
      </c>
      <c r="F352" t="inlineStr">
        <is>
          <t>软件</t>
        </is>
      </c>
      <c r="G352" t="inlineStr">
        <is>
          <t>看客</t>
        </is>
      </c>
      <c r="H352" t="inlineStr">
        <is>
          <t>你们的话能相信吗</t>
        </is>
      </c>
      <c r="I352" t="inlineStr">
        <is>
          <t>https://v.kuaishou.com/JeQ8Rp21 看人别只看表面，心正才是真本事 "正能量 "民族文化 "民族团结一家亲 该作品在快手被播放过2.3万次，点击链接，打开【快手】直接观看！评论</t>
        </is>
      </c>
      <c r="J352" t="inlineStr">
        <is>
          <t>内蒙古</t>
        </is>
      </c>
      <c r="L352" t="inlineStr">
        <is>
          <t>内蒙古</t>
        </is>
      </c>
      <c r="O352" t="inlineStr">
        <is>
          <t>普通话</t>
        </is>
      </c>
      <c r="P352" t="inlineStr">
        <is>
          <t>否</t>
        </is>
      </c>
      <c r="Q352" t="inlineStr">
        <is>
          <t>明确批评</t>
        </is>
      </c>
      <c r="R352" t="inlineStr">
        <is>
          <t>法律施行与总体解读</t>
        </is>
      </c>
      <c r="S352" t="n">
        <v>26</v>
      </c>
      <c r="T352" t="n">
        <v>0</v>
      </c>
      <c r="U352" t="n">
        <v>0</v>
      </c>
      <c r="V352" t="inlineStr">
        <is>
          <t>否</t>
        </is>
      </c>
      <c r="W352" t="inlineStr">
        <is>
          <t>是</t>
        </is>
      </c>
      <c r="X352" t="inlineStr">
        <is>
          <t>历史导入:快手平台民族团结进步促进法舆情监测_统计修正版.xlsx；来源类型:个人用户；重复:否；待核实:否</t>
        </is>
      </c>
    </row>
    <row r="353">
      <c r="A353" t="inlineStr">
        <is>
          <t>hist-367726d262af9fb9</t>
        </is>
      </c>
      <c r="B353" s="82" t="n">
        <v>46252.9403587963</v>
      </c>
      <c r="C353" s="82" t="n">
        <v>46210</v>
      </c>
      <c r="D353" t="inlineStr">
        <is>
          <t>快手</t>
        </is>
      </c>
      <c r="E353" t="inlineStr">
        <is>
          <t>快手</t>
        </is>
      </c>
      <c r="F353" t="inlineStr">
        <is>
          <t>软件</t>
        </is>
      </c>
      <c r="G353" t="inlineStr">
        <is>
          <t>坐看云起好时光</t>
        </is>
      </c>
      <c r="H353" t="inlineStr">
        <is>
          <t>团结的民族从不说五十六</t>
        </is>
      </c>
      <c r="I353" t="inlineStr">
        <is>
          <t>https://v.kuaishou.com/JeQ8Rp21 看人别只看表面，心正才是真本事 "正能量 "民族文化 "民族团结一家亲 该作品在快手被播放过2.3万次，点击链接，打开【快手】直接观看！评论</t>
        </is>
      </c>
      <c r="J353" t="inlineStr">
        <is>
          <t>青海</t>
        </is>
      </c>
      <c r="L353" t="inlineStr">
        <is>
          <t>青海</t>
        </is>
      </c>
      <c r="O353" t="inlineStr">
        <is>
          <t>普通话</t>
        </is>
      </c>
      <c r="P353" t="inlineStr">
        <is>
          <t>否</t>
        </is>
      </c>
      <c r="Q353" t="inlineStr">
        <is>
          <t>公平争议</t>
        </is>
      </c>
      <c r="R353" t="inlineStr">
        <is>
          <t>法律施行与总体解读</t>
        </is>
      </c>
      <c r="S353" t="n">
        <v>5</v>
      </c>
      <c r="T353" t="n">
        <v>0</v>
      </c>
      <c r="U353" t="n">
        <v>0</v>
      </c>
      <c r="V353" t="inlineStr">
        <is>
          <t>否</t>
        </is>
      </c>
      <c r="W353" t="inlineStr">
        <is>
          <t>是</t>
        </is>
      </c>
      <c r="X353" t="inlineStr">
        <is>
          <t>历史导入:快手平台民族团结进步促进法舆情监测_统计修正版.xlsx；来源类型:个人用户；重复:否；待核实:否</t>
        </is>
      </c>
    </row>
    <row r="354">
      <c r="A354" t="inlineStr">
        <is>
          <t>hist-5d427982eb0e08c6</t>
        </is>
      </c>
      <c r="B354" s="82" t="n">
        <v>46252.9403587963</v>
      </c>
      <c r="C354" s="82" t="n">
        <v>46209</v>
      </c>
      <c r="D354" t="inlineStr">
        <is>
          <t>快手</t>
        </is>
      </c>
      <c r="E354" t="inlineStr">
        <is>
          <t>快手</t>
        </is>
      </c>
      <c r="F354" t="inlineStr">
        <is>
          <t>软件</t>
        </is>
      </c>
      <c r="G354" t="inlineStr">
        <is>
          <t>明天更美好@.com</t>
        </is>
      </c>
      <c r="H354" t="inlineStr">
        <is>
          <t>多话不说想想国家军队心苦为民，你们都享受富余生活，成天民族挂在嘴边，你的烦不烦，多希望回族朋友出一个名人让中国人思想开放全中国人团结一心</t>
        </is>
      </c>
      <c r="I354" t="inlineStr">
        <is>
          <t>https://v.kuaishou.com/JeQ8Rp21 看人别只看表面，心正才是真本事 "正能量 "民族文化 "民族团结一家亲 该作品在快手被播放过2.3万次，点击链接，打开【快手】直接观看！评论</t>
        </is>
      </c>
      <c r="J354" t="inlineStr">
        <is>
          <t>甘肃</t>
        </is>
      </c>
      <c r="L354" t="inlineStr">
        <is>
          <t>甘肃</t>
        </is>
      </c>
      <c r="O354" t="inlineStr">
        <is>
          <t>普通话</t>
        </is>
      </c>
      <c r="P354" t="inlineStr">
        <is>
          <t>否</t>
        </is>
      </c>
      <c r="Q354" t="inlineStr">
        <is>
          <t>中性信息</t>
        </is>
      </c>
      <c r="R354" t="inlineStr">
        <is>
          <t>民族团结与民族关系</t>
        </is>
      </c>
      <c r="S354" t="n">
        <v>0</v>
      </c>
      <c r="T354" t="n">
        <v>0</v>
      </c>
      <c r="U354" t="n">
        <v>0</v>
      </c>
      <c r="V354" t="inlineStr">
        <is>
          <t>否</t>
        </is>
      </c>
      <c r="W354" t="inlineStr">
        <is>
          <t>是</t>
        </is>
      </c>
      <c r="X354" t="inlineStr">
        <is>
          <t>历史导入:快手平台民族团结进步促进法舆情监测_统计修正版.xlsx；来源类型:个人用户；重复:否；待核实:否</t>
        </is>
      </c>
    </row>
    <row r="355">
      <c r="A355" t="inlineStr">
        <is>
          <t>hist-695b1254d6ca0f48</t>
        </is>
      </c>
      <c r="B355" s="82" t="n">
        <v>46252.9403587963</v>
      </c>
      <c r="C355" s="82" t="n">
        <v>46208</v>
      </c>
      <c r="D355" t="inlineStr">
        <is>
          <t>快手</t>
        </is>
      </c>
      <c r="E355" t="inlineStr">
        <is>
          <t>快手</t>
        </is>
      </c>
      <c r="F355" t="inlineStr">
        <is>
          <t>软件</t>
        </is>
      </c>
      <c r="G355" t="inlineStr">
        <is>
          <t>User_843626691</t>
        </is>
      </c>
      <c r="H355" t="inlineStr">
        <is>
          <t>👍民族团结是社会稳定的基石，</t>
        </is>
      </c>
      <c r="I355" t="inlineStr">
        <is>
          <t>https://v.kuaishou.com/JeQ8Rp21 看人别只看表面，心正才是真本事 "正能量 "民族文化 "民族团结一家亲 该作品在快手被播放过2.3万次，点击链接，打开【快手】直接观看！评论</t>
        </is>
      </c>
      <c r="J355" t="inlineStr">
        <is>
          <t>宁夏</t>
        </is>
      </c>
      <c r="L355" t="inlineStr">
        <is>
          <t>宁夏</t>
        </is>
      </c>
      <c r="O355" t="inlineStr">
        <is>
          <t>普通话</t>
        </is>
      </c>
      <c r="P355" t="inlineStr">
        <is>
          <t>否</t>
        </is>
      </c>
      <c r="Q355" t="inlineStr">
        <is>
          <t>支持认可</t>
        </is>
      </c>
      <c r="R355" t="inlineStr">
        <is>
          <t>民族团结与民族关系</t>
        </is>
      </c>
      <c r="S355" t="n">
        <v>0</v>
      </c>
      <c r="T355" t="n">
        <v>0</v>
      </c>
      <c r="U355" t="n">
        <v>0</v>
      </c>
      <c r="V355" t="inlineStr">
        <is>
          <t>否</t>
        </is>
      </c>
      <c r="W355" t="inlineStr">
        <is>
          <t>是</t>
        </is>
      </c>
      <c r="X355" t="inlineStr">
        <is>
          <t>历史导入:快手平台民族团结进步促进法舆情监测_统计修正版.xlsx；来源类型:个人用户；重复:否；待核实:否</t>
        </is>
      </c>
    </row>
    <row r="356">
      <c r="A356" t="inlineStr">
        <is>
          <t>hist-206ccc59e0054cd4</t>
        </is>
      </c>
      <c r="B356" s="82" t="n">
        <v>46252.9403587963</v>
      </c>
      <c r="C356" s="82" t="n">
        <v>46206</v>
      </c>
      <c r="D356" t="inlineStr">
        <is>
          <t>快手</t>
        </is>
      </c>
      <c r="E356" t="inlineStr">
        <is>
          <t>快手</t>
        </is>
      </c>
      <c r="F356" t="inlineStr">
        <is>
          <t>软件</t>
        </is>
      </c>
      <c r="G356" t="inlineStr">
        <is>
          <t>释怀w.</t>
        </is>
      </c>
      <c r="H356" t="inlineStr">
        <is>
          <t>那为啥你们要补助这补助那的</t>
        </is>
      </c>
      <c r="I356" t="inlineStr">
        <is>
          <t>https://v.kuaishou.com/JeQ8Rp21 看人别只看表面，心正才是真本事 "正能量 "民族文化 "民族团结一家亲 该作品在快手被播放过2.3万次，点击链接，打开【快手】直接观看！评论</t>
        </is>
      </c>
      <c r="J356" t="inlineStr">
        <is>
          <t>甘肃</t>
        </is>
      </c>
      <c r="L356" t="inlineStr">
        <is>
          <t>甘肃</t>
        </is>
      </c>
      <c r="O356" t="inlineStr">
        <is>
          <t>普通话</t>
        </is>
      </c>
      <c r="P356" t="inlineStr">
        <is>
          <t>否</t>
        </is>
      </c>
      <c r="Q356" t="inlineStr">
        <is>
          <t>公平争议</t>
        </is>
      </c>
      <c r="R356" t="inlineStr">
        <is>
          <t>权利保障与公平正义</t>
        </is>
      </c>
      <c r="S356" t="n">
        <v>2</v>
      </c>
      <c r="T356" t="n">
        <v>4</v>
      </c>
      <c r="U356" t="n">
        <v>0</v>
      </c>
      <c r="V356" t="inlineStr">
        <is>
          <t>否</t>
        </is>
      </c>
      <c r="W356" t="inlineStr">
        <is>
          <t>是</t>
        </is>
      </c>
      <c r="X356" t="inlineStr">
        <is>
          <t>历史导入:快手平台民族团结进步促进法舆情监测_统计修正版.xlsx；来源类型:个人用户；重复:否；待核实:否</t>
        </is>
      </c>
    </row>
    <row r="357">
      <c r="A357" t="inlineStr">
        <is>
          <t>hist-c2d10d4f47674940</t>
        </is>
      </c>
      <c r="B357" s="82" t="n">
        <v>46252.9403587963</v>
      </c>
      <c r="C357" s="82" t="n">
        <v>46205</v>
      </c>
      <c r="D357" t="inlineStr">
        <is>
          <t>快手</t>
        </is>
      </c>
      <c r="E357" t="inlineStr">
        <is>
          <t>快手</t>
        </is>
      </c>
      <c r="F357" t="inlineStr">
        <is>
          <t>软件</t>
        </is>
      </c>
      <c r="G357" t="inlineStr">
        <is>
          <t>快手用户1769235522797</t>
        </is>
      </c>
      <c r="H357" t="inlineStr">
        <is>
          <t>坚决支持《民族团结进步促进法》🌹🌹🌹</t>
        </is>
      </c>
      <c r="I357" t="inlineStr">
        <is>
          <t>https://v.kuaishou.com/JeQ8Rp21 看人别只看表面，心正才是真本事 "正能量 "民族文化 "民族团结一家亲 该作品在快手被播放过2.3万次，点击链接，打开【快手】直接观看！评论</t>
        </is>
      </c>
      <c r="J357" t="inlineStr">
        <is>
          <t>西藏</t>
        </is>
      </c>
      <c r="L357" t="inlineStr">
        <is>
          <t>西藏</t>
        </is>
      </c>
      <c r="O357" t="inlineStr">
        <is>
          <t>普通话</t>
        </is>
      </c>
      <c r="P357" t="inlineStr">
        <is>
          <t>否</t>
        </is>
      </c>
      <c r="Q357" t="inlineStr">
        <is>
          <t>支持认可</t>
        </is>
      </c>
      <c r="R357" t="inlineStr">
        <is>
          <t>法律施行与总体解读</t>
        </is>
      </c>
      <c r="S357" t="n">
        <v>3</v>
      </c>
      <c r="T357" t="n">
        <v>0</v>
      </c>
      <c r="U357" t="n">
        <v>0</v>
      </c>
      <c r="V357" t="inlineStr">
        <is>
          <t>否</t>
        </is>
      </c>
      <c r="W357" t="inlineStr">
        <is>
          <t>是</t>
        </is>
      </c>
      <c r="X357" t="inlineStr">
        <is>
          <t>历史导入:快手平台民族团结进步促进法舆情监测_统计修正版.xlsx；来源类型:个人用户；重复:否；待核实:否</t>
        </is>
      </c>
    </row>
    <row r="358">
      <c r="A358" t="inlineStr">
        <is>
          <t>hist-f70020b84582e605</t>
        </is>
      </c>
      <c r="B358" s="82" t="n">
        <v>46252.9403587963</v>
      </c>
      <c r="C358" s="82" t="n">
        <v>46205</v>
      </c>
      <c r="D358" t="inlineStr">
        <is>
          <t>快手</t>
        </is>
      </c>
      <c r="E358" t="inlineStr">
        <is>
          <t>快手</t>
        </is>
      </c>
      <c r="F358" t="inlineStr">
        <is>
          <t>软件</t>
        </is>
      </c>
      <c r="G358" t="inlineStr">
        <is>
          <t>清风赵志刚</t>
        </is>
      </c>
      <c r="H358" t="inlineStr">
        <is>
          <t>是真心讲的吗，但还有部分极端者，总想远离我们这些他们认为脏的汉民，我们用过的东西他不用，，不靠近我们，我们是想拥抱在一起，可总怕某些人嫌弃呀</t>
        </is>
      </c>
      <c r="I358" t="inlineStr">
        <is>
          <t>https://v.kuaishou.com/JeQ8Rp21 看人别只看表面，心正才是真本事 "正能量 "民族文化 "民族团结一家亲 该作品在快手被播放过2.3万次，点击链接，打开【快手】直接观看！评论</t>
        </is>
      </c>
      <c r="J358" t="inlineStr">
        <is>
          <t>河南</t>
        </is>
      </c>
      <c r="L358" t="inlineStr">
        <is>
          <t>河南</t>
        </is>
      </c>
      <c r="O358" t="inlineStr">
        <is>
          <t>普通话</t>
        </is>
      </c>
      <c r="P358" t="inlineStr">
        <is>
          <t>否</t>
        </is>
      </c>
      <c r="Q358" t="inlineStr">
        <is>
          <t>歧视偏见</t>
        </is>
      </c>
      <c r="R358" t="inlineStr">
        <is>
          <t>民族团结与民族关系</t>
        </is>
      </c>
      <c r="S358" t="n">
        <v>4</v>
      </c>
      <c r="T358" t="n">
        <v>0</v>
      </c>
      <c r="U358" t="n">
        <v>0</v>
      </c>
      <c r="V358" t="inlineStr">
        <is>
          <t>否</t>
        </is>
      </c>
      <c r="W358" t="inlineStr">
        <is>
          <t>是</t>
        </is>
      </c>
      <c r="X358" t="inlineStr">
        <is>
          <t>历史导入:快手平台民族团结进步促进法舆情监测_统计修正版.xlsx；来源类型:个人用户；重复:否；待核实:否</t>
        </is>
      </c>
    </row>
    <row r="359">
      <c r="A359" t="inlineStr">
        <is>
          <t>hist-ad29269c04b33934</t>
        </is>
      </c>
      <c r="B359" s="82" t="n">
        <v>46252.9403587963</v>
      </c>
      <c r="C359" s="82" t="n">
        <v>46205</v>
      </c>
      <c r="D359" t="inlineStr">
        <is>
          <t>快手</t>
        </is>
      </c>
      <c r="E359" t="inlineStr">
        <is>
          <t>快手</t>
        </is>
      </c>
      <c r="F359" t="inlineStr">
        <is>
          <t>软件</t>
        </is>
      </c>
      <c r="G359" t="inlineStr">
        <is>
          <t>光辉</t>
        </is>
      </c>
      <c r="H359" t="inlineStr">
        <is>
          <t>民族没有大小，只要不出卖国家，不当二狗子的民族都是优秀的中华民族</t>
        </is>
      </c>
      <c r="I359" t="inlineStr">
        <is>
          <t>https://v.kuaishou.com/JeQ8Rp21 看人别只看表面，心正才是真本事 "正能量 "民族文化 "民族团结一家亲 该作品在快手被播放过2.3万次，点击链接，打开【快手】直接观看！评论</t>
        </is>
      </c>
      <c r="J359" t="inlineStr">
        <is>
          <t>甘肃</t>
        </is>
      </c>
      <c r="L359" t="inlineStr">
        <is>
          <t>甘肃</t>
        </is>
      </c>
      <c r="O359" t="inlineStr">
        <is>
          <t>普通话</t>
        </is>
      </c>
      <c r="P359" t="inlineStr">
        <is>
          <t>否</t>
        </is>
      </c>
      <c r="Q359" t="inlineStr">
        <is>
          <t>支持认可</t>
        </is>
      </c>
      <c r="R359" t="inlineStr">
        <is>
          <t>民族团结与民族关系</t>
        </is>
      </c>
      <c r="S359" t="n">
        <v>3</v>
      </c>
      <c r="T359" t="n">
        <v>0</v>
      </c>
      <c r="U359" t="n">
        <v>0</v>
      </c>
      <c r="V359" t="inlineStr">
        <is>
          <t>否</t>
        </is>
      </c>
      <c r="W359" t="inlineStr">
        <is>
          <t>是</t>
        </is>
      </c>
      <c r="X359" t="inlineStr">
        <is>
          <t>历史导入:快手平台民族团结进步促进法舆情监测_统计修正版.xlsx；来源类型:个人用户；重复:否；待核实:否</t>
        </is>
      </c>
    </row>
    <row r="360">
      <c r="A360" t="inlineStr">
        <is>
          <t>hist-467b32d668566e05</t>
        </is>
      </c>
      <c r="B360" s="82" t="n">
        <v>46252.9403587963</v>
      </c>
      <c r="C360" s="82" t="n">
        <v>46204</v>
      </c>
      <c r="D360" t="inlineStr">
        <is>
          <t>抖音</t>
        </is>
      </c>
      <c r="E360" t="inlineStr">
        <is>
          <t>抖音等视频平台</t>
        </is>
      </c>
      <c r="F360" t="inlineStr">
        <is>
          <t>原始视频</t>
        </is>
      </c>
      <c r="G360" t="inlineStr">
        <is>
          <t>道中华</t>
        </is>
      </c>
      <c r="H360" t="inlineStr">
        <is>
          <t>走进经典美术作品，从历史画卷到新时代征程，见证各民族携手共进</t>
        </is>
      </c>
      <c r="I360" t="inlineStr">
        <is>
          <t>https://v.douyin.com/3j4ie2lLfSY/ 01/19 :2pm t@r.rr PkP:/</t>
        </is>
      </c>
      <c r="J360" t="inlineStr">
        <is>
          <t>全国</t>
        </is>
      </c>
      <c r="O360" t="inlineStr">
        <is>
          <t>汉语</t>
        </is>
      </c>
      <c r="P360" t="inlineStr">
        <is>
          <t>否</t>
        </is>
      </c>
      <c r="Q360" t="inlineStr">
        <is>
          <t>支持认可</t>
        </is>
      </c>
      <c r="R360" t="inlineStr">
        <is>
          <t>支持民族团结，警惕外部势力，希望越来越好</t>
        </is>
      </c>
      <c r="S360" t="n">
        <v>1047</v>
      </c>
      <c r="T360" t="n">
        <v>32</v>
      </c>
      <c r="U360" t="n">
        <v>124</v>
      </c>
      <c r="V360" t="inlineStr">
        <is>
          <t>否</t>
        </is>
      </c>
      <c r="W360" t="inlineStr">
        <is>
          <t>是</t>
        </is>
      </c>
      <c r="X360" t="inlineStr">
        <is>
          <t>历史导入:抖音等视频平台_民族团结进步促进法舆情监测_最终修正版.xlsx；来源类型:媒体（中国民族报社；重复:否；待核实:否</t>
        </is>
      </c>
    </row>
    <row r="361">
      <c r="A361" t="inlineStr">
        <is>
          <t>hist-2ac236a5d5e08a86</t>
        </is>
      </c>
      <c r="B361" s="82" t="n">
        <v>46252.9403587963</v>
      </c>
      <c r="C361" s="82" t="n">
        <v>46204</v>
      </c>
      <c r="D361" t="inlineStr">
        <is>
          <t>抖音</t>
        </is>
      </c>
      <c r="E361" t="inlineStr">
        <is>
          <t>抖音等视频平台</t>
        </is>
      </c>
      <c r="F361" t="inlineStr">
        <is>
          <t>原始视频</t>
        </is>
      </c>
      <c r="G361" t="inlineStr">
        <is>
          <t>中国新闻网</t>
        </is>
      </c>
      <c r="H361" t="inlineStr">
        <is>
          <t>民族团结促进法在守护什么（重点举例云南）</t>
        </is>
      </c>
      <c r="I361" t="inlineStr">
        <is>
          <t>https://v.douyin.com/Ury-H0P3JCQ/ N@J.IV 02/19 :5pm OKJ:/</t>
        </is>
      </c>
      <c r="J361" t="inlineStr">
        <is>
          <t>全国</t>
        </is>
      </c>
      <c r="O361" t="inlineStr">
        <is>
          <t>汉语</t>
        </is>
      </c>
      <c r="P361" t="inlineStr">
        <is>
          <t>否</t>
        </is>
      </c>
      <c r="Q361" t="inlineStr">
        <is>
          <t>支持认可</t>
        </is>
      </c>
      <c r="R361" t="inlineStr">
        <is>
          <t>团结一致</t>
        </is>
      </c>
      <c r="S361" t="n">
        <v>1034</v>
      </c>
      <c r="T361" t="n">
        <v>68</v>
      </c>
      <c r="U361" t="n">
        <v>139</v>
      </c>
      <c r="V361" t="inlineStr">
        <is>
          <t>否</t>
        </is>
      </c>
      <c r="W361" t="inlineStr">
        <is>
          <t>是</t>
        </is>
      </c>
      <c r="X361" t="inlineStr">
        <is>
          <t>历史导入:抖音等视频平台_民族团结进步促进法舆情监测_最终修正版.xlsx；来源类型:媒体；重复:否；待核实:否</t>
        </is>
      </c>
    </row>
    <row r="362">
      <c r="A362" t="inlineStr">
        <is>
          <t>hist-81c4b603fac4fa80</t>
        </is>
      </c>
      <c r="B362" s="82" t="n">
        <v>46252.9403587963</v>
      </c>
      <c r="C362" s="82" t="n">
        <v>46204</v>
      </c>
      <c r="D362" t="inlineStr">
        <is>
          <t>抖音</t>
        </is>
      </c>
      <c r="E362" t="inlineStr">
        <is>
          <t>抖音等视频平台</t>
        </is>
      </c>
      <c r="F362" t="inlineStr">
        <is>
          <t>原始视频</t>
        </is>
      </c>
      <c r="G362" t="inlineStr">
        <is>
          <t>第五师司法局</t>
        </is>
      </c>
      <c r="H362" t="inlineStr">
        <is>
          <t>讲述五条重点法条，明确核心是民族团结是生命线</t>
        </is>
      </c>
      <c r="I362" t="inlineStr">
        <is>
          <t>https://v.douyin.com/ByxyE1ZyQug/ :5pm Qxf:/ 06/14 C@H.iP</t>
        </is>
      </c>
      <c r="J362" t="inlineStr">
        <is>
          <t>新疆</t>
        </is>
      </c>
      <c r="L362" t="inlineStr">
        <is>
          <t>新疆</t>
        </is>
      </c>
      <c r="O362" t="inlineStr">
        <is>
          <t>汉语</t>
        </is>
      </c>
      <c r="P362" t="inlineStr">
        <is>
          <t>否</t>
        </is>
      </c>
      <c r="Q362" t="inlineStr">
        <is>
          <t>担忧影响</t>
        </is>
      </c>
      <c r="R362" t="inlineStr">
        <is>
          <t>彝族、新疆同胞在外务工问题</t>
        </is>
      </c>
      <c r="S362" t="n">
        <v>8172</v>
      </c>
      <c r="T362" t="n">
        <v>2590</v>
      </c>
      <c r="U362" t="n">
        <v>2144</v>
      </c>
      <c r="V362" t="inlineStr">
        <is>
          <t>否</t>
        </is>
      </c>
      <c r="W362" t="inlineStr">
        <is>
          <t>是</t>
        </is>
      </c>
      <c r="X362" t="inlineStr">
        <is>
          <t>历史导入:抖音等视频平台_民族团结进步促进法舆情监测_最终修正版.xlsx；来源类型:政府部门；复核:已复核，无误（修改错别字）；重复:否；待核实:否</t>
        </is>
      </c>
    </row>
    <row r="363">
      <c r="A363" t="inlineStr">
        <is>
          <t>hist-aa851999151e1279</t>
        </is>
      </c>
      <c r="B363" s="82" t="n">
        <v>46252.9403587963</v>
      </c>
      <c r="C363" s="82" t="n">
        <v>46219</v>
      </c>
      <c r="D363" t="inlineStr">
        <is>
          <t>抖音</t>
        </is>
      </c>
      <c r="E363" t="inlineStr">
        <is>
          <t>抖音等视频平台</t>
        </is>
      </c>
      <c r="F363" t="inlineStr">
        <is>
          <t>原始视频</t>
        </is>
      </c>
      <c r="G363" t="inlineStr">
        <is>
          <t>第五师司法局</t>
        </is>
      </c>
      <c r="H363" t="inlineStr">
        <is>
          <t>讲述五条重点法条，明确核心是民族团结是生命线</t>
        </is>
      </c>
      <c r="I363" t="inlineStr">
        <is>
          <t>https://v.douyin.com/ByxyE1ZyQug/ :5pm Qxf:/ 06/14 C@H.iP</t>
        </is>
      </c>
      <c r="J363" t="inlineStr">
        <is>
          <t>新疆</t>
        </is>
      </c>
      <c r="L363" t="inlineStr">
        <is>
          <t>新疆</t>
        </is>
      </c>
      <c r="O363" t="inlineStr">
        <is>
          <t>汉语</t>
        </is>
      </c>
      <c r="P363" t="inlineStr">
        <is>
          <t>否</t>
        </is>
      </c>
      <c r="Q363" t="inlineStr">
        <is>
          <t>支持认可</t>
        </is>
      </c>
      <c r="R363" t="inlineStr">
        <is>
          <t>彝族、新疆同胞在外务工问题</t>
        </is>
      </c>
      <c r="S363" t="n">
        <v>8172</v>
      </c>
      <c r="T363" t="n">
        <v>2590</v>
      </c>
      <c r="U363" t="n">
        <v>2144</v>
      </c>
      <c r="V363" t="inlineStr">
        <is>
          <t>否</t>
        </is>
      </c>
      <c r="W363" t="inlineStr">
        <is>
          <t>是</t>
        </is>
      </c>
      <c r="X363" t="inlineStr">
        <is>
          <t>历史导入:抖音等视频平台_民族团结进步促进法舆情监测_最终修正版.xlsx；来源类型:政府部门；重复:否；待核实:否</t>
        </is>
      </c>
    </row>
    <row r="364">
      <c r="A364" t="inlineStr">
        <is>
          <t>hist-10289fc50247af01</t>
        </is>
      </c>
      <c r="B364" s="82" t="n">
        <v>46252.9403587963</v>
      </c>
      <c r="C364" s="82" t="n">
        <v>46206</v>
      </c>
      <c r="D364" t="inlineStr">
        <is>
          <t>抖音</t>
        </is>
      </c>
      <c r="E364" t="inlineStr">
        <is>
          <t>抖音等视频平台</t>
        </is>
      </c>
      <c r="F364" t="inlineStr">
        <is>
          <t>原始视频</t>
        </is>
      </c>
      <c r="G364" t="inlineStr">
        <is>
          <t>袁周院长</t>
        </is>
      </c>
      <c r="H364" t="inlineStr">
        <is>
          <t>“促统”新法生效后，美欧发生反对，台当局：两岸进入心阶段</t>
        </is>
      </c>
      <c r="I364" t="inlineStr">
        <is>
          <t>https://v.douyin.com/-bpJAn-Htno/ :2pm n@D.hb gbA:/ 07/03</t>
        </is>
      </c>
      <c r="J364" t="inlineStr">
        <is>
          <t>海峡两岸</t>
        </is>
      </c>
      <c r="O364" t="inlineStr">
        <is>
          <t>汉语</t>
        </is>
      </c>
      <c r="P364" t="inlineStr">
        <is>
          <t>否</t>
        </is>
      </c>
      <c r="Q364" t="inlineStr">
        <is>
          <t>支持认可</t>
        </is>
      </c>
      <c r="R364" t="inlineStr">
        <is>
          <t>民族团结促进法对台湾问题当前局势的影响</t>
        </is>
      </c>
      <c r="S364" t="n">
        <v>29000</v>
      </c>
      <c r="T364" t="n">
        <v>2285</v>
      </c>
      <c r="U364" t="n">
        <v>2138</v>
      </c>
      <c r="V364" t="inlineStr">
        <is>
          <t>否</t>
        </is>
      </c>
      <c r="W364" t="inlineStr">
        <is>
          <t>是</t>
        </is>
      </c>
      <c r="X364" t="inlineStr">
        <is>
          <t>历史导入:抖音等视频平台_民族团结进步促进法舆情监测_最终修正版.xlsx；来源类型:个人用户；重复:否；待核实:否</t>
        </is>
      </c>
    </row>
    <row r="365">
      <c r="A365" t="inlineStr">
        <is>
          <t>hist-72c0dd0a8293aaef</t>
        </is>
      </c>
      <c r="B365" s="82" t="n">
        <v>46252.9403587963</v>
      </c>
      <c r="C365" s="82" t="n">
        <v>46205</v>
      </c>
      <c r="D365" t="inlineStr">
        <is>
          <t>抖音</t>
        </is>
      </c>
      <c r="E365" t="inlineStr">
        <is>
          <t>抖音等视频平台</t>
        </is>
      </c>
      <c r="F365" t="inlineStr">
        <is>
          <t>原始视频</t>
        </is>
      </c>
      <c r="G365" t="inlineStr">
        <is>
          <t>青海石榴籽家园</t>
        </is>
      </c>
      <c r="H365" t="inlineStr">
        <is>
          <t>法治解读和民族介绍</t>
        </is>
      </c>
      <c r="I365" t="inlineStr">
        <is>
          <t>https://v.douyin.com/_iWvdSJ48v0/ FHI:/ :7pm r@E.HI 12/07</t>
        </is>
      </c>
      <c r="J365" t="inlineStr">
        <is>
          <t>青海</t>
        </is>
      </c>
      <c r="L365" t="inlineStr">
        <is>
          <t>青海</t>
        </is>
      </c>
      <c r="O365" t="inlineStr">
        <is>
          <t>汉语</t>
        </is>
      </c>
      <c r="P365" t="inlineStr">
        <is>
          <t>否</t>
        </is>
      </c>
      <c r="Q365" t="inlineStr">
        <is>
          <t>公平争议</t>
        </is>
      </c>
      <c r="R365" t="inlineStr">
        <is>
          <t>民族饮食问题</t>
        </is>
      </c>
      <c r="S365" t="n">
        <v>75</v>
      </c>
      <c r="T365" t="n">
        <v>22</v>
      </c>
      <c r="U365" t="n">
        <v>5</v>
      </c>
      <c r="V365" t="inlineStr">
        <is>
          <t>否</t>
        </is>
      </c>
      <c r="W365" t="inlineStr">
        <is>
          <t>是</t>
        </is>
      </c>
      <c r="X365" t="inlineStr">
        <is>
          <t>历史导入:抖音等视频平台_民族团结进步促进法舆情监测_最终修正版.xlsx；来源类型:政府部门；复核:已完成最终复核：评论主张公共餐厅、学校、工厂等取消民族/宗教差异化安排，核心是对待遇公平性的争议，最终定类为“公平争议”。；重复:否；待核实:否</t>
        </is>
      </c>
    </row>
    <row r="366">
      <c r="A366" t="inlineStr">
        <is>
          <t>hist-dc9a2e0445addcfd</t>
        </is>
      </c>
      <c r="B366" s="82" t="n">
        <v>46252.9403587963</v>
      </c>
      <c r="C366" s="82" t="n">
        <v>46218</v>
      </c>
      <c r="D366" t="inlineStr">
        <is>
          <t>抖音</t>
        </is>
      </c>
      <c r="E366" t="inlineStr">
        <is>
          <t>抖音等视频平台</t>
        </is>
      </c>
      <c r="F366" t="inlineStr">
        <is>
          <t>原始视频</t>
        </is>
      </c>
      <c r="G366" t="inlineStr">
        <is>
          <t>艾瓦尼尔魔术（本人）3号</t>
        </is>
      </c>
      <c r="H366" t="inlineStr">
        <is>
          <t>主播视频内容围绕民族团结进步促进法展开。评论区存在较多维吾尔文评论；已能识别的评论主要表达欢迎主播回归、赞扬魔术等，与本法无关；另有少部分无法机器翻译，未能确认与本法相关。</t>
        </is>
      </c>
      <c r="I366" t="inlineStr">
        <is>
          <t>https://v.douyin.com/nL1B9Ta39o4/ :2pm 04/17 lcA:/ Z@m.QK</t>
        </is>
      </c>
      <c r="J366" t="inlineStr">
        <is>
          <t>新疆</t>
        </is>
      </c>
      <c r="L366" t="inlineStr">
        <is>
          <t>新疆</t>
        </is>
      </c>
      <c r="O366" t="inlineStr">
        <is>
          <t>维吾尔语</t>
        </is>
      </c>
      <c r="P366" t="inlineStr">
        <is>
          <t>是</t>
        </is>
      </c>
      <c r="Q366" t="inlineStr">
        <is>
          <t>支持认可</t>
        </is>
      </c>
      <c r="R366" t="inlineStr">
        <is>
          <t>商家消费问题</t>
        </is>
      </c>
      <c r="S366" t="n">
        <v>17000</v>
      </c>
      <c r="T366" t="n">
        <v>4421</v>
      </c>
      <c r="U366" t="n">
        <v>7874</v>
      </c>
      <c r="V366" t="inlineStr">
        <is>
          <t>否</t>
        </is>
      </c>
      <c r="W366" t="inlineStr">
        <is>
          <t>是</t>
        </is>
      </c>
      <c r="X366" t="inlineStr">
        <is>
          <t>历史导入:抖音等视频平台_民族团结进步促进法舆情监测_最终修正版.xlsx；来源类型:个人用户；复核:已完成少数民族语言复核：视频内容为维吾尔语。评论区存在维吾尔文评论，但已识别内容主要为欢迎主播回归、赞扬魔术等，与本法无关；少部分无法翻译，因无法确认与本法相关，不纳入有效舆情统计。；重复:否；待核实:否</t>
        </is>
      </c>
    </row>
    <row r="367">
      <c r="A367" t="inlineStr">
        <is>
          <t>hist-98ef18982a0b884b</t>
        </is>
      </c>
      <c r="B367" s="82" t="n">
        <v>46252.9403587963</v>
      </c>
      <c r="C367" s="82" t="n">
        <v>46209</v>
      </c>
      <c r="D367" t="inlineStr">
        <is>
          <t>抖音</t>
        </is>
      </c>
      <c r="E367" t="inlineStr">
        <is>
          <t>抖音等视频平台</t>
        </is>
      </c>
      <c r="F367" t="inlineStr">
        <is>
          <t>原始视频</t>
        </is>
      </c>
      <c r="G367" t="inlineStr">
        <is>
          <t>幸福拉萨融媒</t>
        </is>
      </c>
      <c r="H367" t="inlineStr">
        <is>
          <t>民族团结进步促进法正式实施</t>
        </is>
      </c>
      <c r="I367" t="inlineStr">
        <is>
          <t>https://v.douyin.com/nO3hxQBF89Y/ :5pm 05/12 x@f.BT KwS:/</t>
        </is>
      </c>
      <c r="J367" t="inlineStr">
        <is>
          <t>西藏</t>
        </is>
      </c>
      <c r="L367" t="inlineStr">
        <is>
          <t>西藏</t>
        </is>
      </c>
      <c r="O367" t="inlineStr">
        <is>
          <t>藏语</t>
        </is>
      </c>
      <c r="P367" t="inlineStr">
        <is>
          <t>是</t>
        </is>
      </c>
      <c r="Q367" t="inlineStr">
        <is>
          <t>支持认可</t>
        </is>
      </c>
      <c r="R367" t="inlineStr">
        <is>
          <t>法律颁布情况</t>
        </is>
      </c>
      <c r="S367" t="n">
        <v>713</v>
      </c>
      <c r="T367" t="n">
        <v>24</v>
      </c>
      <c r="U367" t="n">
        <v>98</v>
      </c>
      <c r="V367" t="inlineStr">
        <is>
          <t>否</t>
        </is>
      </c>
      <c r="W367" t="inlineStr">
        <is>
          <t>是</t>
        </is>
      </c>
      <c r="X367" t="inlineStr">
        <is>
          <t>历史导入:抖音等视频平台_民族团结进步促进法舆情监测_最终修正版.xlsx；来源类型:融媒体；重复:否；待核实:否</t>
        </is>
      </c>
    </row>
    <row r="368">
      <c r="A368" t="inlineStr">
        <is>
          <t>hist-23bad31cb7e1401e</t>
        </is>
      </c>
      <c r="B368" s="82" t="n">
        <v>46252.9403587963</v>
      </c>
      <c r="C368" s="82" t="n">
        <v>46204</v>
      </c>
      <c r="D368" t="inlineStr">
        <is>
          <t>抖音</t>
        </is>
      </c>
      <c r="E368" t="inlineStr">
        <is>
          <t>抖音等视频平台</t>
        </is>
      </c>
      <c r="F368" t="inlineStr">
        <is>
          <t>原始视频</t>
        </is>
      </c>
      <c r="G368" t="inlineStr">
        <is>
          <t>青海法治报</t>
        </is>
      </c>
      <c r="H368" t="inlineStr">
        <is>
          <t>讲解民族团结进步促进法法条</t>
        </is>
      </c>
      <c r="I368" t="inlineStr">
        <is>
          <t>https://v.douyin.com/DzPQPZBYk3k/ NjP:/ n@D.Hv :4pm 05/11</t>
        </is>
      </c>
      <c r="J368" t="inlineStr">
        <is>
          <t>青海</t>
        </is>
      </c>
      <c r="L368" t="inlineStr">
        <is>
          <t>青海</t>
        </is>
      </c>
      <c r="O368" t="inlineStr">
        <is>
          <t>汉语</t>
        </is>
      </c>
      <c r="P368" t="inlineStr">
        <is>
          <t>否</t>
        </is>
      </c>
      <c r="Q368" t="inlineStr">
        <is>
          <t>咨询疑问</t>
        </is>
      </c>
      <c r="R368" t="inlineStr">
        <is>
          <t>禁止民族歧视、仇恨，全面推广普通话</t>
        </is>
      </c>
      <c r="S368" t="n">
        <v>95</v>
      </c>
      <c r="T368" t="n">
        <v>10</v>
      </c>
      <c r="U368" t="n">
        <v>8</v>
      </c>
      <c r="V368" t="inlineStr">
        <is>
          <t>否</t>
        </is>
      </c>
      <c r="W368" t="inlineStr">
        <is>
          <t>是</t>
        </is>
      </c>
      <c r="X368" t="inlineStr">
        <is>
          <t>历史导入:抖音等视频平台_民族团结进步促进法舆情监测_最终修正版.xlsx；来源类型:融媒体；复核:已复核，无误；重复:否；待核实:否</t>
        </is>
      </c>
    </row>
    <row r="369">
      <c r="A369" t="inlineStr">
        <is>
          <t>hist-c55b59fac7114668</t>
        </is>
      </c>
      <c r="B369" s="82" t="n">
        <v>46252.9403587963</v>
      </c>
      <c r="C369" s="82" t="n">
        <v>46209</v>
      </c>
      <c r="D369" t="inlineStr">
        <is>
          <t>抖音</t>
        </is>
      </c>
      <c r="E369" t="inlineStr">
        <is>
          <t>抖音等视频平台</t>
        </is>
      </c>
      <c r="F369" t="inlineStr">
        <is>
          <t>原始视频</t>
        </is>
      </c>
      <c r="G369" t="inlineStr">
        <is>
          <t>木垒县融媒体中心</t>
        </is>
      </c>
      <c r="H369" t="inlineStr">
        <is>
          <t>讲解民族团结进步促进法法条</t>
        </is>
      </c>
      <c r="I369" t="inlineStr">
        <is>
          <t>https://v.douyin.com/Gkzz-LEXpe0/ 03/03 :1pm H@V.YZ dNW:/</t>
        </is>
      </c>
      <c r="J369" t="inlineStr">
        <is>
          <t>新疆</t>
        </is>
      </c>
      <c r="L369" t="inlineStr">
        <is>
          <t>新疆</t>
        </is>
      </c>
      <c r="O369" t="inlineStr">
        <is>
          <t>汉语</t>
        </is>
      </c>
      <c r="P369" t="inlineStr">
        <is>
          <t>否</t>
        </is>
      </c>
      <c r="Q369" t="inlineStr">
        <is>
          <t>支持认可</t>
        </is>
      </c>
      <c r="R369" t="inlineStr">
        <is>
          <t>禁止民族歧视、仇恨，全面推广普通话</t>
        </is>
      </c>
      <c r="S369" t="n">
        <v>5282</v>
      </c>
      <c r="T369" t="n">
        <v>204</v>
      </c>
      <c r="U369" t="n">
        <v>2812</v>
      </c>
      <c r="V369" t="inlineStr">
        <is>
          <t>否</t>
        </is>
      </c>
      <c r="W369" t="inlineStr">
        <is>
          <t>是</t>
        </is>
      </c>
      <c r="X369" t="inlineStr">
        <is>
          <t>历史导入:抖音等视频平台_民族团结进步促进法舆情监测_最终修正版.xlsx；来源类型:融媒体；重复:否；待核实:否</t>
        </is>
      </c>
    </row>
    <row r="370">
      <c r="A370" t="inlineStr">
        <is>
          <t>hist-44623168065fab1d</t>
        </is>
      </c>
      <c r="B370" s="82" t="n">
        <v>46252.9403587963</v>
      </c>
      <c r="C370" s="82" t="n">
        <v>46210</v>
      </c>
      <c r="D370" t="inlineStr">
        <is>
          <t>抖音</t>
        </is>
      </c>
      <c r="E370" t="inlineStr">
        <is>
          <t>抖音等视频平台</t>
        </is>
      </c>
      <c r="F370" t="inlineStr">
        <is>
          <t>原始视频</t>
        </is>
      </c>
      <c r="G370" t="inlineStr">
        <is>
          <t>鄂尔多斯普法联盟</t>
        </is>
      </c>
      <c r="H370" t="inlineStr">
        <is>
          <t>讲解民族团结进步促进法基本情况及介绍使用7种文字发行</t>
        </is>
      </c>
      <c r="I370" t="inlineStr">
        <is>
          <t>https://v.douyin.com/fGUtXBU0p6Y/ s@R.xF :5pm NwS:/ 11/12</t>
        </is>
      </c>
      <c r="J370" t="inlineStr">
        <is>
          <t>内蒙古</t>
        </is>
      </c>
      <c r="L370" t="inlineStr">
        <is>
          <t>内蒙古</t>
        </is>
      </c>
      <c r="O370" t="inlineStr">
        <is>
          <t>汉语</t>
        </is>
      </c>
      <c r="P370" t="inlineStr">
        <is>
          <t>否</t>
        </is>
      </c>
      <c r="Q370" t="inlineStr">
        <is>
          <t>支持认可</t>
        </is>
      </c>
      <c r="R370" t="inlineStr">
        <is>
          <t>民族团结促进法颁布，多种文字共同发行</t>
        </is>
      </c>
      <c r="S370" t="n">
        <v>261</v>
      </c>
      <c r="T370" t="n">
        <v>31</v>
      </c>
      <c r="U370" t="n">
        <v>140</v>
      </c>
      <c r="V370" t="inlineStr">
        <is>
          <t>否</t>
        </is>
      </c>
      <c r="W370" t="inlineStr">
        <is>
          <t>是</t>
        </is>
      </c>
      <c r="X370" t="inlineStr">
        <is>
          <t>历史导入:抖音等视频平台_民族团结进步促进法舆情监测_最终修正版.xlsx；来源类型:政府部门；重复:否；待核实:否</t>
        </is>
      </c>
    </row>
    <row r="371">
      <c r="A371" t="inlineStr">
        <is>
          <t>hist-7f15d56add7f661f</t>
        </is>
      </c>
      <c r="B371" s="82" t="n">
        <v>46252.9403587963</v>
      </c>
      <c r="C371" s="82" t="n">
        <v>46204</v>
      </c>
      <c r="D371" t="inlineStr">
        <is>
          <t>抖音</t>
        </is>
      </c>
      <c r="E371" t="inlineStr">
        <is>
          <t>抖音等视频平台</t>
        </is>
      </c>
      <c r="F371" t="inlineStr">
        <is>
          <t>原始视频</t>
        </is>
      </c>
      <c r="G371" t="inlineStr">
        <is>
          <t>曲水融媒</t>
        </is>
      </c>
      <c r="H371" t="inlineStr">
        <is>
          <t>讲解民族团结进步促进法于7月1日实施，及其重大意义和作用</t>
        </is>
      </c>
      <c r="I371" t="inlineStr">
        <is>
          <t>https://v.douyin.com/oAVaSiykQdo/ MjP:/ :7pm B@T.LW 10/22</t>
        </is>
      </c>
      <c r="J371" t="inlineStr">
        <is>
          <t>西藏</t>
        </is>
      </c>
      <c r="L371" t="inlineStr">
        <is>
          <t>西藏</t>
        </is>
      </c>
      <c r="O371" t="inlineStr">
        <is>
          <t>藏语</t>
        </is>
      </c>
      <c r="P371" t="inlineStr">
        <is>
          <t>是</t>
        </is>
      </c>
      <c r="Q371" t="inlineStr">
        <is>
          <t>支持认可</t>
        </is>
      </c>
      <c r="R371" t="inlineStr">
        <is>
          <t>民族团结进步促进法意义重大，法令行则团结兴</t>
        </is>
      </c>
      <c r="S371" t="n">
        <v>108</v>
      </c>
      <c r="T371" t="n">
        <v>4</v>
      </c>
      <c r="U371" t="n">
        <v>2</v>
      </c>
      <c r="V371" t="inlineStr">
        <is>
          <t>否</t>
        </is>
      </c>
      <c r="W371" t="inlineStr">
        <is>
          <t>是</t>
        </is>
      </c>
      <c r="X371" t="inlineStr">
        <is>
          <t>历史导入:抖音等视频平台_民族团结进步促进法舆情监测_最终修正版.xlsx；来源类型:政府部门；复核:已完成少数民族语言复核：母视频内容为藏语，评论按评论本身语言统计；未确认到与本法相关的藏语评论。；重复:否；待核实:否</t>
        </is>
      </c>
    </row>
    <row r="372">
      <c r="A372" t="inlineStr">
        <is>
          <t>hist-246b974f712cb358</t>
        </is>
      </c>
      <c r="B372" s="82" t="n">
        <v>46252.9403587963</v>
      </c>
      <c r="C372" s="82" t="n">
        <v>46204</v>
      </c>
      <c r="D372" t="inlineStr">
        <is>
          <t>抖音</t>
        </is>
      </c>
      <c r="E372" t="inlineStr">
        <is>
          <t>抖音等视频平台</t>
        </is>
      </c>
      <c r="F372" t="inlineStr">
        <is>
          <t>原始视频</t>
        </is>
      </c>
      <c r="G372" t="inlineStr">
        <is>
          <t>西夏检察</t>
        </is>
      </c>
      <c r="H372" t="inlineStr">
        <is>
          <t>全民共同推进共同体</t>
        </is>
      </c>
      <c r="I372" t="inlineStr">
        <is>
          <t>https://v.douyin.com/9d4gENW55WU/ 05/16 :0pm FUL:/ t@r.EU</t>
        </is>
      </c>
      <c r="J372" t="inlineStr">
        <is>
          <t>宁夏</t>
        </is>
      </c>
      <c r="L372" t="inlineStr">
        <is>
          <t>宁夏</t>
        </is>
      </c>
      <c r="O372" t="inlineStr">
        <is>
          <t>汉语</t>
        </is>
      </c>
      <c r="P372" t="inlineStr">
        <is>
          <t>否</t>
        </is>
      </c>
      <c r="Q372" t="inlineStr">
        <is>
          <t>支持认可</t>
        </is>
      </c>
      <c r="R372" t="inlineStr">
        <is>
          <t>共同促进各民族守望相助，共同进步</t>
        </is>
      </c>
      <c r="S372" t="n">
        <v>1336</v>
      </c>
      <c r="T372" t="n">
        <v>135</v>
      </c>
      <c r="U372" t="n">
        <v>49</v>
      </c>
      <c r="V372" t="inlineStr">
        <is>
          <t>否</t>
        </is>
      </c>
      <c r="W372" t="inlineStr">
        <is>
          <t>是</t>
        </is>
      </c>
      <c r="X372" t="inlineStr">
        <is>
          <t>历史导入:抖音等视频平台_民族团结进步促进法舆情监测_最终修正版.xlsx；来源类型:政府部门；重复:否；待核实:否</t>
        </is>
      </c>
    </row>
    <row r="373">
      <c r="A373" t="inlineStr">
        <is>
          <t>hist-9fda3ec5412d6119</t>
        </is>
      </c>
      <c r="B373" s="82" t="n">
        <v>46252.9403587963</v>
      </c>
      <c r="C373" s="82" t="n">
        <v>46210</v>
      </c>
      <c r="D373" t="inlineStr">
        <is>
          <t>抖音</t>
        </is>
      </c>
      <c r="E373" t="inlineStr">
        <is>
          <t>抖音等视频平台</t>
        </is>
      </c>
      <c r="F373" t="inlineStr">
        <is>
          <t>原始视频</t>
        </is>
      </c>
      <c r="G373" t="inlineStr">
        <is>
          <t>日土县融媒体中心</t>
        </is>
      </c>
      <c r="H373" t="inlineStr">
        <is>
          <t>招工时，不允许任何民族歧视</t>
        </is>
      </c>
      <c r="I373" t="inlineStr">
        <is>
          <t>https://v.douyin.com/oqYxGDXPLBc/ EuS:/ 03/17 A@g.Ox :6pm</t>
        </is>
      </c>
      <c r="J373" t="inlineStr">
        <is>
          <t>西藏</t>
        </is>
      </c>
      <c r="L373" t="inlineStr">
        <is>
          <t>西藏</t>
        </is>
      </c>
      <c r="O373" t="inlineStr">
        <is>
          <t>汉语</t>
        </is>
      </c>
      <c r="P373" t="inlineStr">
        <is>
          <t>否</t>
        </is>
      </c>
      <c r="Q373" t="inlineStr">
        <is>
          <t>公平争议</t>
        </is>
      </c>
      <c r="R373" t="inlineStr">
        <is>
          <t>招聘不允许设置民族条件</t>
        </is>
      </c>
      <c r="S373" t="n">
        <v>43</v>
      </c>
      <c r="T373" t="n">
        <v>7</v>
      </c>
      <c r="U373" t="n">
        <v>2</v>
      </c>
      <c r="V373" t="inlineStr">
        <is>
          <t>否</t>
        </is>
      </c>
      <c r="W373" t="inlineStr">
        <is>
          <t>是</t>
        </is>
      </c>
      <c r="X373" t="inlineStr">
        <is>
          <t>历史导入:抖音等视频平台_民族团结进步促进法舆情监测_最终修正版.xlsx；来源类型:融媒体；复核:已完成最终复核：评论直接表达“反对歧视汉族”，核心是对不同民族平等对待的公平诉求，最终定类为“公平争议”。；重复:否；待核实:否</t>
        </is>
      </c>
    </row>
    <row r="374">
      <c r="A374" t="inlineStr">
        <is>
          <t>hist-1dde9f4ecdd6315f</t>
        </is>
      </c>
      <c r="B374" s="82" t="n">
        <v>46252.9403587963</v>
      </c>
      <c r="C374" s="82" t="n">
        <v>46239</v>
      </c>
      <c r="D374" t="inlineStr">
        <is>
          <t>抖音</t>
        </is>
      </c>
      <c r="E374" t="inlineStr">
        <is>
          <t>抖音等视频平台</t>
        </is>
      </c>
      <c r="F374" t="inlineStr">
        <is>
          <t>原始视频</t>
        </is>
      </c>
      <c r="G374" t="inlineStr">
        <is>
          <t>日土县融媒体中心</t>
        </is>
      </c>
      <c r="H374" t="inlineStr">
        <is>
          <t>招工时，不允许任何民族歧视</t>
        </is>
      </c>
      <c r="I374" t="inlineStr">
        <is>
          <t>https://v.douyin.com/oqYxGDXPLBc/ EuS:/ 03/17 A@g.Ox :6pm</t>
        </is>
      </c>
      <c r="J374" t="inlineStr">
        <is>
          <t>西藏</t>
        </is>
      </c>
      <c r="L374" t="inlineStr">
        <is>
          <t>西藏</t>
        </is>
      </c>
      <c r="O374" t="inlineStr">
        <is>
          <t>汉语</t>
        </is>
      </c>
      <c r="P374" t="inlineStr">
        <is>
          <t>否</t>
        </is>
      </c>
      <c r="Q374" t="inlineStr">
        <is>
          <t>支持认可</t>
        </is>
      </c>
      <c r="R374" t="inlineStr">
        <is>
          <t>招聘不允许设置民族条件</t>
        </is>
      </c>
      <c r="S374" t="n">
        <v>43</v>
      </c>
      <c r="T374" t="n">
        <v>7</v>
      </c>
      <c r="U374" t="n">
        <v>2</v>
      </c>
      <c r="V374" t="inlineStr">
        <is>
          <t>否</t>
        </is>
      </c>
      <c r="W374" t="inlineStr">
        <is>
          <t>是</t>
        </is>
      </c>
      <c r="X374" t="inlineStr">
        <is>
          <t>历史导入:抖音等视频平台_民族团结进步促进法舆情监测_最终修正版.xlsx；来源类型:融媒体；重复:否；待核实:否</t>
        </is>
      </c>
    </row>
    <row r="375">
      <c r="A375" t="inlineStr">
        <is>
          <t>hist-fcc64ae54159b0d8</t>
        </is>
      </c>
      <c r="B375" s="82" t="n">
        <v>46252.9403587963</v>
      </c>
      <c r="C375" s="82" t="n">
        <v>46218</v>
      </c>
      <c r="D375" t="inlineStr">
        <is>
          <t>抖音</t>
        </is>
      </c>
      <c r="E375" t="inlineStr">
        <is>
          <t>抖音等视频平台</t>
        </is>
      </c>
      <c r="F375" t="inlineStr">
        <is>
          <t>原始视频</t>
        </is>
      </c>
      <c r="G375" t="inlineStr">
        <is>
          <t>西夏检察</t>
        </is>
      </c>
      <c r="H375" t="inlineStr">
        <is>
          <t>禁止对任何民族的歧视和压迫</t>
        </is>
      </c>
      <c r="I375" t="inlineStr">
        <is>
          <t>https://v.douyin.com/3MzkabQ2Tms/ YmD:/ 02/26 :2pm x@s.rE</t>
        </is>
      </c>
      <c r="J375" t="inlineStr">
        <is>
          <t>宁夏</t>
        </is>
      </c>
      <c r="L375" t="inlineStr">
        <is>
          <t>宁夏</t>
        </is>
      </c>
      <c r="O375" t="inlineStr">
        <is>
          <t>汉语</t>
        </is>
      </c>
      <c r="P375" t="inlineStr">
        <is>
          <t>否</t>
        </is>
      </c>
      <c r="Q375" t="inlineStr">
        <is>
          <t>支持认可</t>
        </is>
      </c>
      <c r="R375" t="inlineStr">
        <is>
          <t>禁止对任何民族的歧视和压迫</t>
        </is>
      </c>
      <c r="S375" t="n">
        <v>2128</v>
      </c>
      <c r="T375" t="n">
        <v>130</v>
      </c>
      <c r="U375" t="n">
        <v>143</v>
      </c>
      <c r="V375" t="inlineStr">
        <is>
          <t>否</t>
        </is>
      </c>
      <c r="W375" t="inlineStr">
        <is>
          <t>是</t>
        </is>
      </c>
      <c r="X375" t="inlineStr">
        <is>
          <t>历史导入:抖音等视频平台_民族团结进步促进法舆情监测_最终修正版.xlsx；来源类型:政府部门；重复:否；待核实:否</t>
        </is>
      </c>
    </row>
    <row r="376">
      <c r="A376" t="inlineStr">
        <is>
          <t>hist-9a56c30beac9eed1</t>
        </is>
      </c>
      <c r="B376" s="82" t="n">
        <v>46252.9403587963</v>
      </c>
      <c r="C376" s="82" t="n">
        <v>46211</v>
      </c>
      <c r="D376" t="inlineStr">
        <is>
          <t>抖音</t>
        </is>
      </c>
      <c r="E376" t="inlineStr">
        <is>
          <t>抖音等视频平台</t>
        </is>
      </c>
      <c r="F376" t="inlineStr">
        <is>
          <t>原始视频</t>
        </is>
      </c>
      <c r="G376" t="inlineStr">
        <is>
          <t>麦盖提发布</t>
        </is>
      </c>
      <c r="H376" t="inlineStr">
        <is>
          <t>各民族平等，共同守护中华民族大家庭</t>
        </is>
      </c>
      <c r="I376" t="inlineStr">
        <is>
          <t>https://v.douyin.com/15RPHT6O72o/ i@P.XM 10/03 hoq:/ :8pm</t>
        </is>
      </c>
      <c r="J376" t="inlineStr">
        <is>
          <t>新疆</t>
        </is>
      </c>
      <c r="L376" t="inlineStr">
        <is>
          <t>新疆</t>
        </is>
      </c>
      <c r="O376" t="inlineStr">
        <is>
          <t>汉语</t>
        </is>
      </c>
      <c r="P376" t="inlineStr">
        <is>
          <t>否</t>
        </is>
      </c>
      <c r="Q376" t="inlineStr">
        <is>
          <t>支持认可</t>
        </is>
      </c>
      <c r="R376" t="inlineStr">
        <is>
          <t>共同守护中华民族</t>
        </is>
      </c>
      <c r="S376" t="n">
        <v>111</v>
      </c>
      <c r="T376" t="n">
        <v>4</v>
      </c>
      <c r="U376" t="n">
        <v>22</v>
      </c>
      <c r="V376" t="inlineStr">
        <is>
          <t>否</t>
        </is>
      </c>
      <c r="W376" t="inlineStr">
        <is>
          <t>是</t>
        </is>
      </c>
      <c r="X376" t="inlineStr">
        <is>
          <t>历史导入:抖音等视频平台_民族团结进步促进法舆情监测_最终修正版.xlsx；来源类型:融媒体；重复:否；待核实:否</t>
        </is>
      </c>
    </row>
    <row r="377">
      <c r="A377" t="inlineStr">
        <is>
          <t>hist-852780d37fa6eae4</t>
        </is>
      </c>
      <c r="B377" s="82" t="n">
        <v>46252.9403587963</v>
      </c>
      <c r="C377" s="82" t="n">
        <v>46208</v>
      </c>
      <c r="D377" t="inlineStr">
        <is>
          <t>抖音</t>
        </is>
      </c>
      <c r="E377" t="inlineStr">
        <is>
          <t>抖音等视频平台</t>
        </is>
      </c>
      <c r="F377" t="inlineStr">
        <is>
          <t>原始视频</t>
        </is>
      </c>
      <c r="G377" t="inlineStr">
        <is>
          <t>放猎老人~迪日</t>
        </is>
      </c>
      <c r="H377" t="inlineStr">
        <is>
          <t>因民族身份区别对待，违法</t>
        </is>
      </c>
      <c r="I377" t="inlineStr">
        <is>
          <t>https://v.douyin.com/16OsNi3fsYg/ :6pm C@H.ic 02/04 XzT:/</t>
        </is>
      </c>
      <c r="J377" t="inlineStr">
        <is>
          <t>四川</t>
        </is>
      </c>
      <c r="L377" t="inlineStr">
        <is>
          <t>四川</t>
        </is>
      </c>
      <c r="O377" t="inlineStr">
        <is>
          <t>彝语</t>
        </is>
      </c>
      <c r="P377" t="inlineStr">
        <is>
          <t>是</t>
        </is>
      </c>
      <c r="Q377" t="inlineStr">
        <is>
          <t>担忧影响</t>
        </is>
      </c>
      <c r="R377" t="inlineStr">
        <is>
          <t>工作、生活全各民族平等</t>
        </is>
      </c>
      <c r="S377" t="n">
        <v>1108</v>
      </c>
      <c r="T377" t="n">
        <v>193</v>
      </c>
      <c r="U377" t="n">
        <v>199</v>
      </c>
      <c r="V377" t="inlineStr">
        <is>
          <t>否</t>
        </is>
      </c>
      <c r="W377" t="inlineStr">
        <is>
          <t>是</t>
        </is>
      </c>
      <c r="X377" t="inlineStr">
        <is>
          <t>历史导入:抖音等视频平台_民族团结进步促进法舆情监测_最终修正版.xlsx；来源类型:个人用户；复核:已完成最终复核：评论以“理想很丰满，现实很骨感”质疑法律落地后的现实效果，最终定类为“担忧影响”。视频为彝语的语言属性另行记录，不影响该中文评论的态度判断。；重复:否；待核实:否</t>
        </is>
      </c>
    </row>
    <row r="378">
      <c r="A378" t="inlineStr">
        <is>
          <t>hist-b74c9ac6ff9e0dcf</t>
        </is>
      </c>
      <c r="B378" s="82" t="n">
        <v>46252.9403587963</v>
      </c>
      <c r="C378" s="82" t="n">
        <v>46237</v>
      </c>
      <c r="D378" t="inlineStr">
        <is>
          <t>抖音</t>
        </is>
      </c>
      <c r="E378" t="inlineStr">
        <is>
          <t>抖音等视频平台</t>
        </is>
      </c>
      <c r="F378" t="inlineStr">
        <is>
          <t>原始视频</t>
        </is>
      </c>
      <c r="G378" t="inlineStr">
        <is>
          <t>平安拉萨</t>
        </is>
      </c>
      <c r="H378" t="inlineStr">
        <is>
          <t>民族团结入人心</t>
        </is>
      </c>
      <c r="I378" t="inlineStr">
        <is>
          <t>https://v.douyin.com/5SvKr3qxuc4/ cAT:/ 02/03 :1pm k@P.kP</t>
        </is>
      </c>
      <c r="J378" t="inlineStr">
        <is>
          <t>西藏</t>
        </is>
      </c>
      <c r="L378" t="inlineStr">
        <is>
          <t>西藏</t>
        </is>
      </c>
      <c r="O378" t="inlineStr">
        <is>
          <t>藏语</t>
        </is>
      </c>
      <c r="P378" t="inlineStr">
        <is>
          <t>是</t>
        </is>
      </c>
      <c r="Q378" t="inlineStr">
        <is>
          <t>支持认可</t>
        </is>
      </c>
      <c r="R378" t="inlineStr">
        <is>
          <t>基层宣传民族团结进步法</t>
        </is>
      </c>
      <c r="S378" t="n">
        <v>193</v>
      </c>
      <c r="T378" t="n">
        <v>8</v>
      </c>
      <c r="U378" t="n">
        <v>2</v>
      </c>
      <c r="V378" t="inlineStr">
        <is>
          <t>否</t>
        </is>
      </c>
      <c r="W378" t="inlineStr">
        <is>
          <t>是</t>
        </is>
      </c>
      <c r="X378" t="inlineStr">
        <is>
          <t>历史导入:抖音等视频平台_民族团结进步促进法舆情监测_最终修正版.xlsx；来源类型:政府部门；复核:已完成少数民族语言复核：母视频内容为藏语，评论按评论本身语言统计；未确认到与本法相关的藏语评论。；重复:否；待核实:否</t>
        </is>
      </c>
    </row>
    <row r="379">
      <c r="A379" t="inlineStr">
        <is>
          <t>hist-8de54e215bba2ccd</t>
        </is>
      </c>
      <c r="B379" s="82" t="n">
        <v>46252.9403587963</v>
      </c>
      <c r="C379" s="82" t="n">
        <v>46211</v>
      </c>
      <c r="D379" t="inlineStr">
        <is>
          <t>抖音</t>
        </is>
      </c>
      <c r="E379" t="inlineStr">
        <is>
          <t>抖音等视频平台</t>
        </is>
      </c>
      <c r="F379" t="inlineStr">
        <is>
          <t>原始视频</t>
        </is>
      </c>
      <c r="G379" t="inlineStr">
        <is>
          <t>黔南公安</t>
        </is>
      </c>
      <c r="H379" t="inlineStr">
        <is>
          <t>民族团结就在我们每天的一句话、一句评论里</t>
        </is>
      </c>
      <c r="I379" t="inlineStr">
        <is>
          <t>https://v.douyin.com/GuEZxvdgFjA/ UlP:/ 06/07 g@B.tr :3pm</t>
        </is>
      </c>
      <c r="J379" t="inlineStr">
        <is>
          <t>自治州</t>
        </is>
      </c>
      <c r="O379" t="inlineStr">
        <is>
          <t>汉语</t>
        </is>
      </c>
      <c r="P379" t="inlineStr">
        <is>
          <t>否</t>
        </is>
      </c>
      <c r="Q379" t="inlineStr">
        <is>
          <t>咨询疑问</t>
        </is>
      </c>
      <c r="R379" t="inlineStr">
        <is>
          <t>各民族平等</t>
        </is>
      </c>
      <c r="S379" t="n">
        <v>56</v>
      </c>
      <c r="T379" t="n">
        <v>56</v>
      </c>
      <c r="U379" t="n">
        <v>56</v>
      </c>
      <c r="V379" t="inlineStr">
        <is>
          <t>否</t>
        </is>
      </c>
      <c r="W379" t="inlineStr">
        <is>
          <t>是</t>
        </is>
      </c>
      <c r="X379" t="inlineStr">
        <is>
          <t>历史导入:抖音等视频平台_民族团结进步促进法舆情监测_最终修正版.xlsx；来源类型:政府部门；复核:已复核，更改意见类型为：咨询疑问，现无误；重复:否；待核实:否</t>
        </is>
      </c>
    </row>
    <row r="380">
      <c r="A380" t="inlineStr">
        <is>
          <t>hist-3ed0d6cc0ccc538f</t>
        </is>
      </c>
      <c r="B380" s="82" t="n">
        <v>46252.9403587963</v>
      </c>
      <c r="C380" s="82" t="n">
        <v>46207</v>
      </c>
      <c r="D380" t="inlineStr">
        <is>
          <t>抖音</t>
        </is>
      </c>
      <c r="E380" t="inlineStr">
        <is>
          <t>抖音等视频平台</t>
        </is>
      </c>
      <c r="F380" t="inlineStr">
        <is>
          <t>原始视频</t>
        </is>
      </c>
      <c r="G380" t="inlineStr">
        <is>
          <t>临夏.马文华</t>
        </is>
      </c>
      <c r="H380" t="inlineStr">
        <is>
          <t>各民族互相尊重，多交流</t>
        </is>
      </c>
      <c r="I380" t="inlineStr">
        <is>
          <t>https://v.douyin.com/nlLhxpcBft4/ QxF:/ 08/06 r@E.hB :4pm</t>
        </is>
      </c>
      <c r="O380" t="inlineStr">
        <is>
          <t>汉语</t>
        </is>
      </c>
      <c r="P380" t="inlineStr">
        <is>
          <t>否</t>
        </is>
      </c>
      <c r="Q380" t="inlineStr">
        <is>
          <t>中性信息</t>
        </is>
      </c>
      <c r="R380" t="inlineStr">
        <is>
          <t>宗教信仰、民族习俗方面</t>
        </is>
      </c>
      <c r="S380" t="n">
        <v>188</v>
      </c>
      <c r="T380" t="n">
        <v>141</v>
      </c>
      <c r="U380" t="n">
        <v>3</v>
      </c>
      <c r="V380" t="inlineStr">
        <is>
          <t>否</t>
        </is>
      </c>
      <c r="W380" t="inlineStr">
        <is>
          <t>是</t>
        </is>
      </c>
      <c r="X380" t="inlineStr">
        <is>
          <t>历史导入:抖音等视频平台_民族团结进步促进法舆情监测_最终修正版.xlsx；来源类型:个人用户；复核:已复核，无误；重复:否；待核实:否</t>
        </is>
      </c>
    </row>
    <row r="381">
      <c r="A381" t="inlineStr">
        <is>
          <t>hist-02d99414dd42f968</t>
        </is>
      </c>
      <c r="B381" s="82" t="n">
        <v>46252.9403587963</v>
      </c>
      <c r="C381" s="82" t="n">
        <v>46234</v>
      </c>
      <c r="D381" t="inlineStr">
        <is>
          <t>抖音</t>
        </is>
      </c>
      <c r="E381" t="inlineStr">
        <is>
          <t>抖音等视频平台</t>
        </is>
      </c>
      <c r="F381" t="inlineStr">
        <is>
          <t>原始视频</t>
        </is>
      </c>
      <c r="G381" t="inlineStr">
        <is>
          <t>法治宝鸡</t>
        </is>
      </c>
      <c r="H381" t="inlineStr">
        <is>
          <t>民族文化一家亲</t>
        </is>
      </c>
      <c r="I381" t="inlineStr">
        <is>
          <t>https://v.douyin.com/T1nIpBJ3-3w/ hBT:/ :8pm H@V.YM 07/25</t>
        </is>
      </c>
      <c r="J381" t="inlineStr">
        <is>
          <t>宝鸡市</t>
        </is>
      </c>
      <c r="L381" t="inlineStr">
        <is>
          <t>陕西</t>
        </is>
      </c>
      <c r="O381" t="inlineStr">
        <is>
          <t>汉语</t>
        </is>
      </c>
      <c r="P381" t="inlineStr">
        <is>
          <t>否</t>
        </is>
      </c>
      <c r="Q381" t="inlineStr">
        <is>
          <t>咨询疑问</t>
        </is>
      </c>
      <c r="R381" t="inlineStr">
        <is>
          <t>学业生活方面</t>
        </is>
      </c>
      <c r="S381" t="n">
        <v>136</v>
      </c>
      <c r="T381" t="n">
        <v>6</v>
      </c>
      <c r="U381" t="n">
        <v>8</v>
      </c>
      <c r="V381" t="inlineStr">
        <is>
          <t>否</t>
        </is>
      </c>
      <c r="W381" t="inlineStr">
        <is>
          <t>是</t>
        </is>
      </c>
      <c r="X381" t="inlineStr">
        <is>
          <t>历史导入:抖音等视频平台_民族团结进步促进法舆情监测_最终修正版.xlsx；来源类型:政府部门；重复:否；待核实:否</t>
        </is>
      </c>
    </row>
    <row r="382">
      <c r="A382" t="inlineStr">
        <is>
          <t>hist-d445ea537f6aaca1</t>
        </is>
      </c>
      <c r="B382" s="82" t="n">
        <v>46252.9403587963</v>
      </c>
      <c r="C382" s="82" t="n">
        <v>46213</v>
      </c>
      <c r="D382" t="inlineStr">
        <is>
          <t>抖音</t>
        </is>
      </c>
      <c r="E382" t="inlineStr">
        <is>
          <t>抖音等视频平台</t>
        </is>
      </c>
      <c r="F382" t="inlineStr">
        <is>
          <t>原始视频</t>
        </is>
      </c>
      <c r="G382" t="inlineStr">
        <is>
          <t>虎狼之师</t>
        </is>
      </c>
      <c r="H382" t="inlineStr">
        <is>
          <t>它将彻底终结了以往清真泛化...的局面</t>
        </is>
      </c>
      <c r="I382" t="inlineStr">
        <is>
          <t>https://v.douyin.com/L0cQAQqjcnE/ u@S.lc 02/27 LJv:/ :6pm</t>
        </is>
      </c>
      <c r="O382" t="inlineStr">
        <is>
          <t>汉语</t>
        </is>
      </c>
      <c r="P382" t="inlineStr">
        <is>
          <t>否</t>
        </is>
      </c>
      <c r="Q382" t="inlineStr">
        <is>
          <t>支持认可</t>
        </is>
      </c>
      <c r="R382" t="inlineStr">
        <is>
          <t>生活场所清真泛化问题</t>
        </is>
      </c>
      <c r="S382" t="n">
        <v>1398</v>
      </c>
      <c r="T382" t="n">
        <v>253</v>
      </c>
      <c r="U382" t="n">
        <v>197</v>
      </c>
      <c r="V382" t="inlineStr">
        <is>
          <t>否</t>
        </is>
      </c>
      <c r="W382" t="inlineStr">
        <is>
          <t>是</t>
        </is>
      </c>
      <c r="X382" t="inlineStr">
        <is>
          <t>历史导入:抖音等视频平台_民族团结进步促进法舆情监测_最终修正版.xlsx；来源类型:个人用户；重复:否；待核实:否</t>
        </is>
      </c>
    </row>
    <row r="383">
      <c r="A383" t="inlineStr">
        <is>
          <t>hist-86b79c0804e9b171</t>
        </is>
      </c>
      <c r="B383" s="82" t="n">
        <v>46252.9403587963</v>
      </c>
      <c r="C383" s="82" t="n">
        <v>46211</v>
      </c>
      <c r="D383" t="inlineStr">
        <is>
          <t>抖音</t>
        </is>
      </c>
      <c r="E383" t="inlineStr">
        <is>
          <t>抖音等视频平台</t>
        </is>
      </c>
      <c r="F383" t="inlineStr">
        <is>
          <t>个人用户</t>
        </is>
      </c>
      <c r="G383" t="inlineStr">
        <is>
          <t>牛牛妈妈要加油呀！</t>
        </is>
      </c>
      <c r="H383" t="inlineStr">
        <is>
          <t>民族团结促进进发</t>
        </is>
      </c>
      <c r="I383" t="inlineStr">
        <is>
          <t>https://v.douyin.com/zGOXgXA7gPs/ xsr:/ :5pm 07/11 G@i.pQ</t>
        </is>
      </c>
      <c r="O383" t="inlineStr">
        <is>
          <t>汉语</t>
        </is>
      </c>
      <c r="P383" t="inlineStr">
        <is>
          <t>否</t>
        </is>
      </c>
      <c r="Q383" t="inlineStr">
        <is>
          <t>支持认可</t>
        </is>
      </c>
      <c r="R383" t="inlineStr">
        <is>
          <t>宗教信仰问题</t>
        </is>
      </c>
      <c r="S383" t="n">
        <v>1249</v>
      </c>
      <c r="T383" t="n">
        <v>205</v>
      </c>
      <c r="U383" t="n">
        <v>31</v>
      </c>
      <c r="V383" t="inlineStr">
        <is>
          <t>否</t>
        </is>
      </c>
      <c r="W383" t="inlineStr">
        <is>
          <t>是</t>
        </is>
      </c>
      <c r="X383" t="inlineStr">
        <is>
          <t>历史导入:抖音等视频平台_民族团结进步促进法舆情监测_最终修正版.xlsx；来源类型:个人用户；重复:否；待核实:否</t>
        </is>
      </c>
    </row>
    <row r="384">
      <c r="A384" t="inlineStr">
        <is>
          <t>hist-b52b27e0b47a2adb</t>
        </is>
      </c>
      <c r="B384" s="82" t="n">
        <v>46252.9403587963</v>
      </c>
      <c r="C384" s="82" t="n">
        <v>46207</v>
      </c>
      <c r="D384" t="inlineStr">
        <is>
          <t>新疆日报/天山网</t>
        </is>
      </c>
      <c r="E384" t="inlineStr">
        <is>
          <t>其他</t>
        </is>
      </c>
      <c r="F384" t="inlineStr">
        <is>
          <t>原始网页</t>
        </is>
      </c>
      <c r="G384" t="inlineStr">
        <is>
          <t>A01要闻</t>
        </is>
      </c>
      <c r="H384" t="inlineStr">
        <is>
          <t>7月3日……举行民族团结进步促进法专题辅导讲座。</t>
        </is>
      </c>
      <c r="I384" t="inlineStr">
        <is>
          <t>https://xjrb.ts.cn/xjrb/20260704/259878.html</t>
        </is>
      </c>
      <c r="J384" t="inlineStr">
        <is>
          <t>新疆全区</t>
        </is>
      </c>
      <c r="L384" t="inlineStr">
        <is>
          <t>新疆</t>
        </is>
      </c>
      <c r="O384" t="inlineStr">
        <is>
          <t>中文</t>
        </is>
      </c>
      <c r="P384" t="inlineStr">
        <is>
          <t>否</t>
        </is>
      </c>
      <c r="Q384" t="inlineStr">
        <is>
          <t>官方政策信息</t>
        </is>
      </c>
      <c r="R384" t="inlineStr">
        <is>
          <t>学习培训与宣传覆盖</t>
        </is>
      </c>
      <c r="S384" t="n">
        <v>56</v>
      </c>
      <c r="T384" t="n">
        <v>56</v>
      </c>
      <c r="U384" t="n">
        <v>56</v>
      </c>
      <c r="V384" t="inlineStr">
        <is>
          <t>否</t>
        </is>
      </c>
      <c r="W384" t="inlineStr">
        <is>
          <t>否</t>
        </is>
      </c>
      <c r="X384" t="inlineStr">
        <is>
          <t>历史导入:抖音等视频平台_民族团结进步促进法舆情监测_最终修正版.xlsx；来源类型:官方实施信息；复核:页面解析存在编码限制，标题、日期和摘要经搜索索引与同版维吾尔文页面交叉核验。；重复:否；待核实:否</t>
        </is>
      </c>
    </row>
    <row r="385">
      <c r="A385" t="inlineStr">
        <is>
          <t>hist-41de8fee7b4f9c32</t>
        </is>
      </c>
      <c r="B385" s="82" t="n">
        <v>46252.9403587963</v>
      </c>
      <c r="C385" s="82" t="n">
        <v>46207</v>
      </c>
      <c r="D385" t="inlineStr">
        <is>
          <t>天山网维吾尔文版</t>
        </is>
      </c>
      <c r="E385" t="inlineStr">
        <is>
          <t>其他</t>
        </is>
      </c>
      <c r="F385" t="inlineStr">
        <is>
          <t>原始网页</t>
        </is>
      </c>
      <c r="G385" t="inlineStr">
        <is>
          <t>شىنجاڭ / 新疆</t>
        </is>
      </c>
      <c r="H385" t="inlineStr">
        <is>
          <t>7 - ئاينىڭ 3 - كۈنى … قانۇنى مەخسۇس تېمىلىق … لېكسىيەسى ئۆتكۈزۈلدى</t>
        </is>
      </c>
      <c r="I385" t="inlineStr">
        <is>
          <t>https://uy.ts.cn/system/2026/07/04/037009947.shtml</t>
        </is>
      </c>
      <c r="J385" t="inlineStr">
        <is>
          <t>新疆全区</t>
        </is>
      </c>
      <c r="L385" t="inlineStr">
        <is>
          <t>新疆</t>
        </is>
      </c>
      <c r="O385" t="inlineStr">
        <is>
          <t>维吾尔文</t>
        </is>
      </c>
      <c r="P385" t="inlineStr">
        <is>
          <t>是</t>
        </is>
      </c>
      <c r="Q385" t="inlineStr">
        <is>
          <t>官方政策信息</t>
        </is>
      </c>
      <c r="R385" t="inlineStr">
        <is>
          <t>学习培训与宣传覆盖</t>
        </is>
      </c>
      <c r="S385" t="n">
        <v>56</v>
      </c>
      <c r="T385" t="n">
        <v>56</v>
      </c>
      <c r="U385" t="n">
        <v>56</v>
      </c>
      <c r="V385" t="inlineStr">
        <is>
          <t>否</t>
        </is>
      </c>
      <c r="W385" t="inlineStr">
        <is>
          <t>否</t>
        </is>
      </c>
      <c r="X385" t="inlineStr">
        <is>
          <t>历史导入:抖音等视频平台_民族团结进步促进法舆情监测_最终修正版.xlsx；来源类型:官方实施信息；复核:机器翻译，待维吾尔语人员复核；不据机器翻译单独判断情感。；重复:是（汉语同稿的维吾尔文版本）；待核实:否</t>
        </is>
      </c>
    </row>
    <row r="386">
      <c r="A386" t="inlineStr">
        <is>
          <t>hist-60e008e72bb3e13c</t>
        </is>
      </c>
      <c r="B386" s="82" t="n">
        <v>46252.9403587963</v>
      </c>
      <c r="C386" s="82" t="n">
        <v>46210</v>
      </c>
      <c r="D386" t="inlineStr">
        <is>
          <t>新疆日报/天山网</t>
        </is>
      </c>
      <c r="E386" t="inlineStr">
        <is>
          <t>其他</t>
        </is>
      </c>
      <c r="F386" t="inlineStr">
        <is>
          <t>原始网页</t>
        </is>
      </c>
      <c r="G386" t="inlineStr">
        <is>
          <t>A05理论学习</t>
        </is>
      </c>
      <c r="H386" t="inlineStr">
        <is>
          <t>7月1日起施行的《中华人民共和国民族团结进步促进法》……</t>
        </is>
      </c>
      <c r="I386" t="inlineStr">
        <is>
          <t>https://xjrb.ts.cn/xjrb/20260707/260003.html</t>
        </is>
      </c>
      <c r="J386" t="inlineStr">
        <is>
          <t>新疆全区</t>
        </is>
      </c>
      <c r="L386" t="inlineStr">
        <is>
          <t>新疆</t>
        </is>
      </c>
      <c r="O386" t="inlineStr">
        <is>
          <t>中文</t>
        </is>
      </c>
      <c r="P386" t="inlineStr">
        <is>
          <t>否</t>
        </is>
      </c>
      <c r="Q386" t="inlineStr">
        <is>
          <t>中性信息</t>
        </is>
      </c>
      <c r="R386" t="inlineStr">
        <is>
          <t>法律施行与总体解读；地方法规衔接与执行机制</t>
        </is>
      </c>
      <c r="S386" t="n">
        <v>56</v>
      </c>
      <c r="T386" t="n">
        <v>56</v>
      </c>
      <c r="U386" t="n">
        <v>56</v>
      </c>
      <c r="V386" t="inlineStr">
        <is>
          <t>否</t>
        </is>
      </c>
      <c r="W386" t="inlineStr">
        <is>
          <t>否</t>
        </is>
      </c>
      <c r="X386" t="inlineStr">
        <is>
          <t>历史导入:抖音等视频平台_民族团结进步促进法舆情监测_最终修正版.xlsx；来源类型:媒体报道；复核:理论解读，不等同于公众支持。；重复:否；待核实:否</t>
        </is>
      </c>
    </row>
    <row r="387">
      <c r="A387" t="inlineStr">
        <is>
          <t>hist-a9a8064506bdf6ed</t>
        </is>
      </c>
      <c r="B387" s="82" t="n">
        <v>46252.9403587963</v>
      </c>
      <c r="C387" s="82" t="n">
        <v>46220</v>
      </c>
      <c r="D387" t="inlineStr">
        <is>
          <t>新疆日报/天山网</t>
        </is>
      </c>
      <c r="E387" t="inlineStr">
        <is>
          <t>其他</t>
        </is>
      </c>
      <c r="F387" t="inlineStr">
        <is>
          <t>原始网页</t>
        </is>
      </c>
      <c r="G387" t="inlineStr">
        <is>
          <t>A02要闻</t>
        </is>
      </c>
      <c r="H387" t="inlineStr">
        <is>
          <t>7月16日……围绕学习宣传贯彻民族团结进步促进法深入调研并召开座谈会。</t>
        </is>
      </c>
      <c r="I387" t="inlineStr">
        <is>
          <t>https://xjrb.ts.cn/xjrb/20260717/260409.html</t>
        </is>
      </c>
      <c r="J387" t="inlineStr">
        <is>
          <t>新疆全区</t>
        </is>
      </c>
      <c r="L387" t="inlineStr">
        <is>
          <t>新疆</t>
        </is>
      </c>
      <c r="O387" t="inlineStr">
        <is>
          <t>中文</t>
        </is>
      </c>
      <c r="P387" t="inlineStr">
        <is>
          <t>否</t>
        </is>
      </c>
      <c r="Q387" t="inlineStr">
        <is>
          <t>官方政策信息</t>
        </is>
      </c>
      <c r="R387" t="inlineStr">
        <is>
          <t>地方法规衔接与执行机制；国家通用语言文字与少数民族语言保障</t>
        </is>
      </c>
      <c r="S387" t="n">
        <v>56</v>
      </c>
      <c r="T387" t="n">
        <v>56</v>
      </c>
      <c r="U387" t="n">
        <v>56</v>
      </c>
      <c r="V387" t="inlineStr">
        <is>
          <t>否</t>
        </is>
      </c>
      <c r="W387" t="inlineStr">
        <is>
          <t>否</t>
        </is>
      </c>
      <c r="X387" t="inlineStr">
        <is>
          <t>历史导入:抖音等视频平台_民族团结进步促进法舆情监测_最终修正版.xlsx；来源类型:官方实施信息；复核:会议部署属于官方实施信息，不作公众支持计数。；重复:否；待核实:否</t>
        </is>
      </c>
    </row>
    <row r="388">
      <c r="A388" t="inlineStr">
        <is>
          <t>hist-2bffc851d97e36ff</t>
        </is>
      </c>
      <c r="B388" s="82" t="n">
        <v>46252.9403587963</v>
      </c>
      <c r="C388" s="82" t="n">
        <v>46227</v>
      </c>
      <c r="D388" t="inlineStr">
        <is>
          <t>新疆日报/天山网</t>
        </is>
      </c>
      <c r="E388" t="inlineStr">
        <is>
          <t>其他</t>
        </is>
      </c>
      <c r="F388" t="inlineStr">
        <is>
          <t>原始网页</t>
        </is>
      </c>
      <c r="G388" t="inlineStr">
        <is>
          <t>A01要闻</t>
        </is>
      </c>
      <c r="H388" t="inlineStr">
        <is>
          <t>政府各部门要认真组织学习，做到全员覆盖、学深悟透。</t>
        </is>
      </c>
      <c r="I388" t="inlineStr">
        <is>
          <t>https://xjrb.ts.cn/xjrb/20260724/260693.html</t>
        </is>
      </c>
      <c r="J388" t="inlineStr">
        <is>
          <t>新疆全区</t>
        </is>
      </c>
      <c r="L388" t="inlineStr">
        <is>
          <t>新疆</t>
        </is>
      </c>
      <c r="O388" t="inlineStr">
        <is>
          <t>中文</t>
        </is>
      </c>
      <c r="P388" t="inlineStr">
        <is>
          <t>否</t>
        </is>
      </c>
      <c r="Q388" t="inlineStr">
        <is>
          <t>官方政策信息</t>
        </is>
      </c>
      <c r="R388" t="inlineStr">
        <is>
          <t>学习培训与宣传覆盖；地方法规衔接与执行机制</t>
        </is>
      </c>
      <c r="S388" t="n">
        <v>56</v>
      </c>
      <c r="T388" t="n">
        <v>56</v>
      </c>
      <c r="U388" t="n">
        <v>56</v>
      </c>
      <c r="V388" t="inlineStr">
        <is>
          <t>否</t>
        </is>
      </c>
      <c r="W388" t="inlineStr">
        <is>
          <t>否</t>
        </is>
      </c>
      <c r="X388" t="inlineStr">
        <is>
          <t>历史导入:抖音等视频平台_民族团结进步促进法舆情监测_最终修正版.xlsx；来源类型:官方实施信息；复核:官方会议部署；未发现意见征集、群众留言或公开答复。；重复:否；待核实:否</t>
        </is>
      </c>
    </row>
    <row r="389">
      <c r="A389" t="inlineStr">
        <is>
          <t>hist-15ef137438462acd</t>
        </is>
      </c>
      <c r="B389" s="82" t="n">
        <v>46252.9403587963</v>
      </c>
      <c r="C389" s="82" t="n">
        <v>46227</v>
      </c>
      <c r="D389" t="inlineStr">
        <is>
          <t>新疆维吾尔自治区民族事务委员会</t>
        </is>
      </c>
      <c r="E389" t="inlineStr">
        <is>
          <t>其他</t>
        </is>
      </c>
      <c r="F389" t="inlineStr">
        <is>
          <t>原始网页</t>
        </is>
      </c>
      <c r="G389" t="inlineStr">
        <is>
          <t>政务动态</t>
        </is>
      </c>
      <c r="H389" t="inlineStr">
        <is>
          <t>为积极学习宣传贯彻实施《中华人民共和国民族团结进步促进法》……</t>
        </is>
      </c>
      <c r="I389" t="inlineStr">
        <is>
          <t>https://mwzjswj.xinjiang.gov.cn/xjmzw/zwdt/202607/51a08a4323e547a78e87fb1cc6f9a3e8.shtml</t>
        </is>
      </c>
      <c r="J389" t="inlineStr">
        <is>
          <t>喀什地区、英吉沙县、疏附县</t>
        </is>
      </c>
      <c r="L389" t="inlineStr">
        <is>
          <t>新疆</t>
        </is>
      </c>
      <c r="O389" t="inlineStr">
        <is>
          <t>中文</t>
        </is>
      </c>
      <c r="P389" t="inlineStr">
        <is>
          <t>否</t>
        </is>
      </c>
      <c r="Q389" t="inlineStr">
        <is>
          <t>官方政策信息</t>
        </is>
      </c>
      <c r="R389" t="inlineStr">
        <is>
          <t>基层普法与群众参与；国家通用语言文字与少数民族语言保障</t>
        </is>
      </c>
      <c r="S389" t="n">
        <v>56</v>
      </c>
      <c r="T389" t="n">
        <v>56</v>
      </c>
      <c r="U389" t="n">
        <v>56</v>
      </c>
      <c r="V389" t="inlineStr">
        <is>
          <t>否</t>
        </is>
      </c>
      <c r="W389" t="inlineStr">
        <is>
          <t>否</t>
        </is>
      </c>
      <c r="X389" t="inlineStr">
        <is>
          <t>历史导入:抖音等视频平台_民族团结进步促进法舆情监测_最终修正版.xlsx；来源类型:官方实施信息；复核:文中提及了解基层存在问题、答疑解惑，但未公开逐条问题和答复文本。；重复:否；待核实:否</t>
        </is>
      </c>
    </row>
    <row r="390">
      <c r="A390" t="inlineStr">
        <is>
          <t>hist-fc4e491f41d2ea82</t>
        </is>
      </c>
      <c r="B390" s="82" t="n">
        <v>46252.9403587963</v>
      </c>
      <c r="C390" s="82" t="n">
        <v>46232</v>
      </c>
      <c r="D390" t="inlineStr">
        <is>
          <t>新疆维吾尔自治区司法厅</t>
        </is>
      </c>
      <c r="E390" t="inlineStr">
        <is>
          <t>其他</t>
        </is>
      </c>
      <c r="F390" t="inlineStr">
        <is>
          <t>原始网页</t>
        </is>
      </c>
      <c r="G390" t="inlineStr">
        <is>
          <t>法治新疆融媒体</t>
        </is>
      </c>
      <c r="H390" t="inlineStr">
        <is>
          <t>举办民族团结进步促进法知识竞赛。</t>
        </is>
      </c>
      <c r="I390" t="inlineStr">
        <is>
          <t>https://sft.xinjiang.gov.cn/xjsft/gzyw/202607/74f473e1a60f4f31a3a409c8814c31ce.shtml</t>
        </is>
      </c>
      <c r="J390" t="inlineStr">
        <is>
          <t>伊犁州霍城县</t>
        </is>
      </c>
      <c r="L390" t="inlineStr">
        <is>
          <t>新疆</t>
        </is>
      </c>
      <c r="O390" t="inlineStr">
        <is>
          <t>中文</t>
        </is>
      </c>
      <c r="P390" t="inlineStr">
        <is>
          <t>否</t>
        </is>
      </c>
      <c r="Q390" t="inlineStr">
        <is>
          <t>官方政策信息</t>
        </is>
      </c>
      <c r="R390" t="inlineStr">
        <is>
          <t>基层普法与群众参与</t>
        </is>
      </c>
      <c r="S390" t="n">
        <v>56</v>
      </c>
      <c r="T390" t="n">
        <v>56</v>
      </c>
      <c r="U390" t="n">
        <v>56</v>
      </c>
      <c r="V390" t="inlineStr">
        <is>
          <t>否</t>
        </is>
      </c>
      <c r="W390" t="inlineStr">
        <is>
          <t>否</t>
        </is>
      </c>
      <c r="X390" t="inlineStr">
        <is>
          <t>历史导入:抖音等视频平台_民族团结进步促进法舆情监测_最终修正版.xlsx；来源类型:官方实施信息；复核:同一汇编页中的独立地方活动，未与和硕县条目合并。；重复:否；待核实:否</t>
        </is>
      </c>
    </row>
    <row r="391">
      <c r="A391" t="inlineStr">
        <is>
          <t>hist-25a426fc48fca620</t>
        </is>
      </c>
      <c r="B391" s="82" t="n">
        <v>46252.9403587963</v>
      </c>
      <c r="C391" s="82" t="n">
        <v>46232</v>
      </c>
      <c r="D391" t="inlineStr">
        <is>
          <t>新疆维吾尔自治区司法厅</t>
        </is>
      </c>
      <c r="E391" t="inlineStr">
        <is>
          <t>其他</t>
        </is>
      </c>
      <c r="F391" t="inlineStr">
        <is>
          <t>原始网页</t>
        </is>
      </c>
      <c r="G391" t="inlineStr">
        <is>
          <t>法治新疆融媒体</t>
        </is>
      </c>
      <c r="H391" t="inlineStr">
        <is>
          <t>围绕……民族团结进步促进法，以典型案例和通俗语言……</t>
        </is>
      </c>
      <c r="I391" t="inlineStr">
        <is>
          <t>https://sft.xinjiang.gov.cn/xjsft/gzyw/202607/74f473e1a60f4f31a3a409c8814c31ce.shtml</t>
        </is>
      </c>
      <c r="J391" t="inlineStr">
        <is>
          <t>巴州和硕县</t>
        </is>
      </c>
      <c r="L391" t="inlineStr">
        <is>
          <t>新疆</t>
        </is>
      </c>
      <c r="O391" t="inlineStr">
        <is>
          <t>中文</t>
        </is>
      </c>
      <c r="P391" t="inlineStr">
        <is>
          <t>否</t>
        </is>
      </c>
      <c r="Q391" t="inlineStr">
        <is>
          <t>官方政策信息</t>
        </is>
      </c>
      <c r="R391" t="inlineStr">
        <is>
          <t>基层普法与群众参与</t>
        </is>
      </c>
      <c r="S391" t="n">
        <v>56</v>
      </c>
      <c r="T391" t="n">
        <v>56</v>
      </c>
      <c r="U391" t="n">
        <v>56</v>
      </c>
      <c r="V391" t="inlineStr">
        <is>
          <t>否</t>
        </is>
      </c>
      <c r="W391" t="inlineStr">
        <is>
          <t>否</t>
        </is>
      </c>
      <c r="X391" t="inlineStr">
        <is>
          <t>历史导入:抖音等视频平台_民族团结进步促进法舆情监测_最终修正版.xlsx；来源类型:官方实施信息；复核:同一汇编页中的独立地方活动。；重复:否（同页不同活动）；待核实:否</t>
        </is>
      </c>
    </row>
    <row r="392">
      <c r="A392" t="inlineStr">
        <is>
          <t>hist-0b2fc44a7811f87d</t>
        </is>
      </c>
      <c r="B392" s="82" t="n">
        <v>46252.9403587963</v>
      </c>
      <c r="C392" s="82" t="n">
        <v>46234</v>
      </c>
      <c r="D392" t="inlineStr">
        <is>
          <t>新疆日报/天山网</t>
        </is>
      </c>
      <c r="E392" t="inlineStr">
        <is>
          <t>其他</t>
        </is>
      </c>
      <c r="F392" t="inlineStr">
        <is>
          <t>原始网页</t>
        </is>
      </c>
      <c r="G392" t="inlineStr">
        <is>
          <t>A02要闻</t>
        </is>
      </c>
      <c r="H392" t="inlineStr">
        <is>
          <t>要加快制定促进民族团结进步的地方性法规。</t>
        </is>
      </c>
      <c r="I392" t="inlineStr">
        <is>
          <t>https://xjrb.ts.cn/xjrb/20260731/261020.html</t>
        </is>
      </c>
      <c r="J392" t="inlineStr">
        <is>
          <t>新疆全区</t>
        </is>
      </c>
      <c r="L392" t="inlineStr">
        <is>
          <t>新疆</t>
        </is>
      </c>
      <c r="O392" t="inlineStr">
        <is>
          <t>中文</t>
        </is>
      </c>
      <c r="P392" t="inlineStr">
        <is>
          <t>否</t>
        </is>
      </c>
      <c r="Q392" t="inlineStr">
        <is>
          <t>官方政策信息</t>
        </is>
      </c>
      <c r="R392" t="inlineStr">
        <is>
          <t>地方法规衔接与执行机制；权利保障与公平正义</t>
        </is>
      </c>
      <c r="S392" t="n">
        <v>56</v>
      </c>
      <c r="T392" t="n">
        <v>56</v>
      </c>
      <c r="U392" t="n">
        <v>56</v>
      </c>
      <c r="V392" t="inlineStr">
        <is>
          <t>否</t>
        </is>
      </c>
      <c r="W392" t="inlineStr">
        <is>
          <t>否</t>
        </is>
      </c>
      <c r="X392" t="inlineStr">
        <is>
          <t>历史导入:抖音等视频平台_民族团结进步促进法舆情监测_最终修正版.xlsx；来源类型:官方实施信息；复核:官方座谈会，不作公众支持计数。；重复:否；待核实:否</t>
        </is>
      </c>
    </row>
    <row r="393">
      <c r="A393" t="inlineStr">
        <is>
          <t>hist-c31913574031bdd2</t>
        </is>
      </c>
      <c r="B393" s="82" t="n">
        <v>46252.9403587963</v>
      </c>
      <c r="C393" s="82" t="n">
        <v>46208</v>
      </c>
      <c r="D393" t="inlineStr">
        <is>
          <t>新疆统一战线</t>
        </is>
      </c>
      <c r="E393" t="inlineStr">
        <is>
          <t>其他</t>
        </is>
      </c>
      <c r="F393" t="inlineStr">
        <is>
          <t>原始网页</t>
        </is>
      </c>
      <c r="G393" t="inlineStr">
        <is>
          <t>昌吉州党委统战部</t>
        </is>
      </c>
      <c r="H393" t="inlineStr">
        <is>
          <t>6月23日至7月1日……深入24个村（社区）开展……巡回宣讲。</t>
        </is>
      </c>
      <c r="I393" t="inlineStr">
        <is>
          <t>https://www.xjtzb.gov.cn/static/content/tzdt/2026-07-06/1524830701252517888.html</t>
        </is>
      </c>
      <c r="J393" t="inlineStr">
        <is>
          <t>昌吉州、木垒县等</t>
        </is>
      </c>
      <c r="L393" t="inlineStr">
        <is>
          <t>新疆</t>
        </is>
      </c>
      <c r="O393" t="inlineStr">
        <is>
          <t>中文</t>
        </is>
      </c>
      <c r="P393" t="inlineStr">
        <is>
          <t>否</t>
        </is>
      </c>
      <c r="Q393" t="inlineStr">
        <is>
          <t>官方政策信息</t>
        </is>
      </c>
      <c r="R393" t="inlineStr">
        <is>
          <t>学习培训与宣传覆盖；基层普法与群众参与</t>
        </is>
      </c>
      <c r="S393" t="n">
        <v>56</v>
      </c>
      <c r="T393" t="n">
        <v>56</v>
      </c>
      <c r="U393" t="n">
        <v>56</v>
      </c>
      <c r="V393" t="inlineStr">
        <is>
          <t>否</t>
        </is>
      </c>
      <c r="W393" t="inlineStr">
        <is>
          <t>否</t>
        </is>
      </c>
      <c r="X393" t="inlineStr">
        <is>
          <t>历史导入:抖音等视频平台_民族团结进步促进法舆情监测_最终修正版.xlsx；来源类型:官方实施信息；复核:网页标示来源稿日期7月5日，URL路径为7月6日；活动部分发生在7月1日前，纳入理由为稿件在区间内发布且明确总结施行节点落实。；重复:否；待核实:否</t>
        </is>
      </c>
    </row>
    <row r="394">
      <c r="A394" t="inlineStr">
        <is>
          <t>hist-99a3ad20968bf372</t>
        </is>
      </c>
      <c r="B394" s="82" t="n">
        <v>46252.9403587963</v>
      </c>
      <c r="C394" s="82" t="n">
        <v>46206</v>
      </c>
      <c r="D394" t="inlineStr">
        <is>
          <t>昌吉日报电子版</t>
        </is>
      </c>
      <c r="E394" t="inlineStr">
        <is>
          <t>其他</t>
        </is>
      </c>
      <c r="F394" t="inlineStr">
        <is>
          <t>原始网页</t>
        </is>
      </c>
      <c r="G394" t="inlineStr">
        <is>
          <t>理论版</t>
        </is>
      </c>
      <c r="H394" t="inlineStr">
        <is>
          <t>民族团结进步促进法明确要求……</t>
        </is>
      </c>
      <c r="I394" t="inlineStr">
        <is>
          <t>https://pcepaper.cjxww.cn/html/2026-07/03/content_1158_355540.htm</t>
        </is>
      </c>
      <c r="J394" t="inlineStr">
        <is>
          <t>昌吉州</t>
        </is>
      </c>
      <c r="L394" t="inlineStr">
        <is>
          <t>新疆</t>
        </is>
      </c>
      <c r="O394" t="inlineStr">
        <is>
          <t>中文</t>
        </is>
      </c>
      <c r="P394" t="inlineStr">
        <is>
          <t>否</t>
        </is>
      </c>
      <c r="Q394" t="inlineStr">
        <is>
          <t>中性信息</t>
        </is>
      </c>
      <c r="R394" t="inlineStr">
        <is>
          <t>法律施行与总体解读；国家通用语言文字与少数民族语言保障</t>
        </is>
      </c>
      <c r="S394" t="n">
        <v>56</v>
      </c>
      <c r="T394" t="n">
        <v>56</v>
      </c>
      <c r="U394" t="n">
        <v>56</v>
      </c>
      <c r="V394" t="inlineStr">
        <is>
          <t>否</t>
        </is>
      </c>
      <c r="W394" t="inlineStr">
        <is>
          <t>否</t>
        </is>
      </c>
      <c r="X394" t="inlineStr">
        <is>
          <t>历史导入:抖音等视频平台_民族团结进步促进法舆情监测_最终修正版.xlsx；来源类型:媒体报道；复核:媒体理论文章，不等同公众支持。；重复:否；待核实:否</t>
        </is>
      </c>
    </row>
    <row r="395">
      <c r="A395" t="inlineStr">
        <is>
          <t>hist-7664ef6055bee469</t>
        </is>
      </c>
      <c r="B395" s="82" t="n">
        <v>46252.9403587963</v>
      </c>
      <c r="C395" s="82" t="n">
        <v>46213</v>
      </c>
      <c r="D395" t="inlineStr">
        <is>
          <t>昌吉日报电子版</t>
        </is>
      </c>
      <c r="E395" t="inlineStr">
        <is>
          <t>其他</t>
        </is>
      </c>
      <c r="F395" t="inlineStr">
        <is>
          <t>原始网页</t>
        </is>
      </c>
      <c r="G395" t="inlineStr">
        <is>
          <t>理论版</t>
        </is>
      </c>
      <c r="H395" t="inlineStr">
        <is>
          <t>《中华人民共和国民族团结进步促进法》的实施……</t>
        </is>
      </c>
      <c r="I395" t="inlineStr">
        <is>
          <t>https://pcepaper.cjxww.cn/html/2026-07/10/content_1158_357122.htm</t>
        </is>
      </c>
      <c r="J395" t="inlineStr">
        <is>
          <t>昌吉州</t>
        </is>
      </c>
      <c r="L395" t="inlineStr">
        <is>
          <t>新疆</t>
        </is>
      </c>
      <c r="O395" t="inlineStr">
        <is>
          <t>中文</t>
        </is>
      </c>
      <c r="P395" t="inlineStr">
        <is>
          <t>否</t>
        </is>
      </c>
      <c r="Q395" t="inlineStr">
        <is>
          <t>中性信息</t>
        </is>
      </c>
      <c r="R395" t="inlineStr">
        <is>
          <t>法律施行与总体解读</t>
        </is>
      </c>
      <c r="S395" t="n">
        <v>56</v>
      </c>
      <c r="T395" t="n">
        <v>56</v>
      </c>
      <c r="U395" t="n">
        <v>56</v>
      </c>
      <c r="V395" t="inlineStr">
        <is>
          <t>否</t>
        </is>
      </c>
      <c r="W395" t="inlineStr">
        <is>
          <t>否</t>
        </is>
      </c>
      <c r="X395" t="inlineStr">
        <is>
          <t>历史导入:抖音等视频平台_民族团结进步促进法舆情监测_最终修正版.xlsx；来源类型:媒体报道；复核:媒体理论文章。；重复:否；待核实:否</t>
        </is>
      </c>
    </row>
    <row r="396">
      <c r="A396" t="inlineStr">
        <is>
          <t>hist-52519a9de3d498b4</t>
        </is>
      </c>
      <c r="B396" s="82" t="n">
        <v>46252.9403587963</v>
      </c>
      <c r="C396" s="82" t="n">
        <v>46209</v>
      </c>
      <c r="D396" t="inlineStr">
        <is>
          <t>伊犁哈萨克自治州人民政府</t>
        </is>
      </c>
      <c r="E396" t="inlineStr">
        <is>
          <t>其他</t>
        </is>
      </c>
      <c r="F396" t="inlineStr">
        <is>
          <t>原始网页</t>
        </is>
      </c>
      <c r="G396" t="inlineStr">
        <is>
          <t>民族团结/伊犁零距离</t>
        </is>
      </c>
      <c r="H396" t="inlineStr">
        <is>
          <t>一图读懂《中华人民共和国民族团结进步促进法》</t>
        </is>
      </c>
      <c r="I396" t="inlineStr">
        <is>
          <t>https://www.xjyl.gov.cn/xjylz/c112850/202607/2115c367ca904641ba8778338e612b77.shtml</t>
        </is>
      </c>
      <c r="J396" t="inlineStr">
        <is>
          <t>伊犁州</t>
        </is>
      </c>
      <c r="L396" t="inlineStr">
        <is>
          <t>新疆</t>
        </is>
      </c>
      <c r="O396" t="inlineStr">
        <is>
          <t>中文</t>
        </is>
      </c>
      <c r="P396" t="inlineStr">
        <is>
          <t>否</t>
        </is>
      </c>
      <c r="Q396" t="inlineStr">
        <is>
          <t>官方政策信息</t>
        </is>
      </c>
      <c r="R396" t="inlineStr">
        <is>
          <t>法律施行与总体解读；学习培训与宣传覆盖</t>
        </is>
      </c>
      <c r="S396" t="n">
        <v>56</v>
      </c>
      <c r="T396" t="n">
        <v>56</v>
      </c>
      <c r="U396" t="n">
        <v>56</v>
      </c>
      <c r="V396" t="inlineStr">
        <is>
          <t>否</t>
        </is>
      </c>
      <c r="W396" t="inlineStr">
        <is>
          <t>否</t>
        </is>
      </c>
      <c r="X396" t="inlineStr">
        <is>
          <t>历史导入:抖音等视频平台_民族团结进步促进法舆情监测_最终修正版.xlsx；来源类型:官方实施信息；复核:图片正文未被文本解析；标题、时间、来源均由政府页核验。；重复:否；待核实:否</t>
        </is>
      </c>
    </row>
    <row r="397">
      <c r="A397" t="inlineStr">
        <is>
          <t>hist-d3439e30ef845d28</t>
        </is>
      </c>
      <c r="B397" s="82" t="n">
        <v>46252.9403587963</v>
      </c>
      <c r="C397" s="82" t="n">
        <v>46232</v>
      </c>
      <c r="D397" t="inlineStr">
        <is>
          <t>伊犁新闻网</t>
        </is>
      </c>
      <c r="E397" t="inlineStr">
        <is>
          <t>贴吧/头条/新闻评论</t>
        </is>
      </c>
      <c r="F397" t="inlineStr">
        <is>
          <t>原始网页</t>
        </is>
      </c>
      <c r="G397" t="inlineStr">
        <is>
          <t>时政新闻</t>
        </is>
      </c>
      <c r="H397" t="inlineStr">
        <is>
          <t>进一步夯实了民族工作法治根基。</t>
        </is>
      </c>
      <c r="I397" t="inlineStr">
        <is>
          <t>https://www.ylxw.com.cn/shizhengxinwen/2026-07-29/1330092.html</t>
        </is>
      </c>
      <c r="J397" t="inlineStr">
        <is>
          <t>伊犁州</t>
        </is>
      </c>
      <c r="L397" t="inlineStr">
        <is>
          <t>新疆</t>
        </is>
      </c>
      <c r="O397" t="inlineStr">
        <is>
          <t>中文</t>
        </is>
      </c>
      <c r="P397" t="inlineStr">
        <is>
          <t>否</t>
        </is>
      </c>
      <c r="Q397" t="inlineStr">
        <is>
          <t>官方政策信息</t>
        </is>
      </c>
      <c r="R397" t="inlineStr">
        <is>
          <t>学习培训与宣传覆盖</t>
        </is>
      </c>
      <c r="S397" t="n">
        <v>56</v>
      </c>
      <c r="T397" t="n">
        <v>56</v>
      </c>
      <c r="U397" t="n">
        <v>56</v>
      </c>
      <c r="V397" t="inlineStr">
        <is>
          <t>否</t>
        </is>
      </c>
      <c r="W397" t="inlineStr">
        <is>
          <t>否</t>
        </is>
      </c>
      <c r="X397" t="inlineStr">
        <is>
          <t>历史导入:抖音等视频平台_民族团结进步促进法舆情监测_最终修正版.xlsx；来源类型:官方实施信息；复核:仅作为官方活动记录；“参会人员纷纷表示”未拆分为公众支持。；重复:否；待核实:否</t>
        </is>
      </c>
    </row>
    <row r="398">
      <c r="A398" t="inlineStr">
        <is>
          <t>hist-273f788064ced77a</t>
        </is>
      </c>
      <c r="B398" s="82" t="n">
        <v>46252.9403587963</v>
      </c>
      <c r="C398" s="82" t="n">
        <v>46220</v>
      </c>
      <c r="D398" t="inlineStr">
        <is>
          <t>巴音郭楞蒙古自治州人民政府</t>
        </is>
      </c>
      <c r="E398" t="inlineStr">
        <is>
          <t>其他</t>
        </is>
      </c>
      <c r="F398" t="inlineStr">
        <is>
          <t>原始网页</t>
        </is>
      </c>
      <c r="G398" t="inlineStr">
        <is>
          <t>今日巴州</t>
        </is>
      </c>
      <c r="H398" t="inlineStr">
        <is>
          <t>抓好民族团结进步促进法学习宣传贯彻工作。</t>
        </is>
      </c>
      <c r="I398" t="inlineStr">
        <is>
          <t>https://www.xjbz.gov.cn/xjbz/jrbz/202607/6be59ac3612b4c4eba3db9f02375a6b1.shtml</t>
        </is>
      </c>
      <c r="J398" t="inlineStr">
        <is>
          <t>巴州</t>
        </is>
      </c>
      <c r="L398" t="inlineStr">
        <is>
          <t>新疆</t>
        </is>
      </c>
      <c r="O398" t="inlineStr">
        <is>
          <t>中文</t>
        </is>
      </c>
      <c r="P398" t="inlineStr">
        <is>
          <t>否</t>
        </is>
      </c>
      <c r="Q398" t="inlineStr">
        <is>
          <t>官方政策信息</t>
        </is>
      </c>
      <c r="R398" t="inlineStr">
        <is>
          <t>学习培训与宣传覆盖</t>
        </is>
      </c>
      <c r="S398" t="n">
        <v>56</v>
      </c>
      <c r="T398" t="n">
        <v>56</v>
      </c>
      <c r="U398" t="n">
        <v>56</v>
      </c>
      <c r="V398" t="inlineStr">
        <is>
          <t>否</t>
        </is>
      </c>
      <c r="W398" t="inlineStr">
        <is>
          <t>否</t>
        </is>
      </c>
      <c r="X398" t="inlineStr">
        <is>
          <t>历史导入:抖音等视频平台_民族团结进步促进法舆情监测_最终修正版.xlsx；来源类型:官方实施信息；复核:会议部署；未发现公开意见征集或答复。；重复:否；待核实:否</t>
        </is>
      </c>
    </row>
    <row r="399">
      <c r="A399" t="inlineStr">
        <is>
          <t>hist-79831d8ebce45dec</t>
        </is>
      </c>
      <c r="B399" s="82" t="n">
        <v>46252.9403587963</v>
      </c>
      <c r="C399" s="82" t="n">
        <v>46234</v>
      </c>
      <c r="D399" t="inlineStr">
        <is>
          <t>克孜勒苏柯尔克孜自治州人民政府</t>
        </is>
      </c>
      <c r="E399" t="inlineStr">
        <is>
          <t>其他</t>
        </is>
      </c>
      <c r="F399" t="inlineStr">
        <is>
          <t>原始网页</t>
        </is>
      </c>
      <c r="G399" t="inlineStr">
        <is>
          <t>政府会议/克孜勒苏日报</t>
        </is>
      </c>
      <c r="H399" t="inlineStr">
        <is>
          <t>抓好民族团结进步促进法贯彻实施。</t>
        </is>
      </c>
      <c r="I399" t="inlineStr">
        <is>
          <t>https://www.xjkz.gov.cn/xjkz/c101706/202607/c954268617744c23a93fd42562250ec7.shtml</t>
        </is>
      </c>
      <c r="J399" t="inlineStr">
        <is>
          <t>克州</t>
        </is>
      </c>
      <c r="L399" t="inlineStr">
        <is>
          <t>新疆</t>
        </is>
      </c>
      <c r="O399" t="inlineStr">
        <is>
          <t>中文</t>
        </is>
      </c>
      <c r="P399" t="inlineStr">
        <is>
          <t>否</t>
        </is>
      </c>
      <c r="Q399" t="inlineStr">
        <is>
          <t>官方政策信息</t>
        </is>
      </c>
      <c r="R399" t="inlineStr">
        <is>
          <t>地方法规衔接与执行机制</t>
        </is>
      </c>
      <c r="S399" t="n">
        <v>56</v>
      </c>
      <c r="T399" t="n">
        <v>56</v>
      </c>
      <c r="U399" t="n">
        <v>56</v>
      </c>
      <c r="V399" t="inlineStr">
        <is>
          <t>否</t>
        </is>
      </c>
      <c r="W399" t="inlineStr">
        <is>
          <t>否</t>
        </is>
      </c>
      <c r="X399" t="inlineStr">
        <is>
          <t>历史导入:抖音等视频平台_民族团结进步促进法舆情监测_最终修正版.xlsx；来源类型:官方实施信息；复核:正文未展开具体措施，按经证据确认的B类纳入。；重复:否；待核实:否</t>
        </is>
      </c>
    </row>
    <row r="400">
      <c r="A400" t="inlineStr">
        <is>
          <t>hist-efb54a15f3bc78ec</t>
        </is>
      </c>
      <c r="B400" s="82" t="n">
        <v>46252.9403587963</v>
      </c>
      <c r="C400" s="82" t="n">
        <v>46237</v>
      </c>
      <c r="D400" t="inlineStr">
        <is>
          <t>中新网新疆</t>
        </is>
      </c>
      <c r="E400" t="inlineStr">
        <is>
          <t>其他</t>
        </is>
      </c>
      <c r="F400" t="inlineStr">
        <is>
          <t>原始网页</t>
        </is>
      </c>
      <c r="G400" t="inlineStr">
        <is>
          <t>博尔塔拉融媒体中心</t>
        </is>
      </c>
      <c r="H400" t="inlineStr">
        <is>
          <t>对……条文解读和实施过程中遇到的重点问题作系统讲解。</t>
        </is>
      </c>
      <c r="I400" t="inlineStr">
        <is>
          <t>https://www.xj.chinanews.com.cn/dizhou/2026-08-03/detail-ihfhytzk9162491.shtml</t>
        </is>
      </c>
      <c r="J400" t="inlineStr">
        <is>
          <t>博州</t>
        </is>
      </c>
      <c r="L400" t="inlineStr">
        <is>
          <t>新疆</t>
        </is>
      </c>
      <c r="O400" t="inlineStr">
        <is>
          <t>中文</t>
        </is>
      </c>
      <c r="P400" t="inlineStr">
        <is>
          <t>否</t>
        </is>
      </c>
      <c r="Q400" t="inlineStr">
        <is>
          <t>官方政策信息</t>
        </is>
      </c>
      <c r="R400" t="inlineStr">
        <is>
          <t>学习培训与宣传覆盖；实施过程中重点问题</t>
        </is>
      </c>
      <c r="S400" t="n">
        <v>56</v>
      </c>
      <c r="T400" t="n">
        <v>56</v>
      </c>
      <c r="U400" t="n">
        <v>56</v>
      </c>
      <c r="V400" t="inlineStr">
        <is>
          <t>否</t>
        </is>
      </c>
      <c r="W400" t="inlineStr">
        <is>
          <t>否</t>
        </is>
      </c>
      <c r="X400" t="inlineStr">
        <is>
          <t>历史导入:抖音等视频平台_民族团结进步促进法舆情监测_最终修正版.xlsx；来源类型:官方实施信息；复核:同文含两名参会干部明确引语，另列个人意见条目。；重复:否；待核实:否</t>
        </is>
      </c>
    </row>
    <row r="401">
      <c r="A401" t="inlineStr">
        <is>
          <t>hist-280bbbdfe3b1c05f</t>
        </is>
      </c>
      <c r="B401" s="82" t="n">
        <v>46252.9403587963</v>
      </c>
      <c r="C401" s="82" t="n">
        <v>46237</v>
      </c>
      <c r="D401" t="inlineStr">
        <is>
          <t>中新网新疆</t>
        </is>
      </c>
      <c r="E401" t="inlineStr">
        <is>
          <t>其他</t>
        </is>
      </c>
      <c r="F401" t="inlineStr">
        <is>
          <t>原始网页</t>
        </is>
      </c>
      <c r="G401" t="inlineStr">
        <is>
          <t>博尔塔拉融媒体中心</t>
        </is>
      </c>
      <c r="H401" t="inlineStr">
        <is>
          <t>颁布实施，为基层统战工作提供了坚实的法治遵循。</t>
        </is>
      </c>
      <c r="I401" t="inlineStr">
        <is>
          <t>https://www.xj.chinanews.com.cn/dizhou/2026-08-03/detail-ihfhytzk9162491.shtml</t>
        </is>
      </c>
      <c r="J401" t="inlineStr">
        <is>
          <t>博州博乐市</t>
        </is>
      </c>
      <c r="L401" t="inlineStr">
        <is>
          <t>新疆</t>
        </is>
      </c>
      <c r="O401" t="inlineStr">
        <is>
          <t>中文</t>
        </is>
      </c>
      <c r="P401" t="inlineStr">
        <is>
          <t>否</t>
        </is>
      </c>
      <c r="Q401" t="inlineStr">
        <is>
          <t>支持认可</t>
        </is>
      </c>
      <c r="R401" t="inlineStr">
        <is>
          <t>基层执行与依法履职</t>
        </is>
      </c>
      <c r="S401" t="n">
        <v>56</v>
      </c>
      <c r="T401" t="n">
        <v>56</v>
      </c>
      <c r="U401" t="n">
        <v>56</v>
      </c>
      <c r="V401" t="inlineStr">
        <is>
          <t>否</t>
        </is>
      </c>
      <c r="W401" t="inlineStr">
        <is>
          <t>是</t>
        </is>
      </c>
      <c r="X401" t="inlineStr">
        <is>
          <t>历史导入:抖音等视频平台_民族团结进步促进法舆情监测_最终修正版.xlsx；来源类型:个人观点（媒体引语）；复核:公开具名引语；不推断其民族、宗教或其他个人属性。；重复:否（同文不同引语）；待核实:否</t>
        </is>
      </c>
    </row>
    <row r="402">
      <c r="A402" t="inlineStr">
        <is>
          <t>hist-d4dacd6f71cb6cca</t>
        </is>
      </c>
      <c r="B402" s="82" t="n">
        <v>46252.9403587963</v>
      </c>
      <c r="C402" s="82" t="n">
        <v>46237</v>
      </c>
      <c r="D402" t="inlineStr">
        <is>
          <t>中新网新疆</t>
        </is>
      </c>
      <c r="E402" t="inlineStr">
        <is>
          <t>其他</t>
        </is>
      </c>
      <c r="F402" t="inlineStr">
        <is>
          <t>原始网页</t>
        </is>
      </c>
      <c r="G402" t="inlineStr">
        <is>
          <t>博尔塔拉融媒体中心</t>
        </is>
      </c>
      <c r="H402" t="inlineStr">
        <is>
          <t>我将……带头学习法律、宣传法律。</t>
        </is>
      </c>
      <c r="I402" t="inlineStr">
        <is>
          <t>https://www.xj.chinanews.com.cn/dizhou/2026-08-03/detail-ihfhytzk9162491.shtml</t>
        </is>
      </c>
      <c r="J402" t="inlineStr">
        <is>
          <t>博州</t>
        </is>
      </c>
      <c r="L402" t="inlineStr">
        <is>
          <t>新疆</t>
        </is>
      </c>
      <c r="O402" t="inlineStr">
        <is>
          <t>中文</t>
        </is>
      </c>
      <c r="P402" t="inlineStr">
        <is>
          <t>否</t>
        </is>
      </c>
      <c r="Q402" t="inlineStr">
        <is>
          <t>支持认可</t>
        </is>
      </c>
      <c r="R402" t="inlineStr">
        <is>
          <t>基层执行与依法履职；青少年交往交流交融</t>
        </is>
      </c>
      <c r="S402" t="n">
        <v>56</v>
      </c>
      <c r="T402" t="n">
        <v>56</v>
      </c>
      <c r="U402" t="n">
        <v>56</v>
      </c>
      <c r="V402" t="inlineStr">
        <is>
          <t>否</t>
        </is>
      </c>
      <c r="W402" t="inlineStr">
        <is>
          <t>是</t>
        </is>
      </c>
      <c r="X402" t="inlineStr">
        <is>
          <t>历史导入:抖音等视频平台_民族团结进步促进法舆情监测_最终修正版.xlsx；来源类型:个人观点（媒体引语）；复核:公开具名引语；不推断其民族、宗教或其他个人属性。；重复:否（同文不同引语）；待核实:否</t>
        </is>
      </c>
    </row>
    <row r="403">
      <c r="A403" t="inlineStr">
        <is>
          <t>hist-f911db74c54cf8c9</t>
        </is>
      </c>
      <c r="B403" s="82" t="n">
        <v>46252.9403587963</v>
      </c>
      <c r="C403" s="82" t="n">
        <v>46219</v>
      </c>
      <c r="D403" t="inlineStr">
        <is>
          <t>国家民族事务委员会</t>
        </is>
      </c>
      <c r="E403" t="inlineStr">
        <is>
          <t>其他</t>
        </is>
      </c>
      <c r="F403" t="inlineStr">
        <is>
          <t>原始网页</t>
        </is>
      </c>
      <c r="G403" t="inlineStr">
        <is>
          <t>地方动态/民族画报</t>
        </is>
      </c>
      <c r="H403" t="inlineStr">
        <is>
          <t>贯彻落实《中华人民共和国民族团结进步促进法》。</t>
        </is>
      </c>
      <c r="I403" t="inlineStr">
        <is>
          <t>https://www.neac.gov.cn/seac/xwzx/202607/1192655.shtml</t>
        </is>
      </c>
      <c r="J403" t="inlineStr">
        <is>
          <t>哈密市巴里坤哈萨克自治县</t>
        </is>
      </c>
      <c r="L403" t="inlineStr">
        <is>
          <t>新疆</t>
        </is>
      </c>
      <c r="O403" t="inlineStr">
        <is>
          <t>中文</t>
        </is>
      </c>
      <c r="P403" t="inlineStr">
        <is>
          <t>否</t>
        </is>
      </c>
      <c r="Q403" t="inlineStr">
        <is>
          <t>官方政策信息</t>
        </is>
      </c>
      <c r="R403" t="inlineStr">
        <is>
          <t>青少年交往交流交融</t>
        </is>
      </c>
      <c r="S403" t="n">
        <v>56</v>
      </c>
      <c r="T403" t="n">
        <v>56</v>
      </c>
      <c r="U403" t="n">
        <v>56</v>
      </c>
      <c r="V403" t="inlineStr">
        <is>
          <t>否</t>
        </is>
      </c>
      <c r="W403" t="inlineStr">
        <is>
          <t>否</t>
        </is>
      </c>
      <c r="X403" t="inlineStr">
        <is>
          <t>历史导入:抖音等视频平台_民族团结进步促进法舆情监测_最终修正版.xlsx；来源类型:官方实施信息；复核:活动启动日为7月2日，网页发布日为7月16日。；重复:否；待核实:否</t>
        </is>
      </c>
    </row>
    <row r="404">
      <c r="A404" t="inlineStr">
        <is>
          <t>hist-6eeb0a497981598a</t>
        </is>
      </c>
      <c r="B404" s="82" t="n">
        <v>46252.9403587963</v>
      </c>
      <c r="C404" s="82" t="n">
        <v>46233</v>
      </c>
      <c r="D404" t="inlineStr">
        <is>
          <t>国家民族事务委员会</t>
        </is>
      </c>
      <c r="E404" t="inlineStr">
        <is>
          <t>其他</t>
        </is>
      </c>
      <c r="F404" t="inlineStr">
        <is>
          <t>原始网页</t>
        </is>
      </c>
      <c r="G404" t="inlineStr">
        <is>
          <t>地方动态</t>
        </is>
      </c>
      <c r="H404" t="inlineStr">
        <is>
          <t>7月21日，新疆社会科学院新疆人权研究中心发布……研究报告。</t>
        </is>
      </c>
      <c r="I404" t="inlineStr">
        <is>
          <t>https://www.neac.gov.cn/seac/xwzx/202607/1193168.shtml</t>
        </is>
      </c>
      <c r="J404" t="inlineStr">
        <is>
          <t>新疆全区</t>
        </is>
      </c>
      <c r="L404" t="inlineStr">
        <is>
          <t>新疆</t>
        </is>
      </c>
      <c r="O404" t="inlineStr">
        <is>
          <t>中文</t>
        </is>
      </c>
      <c r="P404" t="inlineStr">
        <is>
          <t>否</t>
        </is>
      </c>
      <c r="Q404" t="inlineStr">
        <is>
          <t>中性信息</t>
        </is>
      </c>
      <c r="R404" t="inlineStr">
        <is>
          <t>权利保障与公平正义</t>
        </is>
      </c>
      <c r="S404" t="n">
        <v>56</v>
      </c>
      <c r="T404" t="n">
        <v>56</v>
      </c>
      <c r="U404" t="n">
        <v>56</v>
      </c>
      <c r="V404" t="inlineStr">
        <is>
          <t>否</t>
        </is>
      </c>
      <c r="W404" t="inlineStr">
        <is>
          <t>否</t>
        </is>
      </c>
      <c r="X404" t="inlineStr">
        <is>
          <t>历史导入:抖音等视频平台_民族团结进步促进法舆情监测_最终修正版.xlsx；来源类型:媒体报道；复核:网页发布日期7月30日；研究报告发布日7月21日。未定位到可稳定打开的新疆社科院报告全文，报告全文需人工补查。；重复:否；待核实:否</t>
        </is>
      </c>
    </row>
    <row r="405">
      <c r="A405" t="inlineStr">
        <is>
          <t>hist-b15695a3972e3a24</t>
        </is>
      </c>
      <c r="B405" s="82" t="n">
        <v>46252.9403587963</v>
      </c>
      <c r="C405" s="82" t="n">
        <v>46204</v>
      </c>
      <c r="D405" t="inlineStr">
        <is>
          <t>华人头条</t>
        </is>
      </c>
      <c r="E405" t="inlineStr">
        <is>
          <t>贴吧/头条/新闻评论</t>
        </is>
      </c>
      <c r="F405" t="inlineStr">
        <is>
          <t>原始网页</t>
        </is>
      </c>
      <c r="G405" t="inlineStr">
        <is>
          <t>华人号：观中国</t>
        </is>
      </c>
      <c r="H405" t="inlineStr">
        <is>
          <t>7月1日，民族团结进步促进法正式施行。</t>
        </is>
      </c>
      <c r="I405" t="inlineStr">
        <is>
          <t>https://www.52hrtt.com/ny/n/w/info/G1782885152016</t>
        </is>
      </c>
      <c r="J405" t="inlineStr">
        <is>
          <t>全国性公众平台</t>
        </is>
      </c>
      <c r="O405" t="inlineStr">
        <is>
          <t>中文</t>
        </is>
      </c>
      <c r="P405" t="inlineStr">
        <is>
          <t>否</t>
        </is>
      </c>
      <c r="Q405" t="inlineStr">
        <is>
          <t>支持认可</t>
        </is>
      </c>
      <c r="R405" t="inlineStr">
        <is>
          <t>法律施行与总体解读；权利保障与公平正义</t>
        </is>
      </c>
      <c r="S405" t="n">
        <v>56</v>
      </c>
      <c r="T405" t="n">
        <v>0</v>
      </c>
      <c r="U405" t="n">
        <v>56</v>
      </c>
      <c r="V405" t="inlineStr">
        <is>
          <t>否</t>
        </is>
      </c>
      <c r="W405" t="inlineStr">
        <is>
          <t>是</t>
        </is>
      </c>
      <c r="X405" t="inlineStr">
        <is>
          <t>历史导入:抖音等视频平台_民族团结进步促进法舆情监测_最终修正版.xlsx；来源类型:个人原创观点；复核:页面显示阅读量6.2万+、评论0；阅读量不在指定互动字段中，已在本说明保留，未换算点赞。；重复:否；待核实:否</t>
        </is>
      </c>
    </row>
    <row r="406">
      <c r="A406" t="inlineStr">
        <is>
          <t>hist-722a55b9837e0893</t>
        </is>
      </c>
      <c r="B406" s="82" t="n">
        <v>46252.9403587963</v>
      </c>
      <c r="C406" s="82" t="n">
        <v>46209</v>
      </c>
      <c r="D406" t="inlineStr">
        <is>
          <t>Campaign for Uyghurs</t>
        </is>
      </c>
      <c r="E406" t="inlineStr">
        <is>
          <t>其他</t>
        </is>
      </c>
      <c r="F406" t="inlineStr">
        <is>
          <t>原始网页</t>
        </is>
      </c>
      <c r="G406" t="inlineStr">
        <is>
          <t>ئۇيغۇرچە / 维吾尔文栏目</t>
        </is>
      </c>
      <c r="H406" t="inlineStr">
        <is>
          <t>«مىللەتلەر ئىتتىپاقلىقى قانۇنى»غا قارشى تۇرۇش نامايىشىدا …</t>
        </is>
      </c>
      <c r="I406" t="inlineStr">
        <is>
          <t>https://campaignforuyghurs.org/ug/%D9%85%D9%89%D9%84%D9%84%DB%95%D8%AA%D9%84%DB%95%D8%B1-%D8%A6%D9%89%D8%AA%D8%AA%D9%89%D9%BE%D8%A7%D9%82%D9%84%D9%89%D9%82%D9%89-%D9%82%D8%A7%D9%86%DB%87%D9%86%D9%89%D8%BA%D8%A7-%D9%82%D8%A7%D8%B1/</t>
        </is>
      </c>
      <c r="J406" t="inlineStr">
        <is>
          <t>涉及新疆的境外侨民意见</t>
        </is>
      </c>
      <c r="L406" t="inlineStr">
        <is>
          <t>新疆</t>
        </is>
      </c>
      <c r="O406" t="inlineStr">
        <is>
          <t>维吾尔文</t>
        </is>
      </c>
      <c r="P406" t="inlineStr">
        <is>
          <t>是</t>
        </is>
      </c>
      <c r="Q406" t="inlineStr">
        <is>
          <t>待核实信息</t>
        </is>
      </c>
      <c r="R406" t="inlineStr">
        <is>
          <t>对强制同化的批评/担忧；国家通用语言文字与少数民族语言保障</t>
        </is>
      </c>
      <c r="S406" t="n">
        <v>56</v>
      </c>
      <c r="T406" t="n">
        <v>56</v>
      </c>
      <c r="U406" t="n">
        <v>56</v>
      </c>
      <c r="V406" t="inlineStr">
        <is>
          <t>否</t>
        </is>
      </c>
      <c r="W406" t="inlineStr">
        <is>
          <t>是</t>
        </is>
      </c>
      <c r="X406" t="inlineStr">
        <is>
          <t>历史导入:抖音等视频平台_民族团结进步促进法舆情监测_最终修正版.xlsx；来源类型:非政府组织公开信息；复核:机器翻译，待维吾尔语人员复核；不据机器翻译单独认定情感，统计为待核实。；重复:否；待核实:是（翻译与倾向）</t>
        </is>
      </c>
    </row>
    <row r="407">
      <c r="A407" t="inlineStr">
        <is>
          <t>hist-ee37f26b1fa5fdb6</t>
        </is>
      </c>
      <c r="B407" s="82" t="n">
        <v>46252.9403587963</v>
      </c>
      <c r="C407" s="82" t="n">
        <v>46224</v>
      </c>
      <c r="D407" t="inlineStr">
        <is>
          <t>Campaign for Uyghurs</t>
        </is>
      </c>
      <c r="E407" t="inlineStr">
        <is>
          <t>其他</t>
        </is>
      </c>
      <c r="F407" t="inlineStr">
        <is>
          <t>原始网页</t>
        </is>
      </c>
      <c r="G407" t="inlineStr">
        <is>
          <t>中文新闻发布</t>
        </is>
      </c>
      <c r="H407" t="inlineStr">
        <is>
          <t>强烈谴责于2026年7月1日正式生效的……法律。</t>
        </is>
      </c>
      <c r="I407" t="inlineStr">
        <is>
          <t>https://campaignforuyghurs.org/zh/%E8%81%94%E5%90%88%E5%A3%B0%E6%98%8E%EF%BC%9A50%E5%A4%9A%E4%B8%AA%E7%BB%B4%E5%90%BE%E5%B0%94%E7%BB%84%E7%BB%87%E8%81%94%E5%90%88%E5%91%BC%E5%90%81%E5%BA%9F%E9%99%A4%E3%80%8A%E6%B0%91%E6%97%8F%E5%9B%A2/</t>
        </is>
      </c>
      <c r="J407" t="inlineStr">
        <is>
          <t>涉及新疆的境外侨民意见</t>
        </is>
      </c>
      <c r="L407" t="inlineStr">
        <is>
          <t>新疆</t>
        </is>
      </c>
      <c r="O407" t="inlineStr">
        <is>
          <t>中文</t>
        </is>
      </c>
      <c r="P407" t="inlineStr">
        <is>
          <t>否</t>
        </is>
      </c>
      <c r="Q407" t="inlineStr">
        <is>
          <t>明确批评</t>
        </is>
      </c>
      <c r="R407" t="inlineStr">
        <is>
          <t>对强制同化的批评/担忧；第63条域外适用与跨境影响；公平争议</t>
        </is>
      </c>
      <c r="S407" t="n">
        <v>56</v>
      </c>
      <c r="T407" t="n">
        <v>56</v>
      </c>
      <c r="U407" t="n">
        <v>56</v>
      </c>
      <c r="V407" t="inlineStr">
        <is>
          <t>否</t>
        </is>
      </c>
      <c r="W407" t="inlineStr">
        <is>
          <t>是</t>
        </is>
      </c>
      <c r="X407" t="inlineStr">
        <is>
          <t>历史导入:抖音等视频平台_民族团结进步促进法舆情监测_最终修正版.xlsx；来源类型:非政府组织公开声明；复核:境外非政府组织声明；可作为扩展全网公开意见，不代表新疆境内公众总体态度。；重复:否；待核实:否</t>
        </is>
      </c>
    </row>
    <row r="408">
      <c r="A408" t="inlineStr">
        <is>
          <t>hist-a6867ddba1448880</t>
        </is>
      </c>
      <c r="B408" s="82" t="n">
        <v>46252.9403587963</v>
      </c>
      <c r="C408" s="82" t="n">
        <v>46204</v>
      </c>
      <c r="D408" t="inlineStr">
        <is>
          <t>中央通讯社</t>
        </is>
      </c>
      <c r="E408" t="inlineStr">
        <is>
          <t>其他</t>
        </is>
      </c>
      <c r="F408" t="inlineStr">
        <is>
          <t>原始网页</t>
        </is>
      </c>
      <c r="G408" t="inlineStr">
        <is>
          <t>国际新闻</t>
        </is>
      </c>
      <c r="H408" t="inlineStr">
        <is>
          <t>第63条载明……境外组织和个人……将被追究法律责任。</t>
        </is>
      </c>
      <c r="I408" t="inlineStr">
        <is>
          <t>https://www.cna.com.tw/news/aopl/202607010308.aspx</t>
        </is>
      </c>
      <c r="J408" t="inlineStr">
        <is>
          <t>涉及新疆/全国</t>
        </is>
      </c>
      <c r="L408" t="inlineStr">
        <is>
          <t>新疆</t>
        </is>
      </c>
      <c r="O408" t="inlineStr">
        <is>
          <t>中文（繁体）</t>
        </is>
      </c>
      <c r="P408" t="inlineStr">
        <is>
          <t>否</t>
        </is>
      </c>
      <c r="Q408" t="inlineStr">
        <is>
          <t>担忧影响</t>
        </is>
      </c>
      <c r="R408" t="inlineStr">
        <is>
          <t>第63条域外适用与跨境影响；权利保障与公平正义</t>
        </is>
      </c>
      <c r="S408" t="n">
        <v>56</v>
      </c>
      <c r="T408" t="n">
        <v>56</v>
      </c>
      <c r="U408" t="n">
        <v>56</v>
      </c>
      <c r="V408" t="inlineStr">
        <is>
          <t>否</t>
        </is>
      </c>
      <c r="W408" t="inlineStr">
        <is>
          <t>否</t>
        </is>
      </c>
      <c r="X408" t="inlineStr">
        <is>
          <t>历史导入:抖音等视频平台_民族团结进步促进法舆情监测_最终修正版.xlsx；来源类型:媒体报道；复核:媒体转述多方反应，不计入公众原创意见统计。；重复:否；待核实:否</t>
        </is>
      </c>
    </row>
    <row r="409">
      <c r="A409" t="inlineStr">
        <is>
          <t>hist-eb6e9bb06327d738</t>
        </is>
      </c>
      <c r="B409" s="82" t="n">
        <v>46252.9403587963</v>
      </c>
      <c r="C409" s="82" t="n">
        <v>46204</v>
      </c>
      <c r="D409" t="inlineStr">
        <is>
          <t>香港01</t>
        </is>
      </c>
      <c r="E409" t="inlineStr">
        <is>
          <t>其他</t>
        </is>
      </c>
      <c r="F409" t="inlineStr">
        <is>
          <t>原始网页</t>
        </is>
      </c>
      <c r="G409" t="inlineStr">
        <is>
          <t>中国观察</t>
        </is>
      </c>
      <c r="H409" t="inlineStr">
        <is>
          <t>焦点不只在新疆……而是聚焦此法第63条所带出的域外适用问题。</t>
        </is>
      </c>
      <c r="I409" t="inlineStr">
        <is>
          <t>https://global.hk01.com/%E4%B8%AD%E5%9B%BD%E8%A7%82%E5%AF%9F/60365558/%E6%B0%91%E6%97%8F%E5%9B%A2%E7%BB%93%E8%BF%9B%E6%AD%A5%E6%B3%95-%E4%B8%8A%E8%B7%AF-%E5%8C%97%E4%BA%AC%E6%AD%A3%E5%9C%A8%E9%87%8D%E5%A1%91%E6%B0%91%E6%97%8F%E5%AE%89%E5%85%A8%E8%A7%82</t>
        </is>
      </c>
      <c r="J409" t="inlineStr">
        <is>
          <t>涉及新疆/全国</t>
        </is>
      </c>
      <c r="L409" t="inlineStr">
        <is>
          <t>新疆</t>
        </is>
      </c>
      <c r="O409" t="inlineStr">
        <is>
          <t>中文（繁体）</t>
        </is>
      </c>
      <c r="P409" t="inlineStr">
        <is>
          <t>否</t>
        </is>
      </c>
      <c r="Q409" t="inlineStr">
        <is>
          <t>担忧影响</t>
        </is>
      </c>
      <c r="R409" t="inlineStr">
        <is>
          <t>第63条域外适用与跨境影响</t>
        </is>
      </c>
      <c r="S409" t="n">
        <v>56</v>
      </c>
      <c r="T409" t="n">
        <v>56</v>
      </c>
      <c r="U409" t="n">
        <v>56</v>
      </c>
      <c r="V409" t="inlineStr">
        <is>
          <t>否</t>
        </is>
      </c>
      <c r="W409" t="inlineStr">
        <is>
          <t>否</t>
        </is>
      </c>
      <c r="X409" t="inlineStr">
        <is>
          <t>历史导入:抖音等视频平台_民族团结进步促进法舆情监测_最终修正版.xlsx；来源类型:媒体报道；复核:媒体分析，不计入公众原创意见统计。；重复:否；待核实:否</t>
        </is>
      </c>
    </row>
    <row r="410">
      <c r="A410" t="inlineStr">
        <is>
          <t>hist-bc92c6d01bbe4c83</t>
        </is>
      </c>
      <c r="B410" s="82" t="n">
        <v>46252.9403587963</v>
      </c>
      <c r="C410" s="82" t="n">
        <v>46207</v>
      </c>
      <c r="D410" t="inlineStr">
        <is>
          <t>新疆日报电子版</t>
        </is>
      </c>
      <c r="E410" t="inlineStr">
        <is>
          <t>其他</t>
        </is>
      </c>
      <c r="F410" t="inlineStr">
        <is>
          <t>网页公开检索</t>
        </is>
      </c>
      <c r="G410" t="inlineStr">
        <is>
          <t>A03要闻</t>
        </is>
      </c>
      <c r="H410" t="inlineStr">
        <is>
          <t>把学习宣传贯彻民族团结进步促进法作为一项重大政治任务。</t>
        </is>
      </c>
      <c r="I410" t="inlineStr">
        <is>
          <t>https://xjrb.ts.cn/xjrb/20260704/259878.html</t>
        </is>
      </c>
      <c r="J410" t="inlineStr">
        <is>
          <t>新疆维吾尔自治区</t>
        </is>
      </c>
      <c r="L410" t="inlineStr">
        <is>
          <t>新疆</t>
        </is>
      </c>
      <c r="O410" t="inlineStr">
        <is>
          <t>中文</t>
        </is>
      </c>
      <c r="P410" t="inlineStr">
        <is>
          <t>否</t>
        </is>
      </c>
      <c r="Q410" t="inlineStr">
        <is>
          <t>官方政策信息</t>
        </is>
      </c>
      <c r="R410" t="inlineStr">
        <is>
          <t>干部培训、普法宣传、组织实施</t>
        </is>
      </c>
      <c r="S410" t="n">
        <v>1</v>
      </c>
      <c r="T410" t="n">
        <v>1</v>
      </c>
      <c r="U410" t="n">
        <v>1</v>
      </c>
      <c r="V410" t="inlineStr">
        <is>
          <t>否</t>
        </is>
      </c>
      <c r="W410" t="inlineStr">
        <is>
          <t>否</t>
        </is>
      </c>
      <c r="X410" t="inlineStr">
        <is>
          <t>历史导入:新疆区州网页与视频号舆情监测_最终修正版.xlsx；来源类型:官方实施信息；复核:已核验标题、日期、正文和原始页面。；重复:否；待核实:否</t>
        </is>
      </c>
    </row>
    <row r="411">
      <c r="A411" t="inlineStr">
        <is>
          <t>hist-18cb72778469e0c6</t>
        </is>
      </c>
      <c r="B411" s="82" t="n">
        <v>46252.9403587963</v>
      </c>
      <c r="C411" s="82" t="n">
        <v>46210</v>
      </c>
      <c r="D411" t="inlineStr">
        <is>
          <t>新疆日报电子版</t>
        </is>
      </c>
      <c r="E411" t="inlineStr">
        <is>
          <t>其他</t>
        </is>
      </c>
      <c r="F411" t="inlineStr">
        <is>
          <t>网页公开检索</t>
        </is>
      </c>
      <c r="G411" t="inlineStr">
        <is>
          <t>A05理论学习</t>
        </is>
      </c>
      <c r="H411" t="inlineStr">
        <is>
          <t>民族团结进步促进法自7月1日起正式施行。</t>
        </is>
      </c>
      <c r="I411" t="inlineStr">
        <is>
          <t>https://xjrb.ts.cn/xjrb/20260707/260002.html</t>
        </is>
      </c>
      <c r="J411" t="inlineStr">
        <is>
          <t>新疆维吾尔自治区</t>
        </is>
      </c>
      <c r="L411" t="inlineStr">
        <is>
          <t>新疆</t>
        </is>
      </c>
      <c r="O411" t="inlineStr">
        <is>
          <t>中文</t>
        </is>
      </c>
      <c r="P411" t="inlineStr">
        <is>
          <t>否</t>
        </is>
      </c>
      <c r="Q411" t="inlineStr">
        <is>
          <t>中性信息</t>
        </is>
      </c>
      <c r="R411" t="inlineStr">
        <is>
          <t>政策解读、分众普法、基层落实</t>
        </is>
      </c>
      <c r="S411" t="n">
        <v>1</v>
      </c>
      <c r="T411" t="n">
        <v>1</v>
      </c>
      <c r="U411" t="n">
        <v>1</v>
      </c>
      <c r="V411" t="inlineStr">
        <is>
          <t>否</t>
        </is>
      </c>
      <c r="W411" t="inlineStr">
        <is>
          <t>否</t>
        </is>
      </c>
      <c r="X411" t="inlineStr">
        <is>
          <t>历史导入:新疆区州网页与视频号舆情监测_最终修正版.xlsx；来源类型:媒体报道；复核:已核验原文页面；属于媒体理论解读，不计作公众支持。；重复:否；待核实:否</t>
        </is>
      </c>
    </row>
    <row r="412">
      <c r="A412" t="inlineStr">
        <is>
          <t>hist-b26a89bc17676539</t>
        </is>
      </c>
      <c r="B412" s="82" t="n">
        <v>46252.9403587963</v>
      </c>
      <c r="C412" s="82" t="n">
        <v>46210</v>
      </c>
      <c r="D412" t="inlineStr">
        <is>
          <t>新疆日报电子版</t>
        </is>
      </c>
      <c r="E412" t="inlineStr">
        <is>
          <t>其他</t>
        </is>
      </c>
      <c r="F412" t="inlineStr">
        <is>
          <t>网页公开检索</t>
        </is>
      </c>
      <c r="G412" t="inlineStr">
        <is>
          <t>A05理论学习</t>
        </is>
      </c>
      <c r="H412" t="inlineStr">
        <is>
          <t>切实做好民族团结进步促进法的贯彻实施。</t>
        </is>
      </c>
      <c r="I412" t="inlineStr">
        <is>
          <t>https://xjrb.ts.cn/xjrb/20260707/260003.html</t>
        </is>
      </c>
      <c r="J412" t="inlineStr">
        <is>
          <t>新疆维吾尔自治区</t>
        </is>
      </c>
      <c r="L412" t="inlineStr">
        <is>
          <t>新疆</t>
        </is>
      </c>
      <c r="O412" t="inlineStr">
        <is>
          <t>中文</t>
        </is>
      </c>
      <c r="P412" t="inlineStr">
        <is>
          <t>否</t>
        </is>
      </c>
      <c r="Q412" t="inlineStr">
        <is>
          <t>中性信息</t>
        </is>
      </c>
      <c r="R412" t="inlineStr">
        <is>
          <t>法律解读、贯彻实施</t>
        </is>
      </c>
      <c r="S412" t="n">
        <v>1</v>
      </c>
      <c r="T412" t="n">
        <v>1</v>
      </c>
      <c r="U412" t="n">
        <v>1</v>
      </c>
      <c r="V412" t="inlineStr">
        <is>
          <t>否</t>
        </is>
      </c>
      <c r="W412" t="inlineStr">
        <is>
          <t>否</t>
        </is>
      </c>
      <c r="X412" t="inlineStr">
        <is>
          <t>历史导入:新疆区州网页与视频号舆情监测_最终修正版.xlsx；来源类型:媒体报道；复核:已核验标题、日期和正文。；重复:否；待核实:否</t>
        </is>
      </c>
    </row>
    <row r="413">
      <c r="A413" t="inlineStr">
        <is>
          <t>hist-48f466b963ad1760</t>
        </is>
      </c>
      <c r="B413" s="82" t="n">
        <v>46252.9403587963</v>
      </c>
      <c r="C413" s="82" t="n">
        <v>46220</v>
      </c>
      <c r="D413" t="inlineStr">
        <is>
          <t>新疆日报电子版</t>
        </is>
      </c>
      <c r="E413" t="inlineStr">
        <is>
          <t>其他</t>
        </is>
      </c>
      <c r="F413" t="inlineStr">
        <is>
          <t>网页公开检索</t>
        </is>
      </c>
      <c r="G413" t="inlineStr">
        <is>
          <t>A01要闻</t>
        </is>
      </c>
      <c r="H413" t="inlineStr">
        <is>
          <t>抓好民族团结进步促进法学习宣传培训，加强组织实施和督促落实。</t>
        </is>
      </c>
      <c r="I413" t="inlineStr">
        <is>
          <t>https://xjrb.ts.cn/xjrb/20260717/260427.html</t>
        </is>
      </c>
      <c r="J413" t="inlineStr">
        <is>
          <t>新疆维吾尔自治区</t>
        </is>
      </c>
      <c r="L413" t="inlineStr">
        <is>
          <t>新疆</t>
        </is>
      </c>
      <c r="O413" t="inlineStr">
        <is>
          <t>中文</t>
        </is>
      </c>
      <c r="P413" t="inlineStr">
        <is>
          <t>否</t>
        </is>
      </c>
      <c r="Q413" t="inlineStr">
        <is>
          <t>官方政策信息</t>
        </is>
      </c>
      <c r="R413" t="inlineStr">
        <is>
          <t>自治区部署、学习培训、督促落实</t>
        </is>
      </c>
      <c r="S413" t="n">
        <v>1</v>
      </c>
      <c r="T413" t="n">
        <v>1</v>
      </c>
      <c r="U413" t="n">
        <v>1</v>
      </c>
      <c r="V413" t="inlineStr">
        <is>
          <t>否</t>
        </is>
      </c>
      <c r="W413" t="inlineStr">
        <is>
          <t>否</t>
        </is>
      </c>
      <c r="X413" t="inlineStr">
        <is>
          <t>历史导入:新疆区州网页与视频号舆情监测_最终修正版.xlsx；来源类型:官方实施信息；复核:已核验原始电子报页面。；重复:否；待核实:否</t>
        </is>
      </c>
    </row>
    <row r="414">
      <c r="A414" t="inlineStr">
        <is>
          <t>hist-8967ecf8e2d0f2d3</t>
        </is>
      </c>
      <c r="B414" s="82" t="n">
        <v>46252.9403587963</v>
      </c>
      <c r="C414" s="82" t="n">
        <v>46227</v>
      </c>
      <c r="D414" t="inlineStr">
        <is>
          <t>天山网—新疆日报</t>
        </is>
      </c>
      <c r="E414" t="inlineStr">
        <is>
          <t>其他</t>
        </is>
      </c>
      <c r="F414" t="inlineStr">
        <is>
          <t>网页公开检索</t>
        </is>
      </c>
      <c r="G414" t="inlineStr">
        <is>
          <t>A01要闻</t>
        </is>
      </c>
      <c r="H414" t="inlineStr">
        <is>
          <t>学习《中华人民共和国民族团结进步促进法》。</t>
        </is>
      </c>
      <c r="I414" t="inlineStr">
        <is>
          <t>https://xjrb.ts.cn/xjrb/20260724/260693.html</t>
        </is>
      </c>
      <c r="J414" t="inlineStr">
        <is>
          <t>新疆维吾尔自治区</t>
        </is>
      </c>
      <c r="L414" t="inlineStr">
        <is>
          <t>新疆</t>
        </is>
      </c>
      <c r="O414" t="inlineStr">
        <is>
          <t>中文</t>
        </is>
      </c>
      <c r="P414" t="inlineStr">
        <is>
          <t>否</t>
        </is>
      </c>
      <c r="Q414" t="inlineStr">
        <is>
          <t>官方政策信息</t>
        </is>
      </c>
      <c r="R414" t="inlineStr">
        <is>
          <t>政府学法、基层宣讲、法治政府</t>
        </is>
      </c>
      <c r="S414" t="n">
        <v>1</v>
      </c>
      <c r="T414" t="n">
        <v>1</v>
      </c>
      <c r="U414" t="n">
        <v>1</v>
      </c>
      <c r="V414" t="inlineStr">
        <is>
          <t>否</t>
        </is>
      </c>
      <c r="W414" t="inlineStr">
        <is>
          <t>否</t>
        </is>
      </c>
      <c r="X414" t="inlineStr">
        <is>
          <t>历史导入:新疆区州网页与视频号舆情监测_最终修正版.xlsx；来源类型:官方实施信息；复核:已替换为天山网—新疆日报原始页面。；重复:否；待核实:否</t>
        </is>
      </c>
    </row>
    <row r="415">
      <c r="A415" t="inlineStr">
        <is>
          <t>hist-7897aca3e54a704d</t>
        </is>
      </c>
      <c r="B415" s="82" t="n">
        <v>46252.9403587963</v>
      </c>
      <c r="C415" s="82" t="n">
        <v>46234</v>
      </c>
      <c r="D415" t="inlineStr">
        <is>
          <t>天山网—新疆日报</t>
        </is>
      </c>
      <c r="E415" t="inlineStr">
        <is>
          <t>其他</t>
        </is>
      </c>
      <c r="F415" t="inlineStr">
        <is>
          <t>网页公开检索</t>
        </is>
      </c>
      <c r="G415" t="inlineStr">
        <is>
          <t>A02要闻</t>
        </is>
      </c>
      <c r="H415" t="inlineStr">
        <is>
          <t>全面有效推动法律高质量实施。</t>
        </is>
      </c>
      <c r="I415" t="inlineStr">
        <is>
          <t>https://xjrb.ts.cn/xjrb/20260731/261020.html</t>
        </is>
      </c>
      <c r="J415" t="inlineStr">
        <is>
          <t>新疆维吾尔自治区</t>
        </is>
      </c>
      <c r="L415" t="inlineStr">
        <is>
          <t>新疆</t>
        </is>
      </c>
      <c r="O415" t="inlineStr">
        <is>
          <t>中文</t>
        </is>
      </c>
      <c r="P415" t="inlineStr">
        <is>
          <t>否</t>
        </is>
      </c>
      <c r="Q415" t="inlineStr">
        <is>
          <t>官方政策信息</t>
        </is>
      </c>
      <c r="R415" t="inlineStr">
        <is>
          <t>地方配套法规、人大监督、实施问题</t>
        </is>
      </c>
      <c r="S415" t="n">
        <v>1</v>
      </c>
      <c r="T415" t="n">
        <v>1</v>
      </c>
      <c r="U415" t="n">
        <v>1</v>
      </c>
      <c r="V415" t="inlineStr">
        <is>
          <t>否</t>
        </is>
      </c>
      <c r="W415" t="inlineStr">
        <is>
          <t>否</t>
        </is>
      </c>
      <c r="X415" t="inlineStr">
        <is>
          <t>历史导入:新疆区州网页与视频号舆情监测_最终修正版.xlsx；来源类型:官方实施信息；复核:已替换为天山网—新疆日报原始页面。；重复:否；待核实:否</t>
        </is>
      </c>
    </row>
    <row r="416">
      <c r="A416" t="inlineStr">
        <is>
          <t>hist-a8363c6032701304</t>
        </is>
      </c>
      <c r="B416" s="82" t="n">
        <v>46252.9403587963</v>
      </c>
      <c r="C416" s="82" t="n">
        <v>46234</v>
      </c>
      <c r="D416" t="inlineStr">
        <is>
          <t>天山网—新疆日报</t>
        </is>
      </c>
      <c r="E416" t="inlineStr">
        <is>
          <t>其他</t>
        </is>
      </c>
      <c r="F416" t="inlineStr">
        <is>
          <t>网页公开检索</t>
        </is>
      </c>
      <c r="G416" t="inlineStr">
        <is>
          <t>A02要闻</t>
        </is>
      </c>
      <c r="H416" t="inlineStr">
        <is>
          <t>100名自治区各级人大代表参加学习培训。</t>
        </is>
      </c>
      <c r="I416" t="inlineStr">
        <is>
          <t>https://xjrb.ts.cn/xjrb/20260801/261058.html</t>
        </is>
      </c>
      <c r="J416" t="inlineStr">
        <is>
          <t>新疆维吾尔自治区</t>
        </is>
      </c>
      <c r="L416" t="inlineStr">
        <is>
          <t>新疆</t>
        </is>
      </c>
      <c r="O416" t="inlineStr">
        <is>
          <t>中文</t>
        </is>
      </c>
      <c r="P416" t="inlineStr">
        <is>
          <t>否</t>
        </is>
      </c>
      <c r="Q416" t="inlineStr">
        <is>
          <t>官方政策信息</t>
        </is>
      </c>
      <c r="R416" t="inlineStr">
        <is>
          <t>人大代表培训、基层宣讲、倾听民声</t>
        </is>
      </c>
      <c r="S416" t="n">
        <v>1</v>
      </c>
      <c r="T416" t="n">
        <v>1</v>
      </c>
      <c r="U416" t="n">
        <v>1</v>
      </c>
      <c r="V416" t="inlineStr">
        <is>
          <t>否</t>
        </is>
      </c>
      <c r="W416" t="inlineStr">
        <is>
          <t>否</t>
        </is>
      </c>
      <c r="X416" t="inlineStr">
        <is>
          <t>历史导入:新疆区州网页与视频号舆情监测_最终修正版.xlsx；来源类型:官方实施信息；复核:天山网页稿时间为2026-07-31 23:52:04，新疆日报版面日期为2026-08-01。；重复:否；待核实:否</t>
        </is>
      </c>
    </row>
    <row r="417">
      <c r="A417" t="inlineStr">
        <is>
          <t>hist-40075fda2bd579a1</t>
        </is>
      </c>
      <c r="B417" s="82" t="n">
        <v>46252.9403587963</v>
      </c>
      <c r="C417" s="82" t="n">
        <v>46209</v>
      </c>
      <c r="D417" t="inlineStr">
        <is>
          <t>伊犁哈萨克自治州人民政府</t>
        </is>
      </c>
      <c r="E417" t="inlineStr">
        <is>
          <t>其他</t>
        </is>
      </c>
      <c r="F417" t="inlineStr">
        <is>
          <t>网页公开检索</t>
        </is>
      </c>
      <c r="G417" t="inlineStr">
        <is>
          <t>重点领域信息公开</t>
        </is>
      </c>
      <c r="H417" t="inlineStr">
        <is>
          <t>页面标题直接注明一图读懂该法。</t>
        </is>
      </c>
      <c r="I417" t="inlineStr">
        <is>
          <t>https://www.xjyl.gov.cn/xjylz/c112831/zdlyxxgk_list_2.shtml</t>
        </is>
      </c>
      <c r="J417" t="inlineStr">
        <is>
          <t>伊犁哈萨克自治州</t>
        </is>
      </c>
      <c r="L417" t="inlineStr">
        <is>
          <t>新疆</t>
        </is>
      </c>
      <c r="O417" t="inlineStr">
        <is>
          <t>中文</t>
        </is>
      </c>
      <c r="P417" t="inlineStr">
        <is>
          <t>否</t>
        </is>
      </c>
      <c r="Q417" t="inlineStr">
        <is>
          <t>中性信息</t>
        </is>
      </c>
      <c r="R417" t="inlineStr">
        <is>
          <t>图解政策、政务新媒体传播</t>
        </is>
      </c>
      <c r="S417" t="n">
        <v>1</v>
      </c>
      <c r="T417" t="n">
        <v>1</v>
      </c>
      <c r="U417" t="n">
        <v>1</v>
      </c>
      <c r="V417" t="inlineStr">
        <is>
          <t>否</t>
        </is>
      </c>
      <c r="W417" t="inlineStr">
        <is>
          <t>否</t>
        </is>
      </c>
      <c r="X417" t="inlineStr">
        <is>
          <t>历史导入:新疆区州网页与视频号舆情监测_最终修正版.xlsx；来源类型:媒体报道；复核:已在伊犁州政府公开列表核验标题和日期。；重复:否；待核实:否</t>
        </is>
      </c>
    </row>
    <row r="418">
      <c r="A418" t="inlineStr">
        <is>
          <t>hist-12aeda3de68e91e3</t>
        </is>
      </c>
      <c r="B418" s="82" t="n">
        <v>46252.9403587963</v>
      </c>
      <c r="C418" s="82" t="n">
        <v>46228</v>
      </c>
      <c r="D418" t="inlineStr">
        <is>
          <t>伊犁州人大网</t>
        </is>
      </c>
      <c r="E418" t="inlineStr">
        <is>
          <t>其他</t>
        </is>
      </c>
      <c r="F418" t="inlineStr">
        <is>
          <t>网页公开检索</t>
        </is>
      </c>
      <c r="G418" t="inlineStr">
        <is>
          <t>本地新闻</t>
        </is>
      </c>
      <c r="H418" t="inlineStr">
        <is>
          <t>网站首页明确列出该专题宣讲会及发布日期2026-07-25。</t>
        </is>
      </c>
      <c r="I418" t="inlineStr">
        <is>
          <t>https://rd.xjyl.gov.cn/html/web/rendayaowen/bendixinwen/2080935983133560834.html?t=4</t>
        </is>
      </c>
      <c r="J418" t="inlineStr">
        <is>
          <t>伊犁哈萨克自治州</t>
        </is>
      </c>
      <c r="L418" t="inlineStr">
        <is>
          <t>新疆</t>
        </is>
      </c>
      <c r="O418" t="inlineStr">
        <is>
          <t>中文</t>
        </is>
      </c>
      <c r="P418" t="inlineStr">
        <is>
          <t>否</t>
        </is>
      </c>
      <c r="Q418" t="inlineStr">
        <is>
          <t>官方政策信息</t>
        </is>
      </c>
      <c r="R418" t="inlineStr">
        <is>
          <t>人大宣讲、地方贯彻</t>
        </is>
      </c>
      <c r="S418" t="n">
        <v>1</v>
      </c>
      <c r="T418" t="n">
        <v>1</v>
      </c>
      <c r="U418" t="n">
        <v>1</v>
      </c>
      <c r="V418" t="inlineStr">
        <is>
          <t>否</t>
        </is>
      </c>
      <c r="W418" t="inlineStr">
        <is>
          <t>否</t>
        </is>
      </c>
      <c r="X418" t="inlineStr">
        <is>
          <t>历史导入:新疆区州网页与视频号舆情监测_最终修正版.xlsx；来源类型:官方实施信息；复核:已复核伊犁州人大官网详情页。；重复:否；待核实:否</t>
        </is>
      </c>
    </row>
    <row r="419">
      <c r="A419" t="inlineStr">
        <is>
          <t>hist-7c63059ad01ecdae</t>
        </is>
      </c>
      <c r="B419" s="82" t="n">
        <v>46252.9403587963</v>
      </c>
      <c r="C419" s="82" t="n">
        <v>46235</v>
      </c>
      <c r="D419" t="inlineStr">
        <is>
          <t>腾讯新闻（博州发布账号）</t>
        </is>
      </c>
      <c r="E419" t="inlineStr">
        <is>
          <t>贴吧/头条/新闻评论</t>
        </is>
      </c>
      <c r="F419" t="inlineStr">
        <is>
          <t>网页公开检索</t>
        </is>
      </c>
      <c r="G419" t="inlineStr">
        <is>
          <t>博州发布</t>
        </is>
      </c>
      <c r="H419" t="inlineStr">
        <is>
          <t>以学习贯彻《中华人民共和国民族团结进步促进法》推进中华民族共同体建设为主题。</t>
        </is>
      </c>
      <c r="I419" t="inlineStr">
        <is>
          <t>https://news.qq.com/rain/a/20260801A0960200</t>
        </is>
      </c>
      <c r="J419" t="inlineStr">
        <is>
          <t>博尔塔拉蒙古自治州</t>
        </is>
      </c>
      <c r="L419" t="inlineStr">
        <is>
          <t>新疆</t>
        </is>
      </c>
      <c r="O419" t="inlineStr">
        <is>
          <t>中文</t>
        </is>
      </c>
      <c r="P419" t="inlineStr">
        <is>
          <t>否</t>
        </is>
      </c>
      <c r="Q419" t="inlineStr">
        <is>
          <t>官方政策信息</t>
        </is>
      </c>
      <c r="R419" t="inlineStr">
        <is>
          <t>专题讲座、视频会议、条文解读</t>
        </is>
      </c>
      <c r="S419" t="n">
        <v>1</v>
      </c>
      <c r="T419" t="n">
        <v>1</v>
      </c>
      <c r="U419" t="n">
        <v>1</v>
      </c>
      <c r="V419" t="inlineStr">
        <is>
          <t>否</t>
        </is>
      </c>
      <c r="W419" t="inlineStr">
        <is>
          <t>否</t>
        </is>
      </c>
      <c r="X419" t="inlineStr">
        <is>
          <t>历史导入:新疆区州网页与视频号舆情监测_最终修正版.xlsx；来源类型:官方实施信息；复核:已核验账号、发布时间、正文和参与规模。；重复:否；待核实:否</t>
        </is>
      </c>
    </row>
    <row r="420">
      <c r="A420" t="inlineStr">
        <is>
          <t>hist-f7a4df93367fe569</t>
        </is>
      </c>
      <c r="B420" s="82" t="n">
        <v>46252.9403587963</v>
      </c>
      <c r="C420" s="82" t="n">
        <v>46235</v>
      </c>
      <c r="D420" t="inlineStr">
        <is>
          <t>腾讯新闻（博州发布账号）</t>
        </is>
      </c>
      <c r="E420" t="inlineStr">
        <is>
          <t>贴吧/头条/新闻评论</t>
        </is>
      </c>
      <c r="F420" t="inlineStr">
        <is>
          <t>网页公开检索</t>
        </is>
      </c>
      <c r="G420" t="inlineStr">
        <is>
          <t>博州发布</t>
        </is>
      </c>
      <c r="H420" t="inlineStr">
        <is>
          <t>该法的颁布实施，为基层统战工作提供了坚实的法治遵循。</t>
        </is>
      </c>
      <c r="I420" t="inlineStr">
        <is>
          <t>https://news.qq.com/rain/a/20260801A0960200</t>
        </is>
      </c>
      <c r="J420" t="inlineStr">
        <is>
          <t>博尔塔拉蒙古自治州</t>
        </is>
      </c>
      <c r="L420" t="inlineStr">
        <is>
          <t>新疆</t>
        </is>
      </c>
      <c r="O420" t="inlineStr">
        <is>
          <t>中文</t>
        </is>
      </c>
      <c r="P420" t="inlineStr">
        <is>
          <t>否</t>
        </is>
      </c>
      <c r="Q420" t="inlineStr">
        <is>
          <t>支持认可</t>
        </is>
      </c>
      <c r="R420" t="inlineStr">
        <is>
          <t>基层统战、学法用法、服务群众</t>
        </is>
      </c>
      <c r="S420" t="n">
        <v>1</v>
      </c>
      <c r="T420" t="n">
        <v>1</v>
      </c>
      <c r="U420" t="n">
        <v>1</v>
      </c>
      <c r="V420" t="inlineStr">
        <is>
          <t>否</t>
        </is>
      </c>
      <c r="W420" t="inlineStr">
        <is>
          <t>是</t>
        </is>
      </c>
      <c r="X420" t="inlineStr">
        <is>
          <t>历史导入:新疆区州网页与视频号舆情监测_最终修正版.xlsx；来源类型:个人原创观点；复核:为媒体报道中的实名引语；不推断其民族、政治立场等个人属性。；重复:否；待核实:否</t>
        </is>
      </c>
    </row>
    <row r="421">
      <c r="A421" t="inlineStr">
        <is>
          <t>hist-f314d541e1c0cafd</t>
        </is>
      </c>
      <c r="B421" s="82" t="n">
        <v>46252.9403587963</v>
      </c>
      <c r="C421" s="82" t="n">
        <v>46235</v>
      </c>
      <c r="D421" t="inlineStr">
        <is>
          <t>腾讯新闻（博州发布账号）</t>
        </is>
      </c>
      <c r="E421" t="inlineStr">
        <is>
          <t>贴吧/头条/新闻评论</t>
        </is>
      </c>
      <c r="F421" t="inlineStr">
        <is>
          <t>网页公开检索</t>
        </is>
      </c>
      <c r="G421" t="inlineStr">
        <is>
          <t>博州发布</t>
        </is>
      </c>
      <c r="H421" t="inlineStr">
        <is>
          <t>带头学习法律、宣传法律……为民族团结进步事业贡献青春力量。</t>
        </is>
      </c>
      <c r="I421" t="inlineStr">
        <is>
          <t>https://news.qq.com/rain/a/20260801A0960200</t>
        </is>
      </c>
      <c r="J421" t="inlineStr">
        <is>
          <t>博尔塔拉蒙古自治州</t>
        </is>
      </c>
      <c r="L421" t="inlineStr">
        <is>
          <t>新疆</t>
        </is>
      </c>
      <c r="O421" t="inlineStr">
        <is>
          <t>中文</t>
        </is>
      </c>
      <c r="P421" t="inlineStr">
        <is>
          <t>否</t>
        </is>
      </c>
      <c r="Q421" t="inlineStr">
        <is>
          <t>支持认可</t>
        </is>
      </c>
      <c r="R421" t="inlineStr">
        <is>
          <t>青年普法、青少年教育</t>
        </is>
      </c>
      <c r="S421" t="n">
        <v>1</v>
      </c>
      <c r="T421" t="n">
        <v>1</v>
      </c>
      <c r="U421" t="n">
        <v>1</v>
      </c>
      <c r="V421" t="inlineStr">
        <is>
          <t>否</t>
        </is>
      </c>
      <c r="W421" t="inlineStr">
        <is>
          <t>是</t>
        </is>
      </c>
      <c r="X421" t="inlineStr">
        <is>
          <t>历史导入:新疆区州网页与视频号舆情监测_最终修正版.xlsx；来源类型:个人原创观点；复核:为媒体报道中的实名引语。；重复:否；待核实:否</t>
        </is>
      </c>
    </row>
    <row r="422">
      <c r="A422" t="inlineStr">
        <is>
          <t>hist-6c28599c1d4719ef</t>
        </is>
      </c>
      <c r="B422" s="82" t="n">
        <v>46252.9403587963</v>
      </c>
      <c r="C422" s="82" t="n">
        <v>46206</v>
      </c>
      <c r="D422" t="inlineStr">
        <is>
          <t>昌吉日报电子版</t>
        </is>
      </c>
      <c r="E422" t="inlineStr">
        <is>
          <t>其他</t>
        </is>
      </c>
      <c r="F422" t="inlineStr">
        <is>
          <t>网页公开检索</t>
        </is>
      </c>
      <c r="G422" t="inlineStr">
        <is>
          <t>理论版</t>
        </is>
      </c>
      <c r="H422" t="inlineStr">
        <is>
          <t>贯彻实施民族团结进步促进法……</t>
        </is>
      </c>
      <c r="I422" t="inlineStr">
        <is>
          <t>https://pcepaper.cjxww.cn/html/2026-07/03/content_1158_355540.htm</t>
        </is>
      </c>
      <c r="J422" t="inlineStr">
        <is>
          <t>昌吉回族自治州</t>
        </is>
      </c>
      <c r="L422" t="inlineStr">
        <is>
          <t>新疆</t>
        </is>
      </c>
      <c r="O422" t="inlineStr">
        <is>
          <t>中文</t>
        </is>
      </c>
      <c r="P422" t="inlineStr">
        <is>
          <t>否</t>
        </is>
      </c>
      <c r="Q422" t="inlineStr">
        <is>
          <t>中性信息</t>
        </is>
      </c>
      <c r="R422" t="inlineStr">
        <is>
          <t>政策解读、依法治理民族事务</t>
        </is>
      </c>
      <c r="S422" t="n">
        <v>1</v>
      </c>
      <c r="T422" t="n">
        <v>1</v>
      </c>
      <c r="U422" t="n">
        <v>1</v>
      </c>
      <c r="V422" t="inlineStr">
        <is>
          <t>否</t>
        </is>
      </c>
      <c r="W422" t="inlineStr">
        <is>
          <t>否</t>
        </is>
      </c>
      <c r="X422" t="inlineStr">
        <is>
          <t>历史导入:新疆区州网页与视频号舆情监测_最终修正版.xlsx；来源类型:媒体报道；复核:已核验电子报原始页面和日期。；重复:否；待核实:否</t>
        </is>
      </c>
    </row>
    <row r="423">
      <c r="A423" t="inlineStr">
        <is>
          <t>hist-b2c09ce16eeb8fd2</t>
        </is>
      </c>
      <c r="B423" s="82" t="n">
        <v>46252.9403587963</v>
      </c>
      <c r="C423" s="82" t="n">
        <v>46208</v>
      </c>
      <c r="D423" t="inlineStr">
        <is>
          <t>新疆统一战线</t>
        </is>
      </c>
      <c r="E423" t="inlineStr">
        <is>
          <t>其他</t>
        </is>
      </c>
      <c r="F423" t="inlineStr">
        <is>
          <t>网页公开检索</t>
        </is>
      </c>
      <c r="G423" t="inlineStr">
        <is>
          <t>昌吉州党委统战部供稿</t>
        </is>
      </c>
      <c r="H423" t="inlineStr">
        <is>
          <t>6月23日至7月1日……深入24个村（社区）开展巡回宣讲。</t>
        </is>
      </c>
      <c r="I423" t="inlineStr">
        <is>
          <t>https://www.xjtzb.gov.cn/static/content/tzdt/2026-07-06/1524830701252517888.html</t>
        </is>
      </c>
      <c r="J423" t="inlineStr">
        <is>
          <t>昌吉回族自治州</t>
        </is>
      </c>
      <c r="L423" t="inlineStr">
        <is>
          <t>新疆</t>
        </is>
      </c>
      <c r="O423" t="inlineStr">
        <is>
          <t>中文</t>
        </is>
      </c>
      <c r="P423" t="inlineStr">
        <is>
          <t>否</t>
        </is>
      </c>
      <c r="Q423" t="inlineStr">
        <is>
          <t>官方政策信息</t>
        </is>
      </c>
      <c r="R423" t="inlineStr">
        <is>
          <t>基层宣讲、干部学习、普法覆盖</t>
        </is>
      </c>
      <c r="S423" t="n">
        <v>1</v>
      </c>
      <c r="T423" t="n">
        <v>1</v>
      </c>
      <c r="U423" t="n">
        <v>1</v>
      </c>
      <c r="V423" t="inlineStr">
        <is>
          <t>否</t>
        </is>
      </c>
      <c r="W423" t="inlineStr">
        <is>
          <t>否</t>
        </is>
      </c>
      <c r="X423" t="inlineStr">
        <is>
          <t>历史导入:新疆区州网页与视频号舆情监测_最终修正版.xlsx；来源类型:官方实施信息；复核:已核验正文；页面显示日期为7月5日，URL生成日期为7月6日。；重复:否；待核实:否</t>
        </is>
      </c>
    </row>
    <row r="424">
      <c r="A424" t="inlineStr">
        <is>
          <t>hist-793510dcb2d7c2ad</t>
        </is>
      </c>
      <c r="B424" s="82" t="n">
        <v>46252.9403587963</v>
      </c>
      <c r="C424" s="82" t="n">
        <v>46213</v>
      </c>
      <c r="D424" t="inlineStr">
        <is>
          <t>昌吉日报电子版</t>
        </is>
      </c>
      <c r="E424" t="inlineStr">
        <is>
          <t>其他</t>
        </is>
      </c>
      <c r="F424" t="inlineStr">
        <is>
          <t>网页公开检索</t>
        </is>
      </c>
      <c r="G424" t="inlineStr">
        <is>
          <t>理论版</t>
        </is>
      </c>
      <c r="H424" t="inlineStr">
        <is>
          <t>宣传好、实施好这部法律，切实把制度优势转化为治理效能。</t>
        </is>
      </c>
      <c r="I424" t="inlineStr">
        <is>
          <t>https://pcepaper.cjxww.cn/html/2026-07/10/content_1158_357122.htm</t>
        </is>
      </c>
      <c r="J424" t="inlineStr">
        <is>
          <t>昌吉回族自治州</t>
        </is>
      </c>
      <c r="L424" t="inlineStr">
        <is>
          <t>新疆</t>
        </is>
      </c>
      <c r="O424" t="inlineStr">
        <is>
          <t>中文</t>
        </is>
      </c>
      <c r="P424" t="inlineStr">
        <is>
          <t>否</t>
        </is>
      </c>
      <c r="Q424" t="inlineStr">
        <is>
          <t>中性信息</t>
        </is>
      </c>
      <c r="R424" t="inlineStr">
        <is>
          <t>法律阐释、治理效能</t>
        </is>
      </c>
      <c r="S424" t="n">
        <v>1</v>
      </c>
      <c r="T424" t="n">
        <v>1</v>
      </c>
      <c r="U424" t="n">
        <v>1</v>
      </c>
      <c r="V424" t="inlineStr">
        <is>
          <t>否</t>
        </is>
      </c>
      <c r="W424" t="inlineStr">
        <is>
          <t>否</t>
        </is>
      </c>
      <c r="X424" t="inlineStr">
        <is>
          <t>历史导入:新疆区州网页与视频号舆情监测_最终修正版.xlsx；来源类型:媒体报道；复核:已核验电子报页面。；重复:否；待核实:否</t>
        </is>
      </c>
    </row>
    <row r="425">
      <c r="A425" t="inlineStr">
        <is>
          <t>hist-c1e5ef050efc464c</t>
        </is>
      </c>
      <c r="B425" s="82" t="n">
        <v>46252.9403587963</v>
      </c>
      <c r="C425" s="82" t="n">
        <v>46220</v>
      </c>
      <c r="D425" t="inlineStr">
        <is>
          <t>巴音郭楞蒙古自治州人民政府</t>
        </is>
      </c>
      <c r="E425" t="inlineStr">
        <is>
          <t>其他</t>
        </is>
      </c>
      <c r="F425" t="inlineStr">
        <is>
          <t>网页公开检索</t>
        </is>
      </c>
      <c r="G425" t="inlineStr">
        <is>
          <t>今日巴州</t>
        </is>
      </c>
      <c r="H425" t="inlineStr">
        <is>
          <t>抓好民族团结进步促进法学习宣传贯彻。</t>
        </is>
      </c>
      <c r="I425" t="inlineStr">
        <is>
          <t>https://www.xjbz.gov.cn/xjbz/jrbz/202607/6be59ac3612b4c4eba3db9f02375a6b1.shtml</t>
        </is>
      </c>
      <c r="J425" t="inlineStr">
        <is>
          <t>巴音郭楞蒙古自治州</t>
        </is>
      </c>
      <c r="L425" t="inlineStr">
        <is>
          <t>新疆</t>
        </is>
      </c>
      <c r="O425" t="inlineStr">
        <is>
          <t>中文</t>
        </is>
      </c>
      <c r="P425" t="inlineStr">
        <is>
          <t>否</t>
        </is>
      </c>
      <c r="Q425" t="inlineStr">
        <is>
          <t>官方政策信息</t>
        </is>
      </c>
      <c r="R425" t="inlineStr">
        <is>
          <t>党委部署、学习宣传贯彻</t>
        </is>
      </c>
      <c r="S425" t="n">
        <v>1</v>
      </c>
      <c r="T425" t="n">
        <v>1</v>
      </c>
      <c r="U425" t="n">
        <v>1</v>
      </c>
      <c r="V425" t="inlineStr">
        <is>
          <t>否</t>
        </is>
      </c>
      <c r="W425" t="inlineStr">
        <is>
          <t>否</t>
        </is>
      </c>
      <c r="X425" t="inlineStr">
        <is>
          <t>历史导入:新疆区州网页与视频号舆情监测_最终修正版.xlsx；来源类型:官方实施信息；复核:已核验巴州政府原始页面。；重复:否；待核实:否</t>
        </is>
      </c>
    </row>
    <row r="426">
      <c r="A426" t="inlineStr">
        <is>
          <t>hist-3aa25d68f914506d</t>
        </is>
      </c>
      <c r="B426" s="82" t="n">
        <v>46252.9403587963</v>
      </c>
      <c r="C426" s="82" t="n">
        <v>46204</v>
      </c>
      <c r="D426" t="inlineStr">
        <is>
          <t>央广网（青海卫视稿）</t>
        </is>
      </c>
      <c r="E426" t="inlineStr">
        <is>
          <t>其他</t>
        </is>
      </c>
      <c r="F426" t="inlineStr">
        <is>
          <t>网页公开检索</t>
        </is>
      </c>
      <c r="G426" t="inlineStr">
        <is>
          <t>媒体活动报道</t>
        </is>
      </c>
      <c r="H426" t="inlineStr">
        <is>
          <t>新疆巴音郭楞融媒体中心共同开展……大型全媒体活动。</t>
        </is>
      </c>
      <c r="I426" t="inlineStr">
        <is>
          <t>https://www.cnr.cn/qhfw/zgqh/20260701/t20260701_527685403.shtml</t>
        </is>
      </c>
      <c r="J426" t="inlineStr">
        <is>
          <t>巴音郭楞蒙古自治州</t>
        </is>
      </c>
      <c r="L426" t="inlineStr">
        <is>
          <t>新疆</t>
        </is>
      </c>
      <c r="O426" t="inlineStr">
        <is>
          <t>中文</t>
        </is>
      </c>
      <c r="P426" t="inlineStr">
        <is>
          <t>否</t>
        </is>
      </c>
      <c r="Q426" t="inlineStr">
        <is>
          <t>中性信息</t>
        </is>
      </c>
      <c r="R426" t="inlineStr">
        <is>
          <t>视频与全媒体传播、媒体责任</t>
        </is>
      </c>
      <c r="S426" t="n">
        <v>1</v>
      </c>
      <c r="T426" t="n">
        <v>1</v>
      </c>
      <c r="U426" t="n">
        <v>1</v>
      </c>
      <c r="V426" t="inlineStr">
        <is>
          <t>否</t>
        </is>
      </c>
      <c r="W426" t="inlineStr">
        <is>
          <t>否</t>
        </is>
      </c>
      <c r="X426" t="inlineStr">
        <is>
          <t>历史导入:新疆区州网页与视频号舆情监测_最终修正版.xlsx；来源类型:媒体报道；复核:已核验活动时间和法律关联。；重复:否；待核实:否</t>
        </is>
      </c>
    </row>
    <row r="427">
      <c r="A427" t="inlineStr">
        <is>
          <t>hist-b9b93b8d07e777ef</t>
        </is>
      </c>
      <c r="B427" s="82" t="n">
        <v>46252.9403587963</v>
      </c>
      <c r="C427" s="82" t="n">
        <v>46234</v>
      </c>
      <c r="D427" t="inlineStr">
        <is>
          <t>克孜勒苏柯尔克孜自治州人民政府</t>
        </is>
      </c>
      <c r="E427" t="inlineStr">
        <is>
          <t>其他</t>
        </is>
      </c>
      <c r="F427" t="inlineStr">
        <is>
          <t>网页公开检索</t>
        </is>
      </c>
      <c r="G427" t="inlineStr">
        <is>
          <t>政府会议</t>
        </is>
      </c>
      <c r="H427" t="inlineStr">
        <is>
          <t>抓好民族团结进步促进法贯彻实施。</t>
        </is>
      </c>
      <c r="I427" t="inlineStr">
        <is>
          <t>https://www.xjkz.gov.cn/xjkz/c101706/202607/c954268617744c23a93fd42562250ec7.shtml</t>
        </is>
      </c>
      <c r="J427" t="inlineStr">
        <is>
          <t>克孜勒苏柯尔克孜自治州</t>
        </is>
      </c>
      <c r="L427" t="inlineStr">
        <is>
          <t>新疆</t>
        </is>
      </c>
      <c r="O427" t="inlineStr">
        <is>
          <t>中文</t>
        </is>
      </c>
      <c r="P427" t="inlineStr">
        <is>
          <t>否</t>
        </is>
      </c>
      <c r="Q427" t="inlineStr">
        <is>
          <t>官方政策信息</t>
        </is>
      </c>
      <c r="R427" t="inlineStr">
        <is>
          <t>政府部署、群众诉求、合法权益</t>
        </is>
      </c>
      <c r="S427" t="n">
        <v>1</v>
      </c>
      <c r="T427" t="n">
        <v>1</v>
      </c>
      <c r="U427" t="n">
        <v>1</v>
      </c>
      <c r="V427" t="inlineStr">
        <is>
          <t>否</t>
        </is>
      </c>
      <c r="W427" t="inlineStr">
        <is>
          <t>否</t>
        </is>
      </c>
      <c r="X427" t="inlineStr">
        <is>
          <t>历史导入:新疆区州网页与视频号舆情监测_最终修正版.xlsx；来源类型:官方实施信息；复核:已核验发布机构、日期和正文。；重复:否；待核实:否</t>
        </is>
      </c>
    </row>
    <row r="428">
      <c r="A428" t="inlineStr">
        <is>
          <t>hist-f98991e1b216ed1c</t>
        </is>
      </c>
      <c r="B428" s="82" t="n">
        <v>46252.9403587963</v>
      </c>
      <c r="C428" s="82" t="n">
        <v>46204</v>
      </c>
      <c r="D428" t="inlineStr">
        <is>
          <t>天山网—新疆日报</t>
        </is>
      </c>
      <c r="E428" t="inlineStr">
        <is>
          <t>其他</t>
        </is>
      </c>
      <c r="F428" t="inlineStr">
        <is>
          <t>网页公开检索</t>
        </is>
      </c>
      <c r="G428" t="inlineStr">
        <is>
          <t>A05要闻</t>
        </is>
      </c>
      <c r="H428" t="inlineStr">
        <is>
          <t>自7月1日起施行。</t>
        </is>
      </c>
      <c r="I428" t="inlineStr">
        <is>
          <t>https://xjrb.ts.cn/xjrb/20260701/259787.html</t>
        </is>
      </c>
      <c r="J428" t="inlineStr">
        <is>
          <t>全国（天山网刊载）</t>
        </is>
      </c>
      <c r="L428" t="inlineStr">
        <is>
          <t>新疆</t>
        </is>
      </c>
      <c r="O428" t="inlineStr">
        <is>
          <t>中文</t>
        </is>
      </c>
      <c r="P428" t="inlineStr">
        <is>
          <t>否</t>
        </is>
      </c>
      <c r="Q428" t="inlineStr">
        <is>
          <t>中性信息</t>
        </is>
      </c>
      <c r="R428" t="inlineStr">
        <is>
          <t>法律施行、政策解读、配套实施</t>
        </is>
      </c>
      <c r="S428" t="n">
        <v>1</v>
      </c>
      <c r="T428" t="n">
        <v>1</v>
      </c>
      <c r="U428" t="n">
        <v>1</v>
      </c>
      <c r="V428" t="inlineStr">
        <is>
          <t>否</t>
        </is>
      </c>
      <c r="W428" t="inlineStr">
        <is>
          <t>否</t>
        </is>
      </c>
      <c r="X428" t="inlineStr">
        <is>
          <t>历史导入:新疆区州网页与视频号舆情监测_最终修正版.xlsx；来源类型:媒体报道；复核:天山网专项复核新增。；重复:否；待核实:否</t>
        </is>
      </c>
    </row>
    <row r="429">
      <c r="A429" t="inlineStr">
        <is>
          <t>hist-2a4cffe8a128e2e3</t>
        </is>
      </c>
      <c r="B429" s="82" t="n">
        <v>46252.9403587963</v>
      </c>
      <c r="C429" s="82" t="n">
        <v>46217</v>
      </c>
      <c r="D429" t="inlineStr">
        <is>
          <t>天山网—新疆日报</t>
        </is>
      </c>
      <c r="E429" t="inlineStr">
        <is>
          <t>其他</t>
        </is>
      </c>
      <c r="F429" t="inlineStr">
        <is>
          <t>网页公开检索</t>
        </is>
      </c>
      <c r="G429" t="inlineStr">
        <is>
          <t>A01要闻</t>
        </is>
      </c>
      <c r="H429" t="inlineStr">
        <is>
          <t>做好《中华人民共和国民族团结进步促进法》学习宣传工作。</t>
        </is>
      </c>
      <c r="I429" t="inlineStr">
        <is>
          <t>https://xjrb.ts.cn/xjrb/20260714/260273.html</t>
        </is>
      </c>
      <c r="J429" t="inlineStr">
        <is>
          <t>阿克苏地区、兵团第一师阿拉尔市</t>
        </is>
      </c>
      <c r="L429" t="inlineStr">
        <is>
          <t>新疆</t>
        </is>
      </c>
      <c r="O429" t="inlineStr">
        <is>
          <t>中文</t>
        </is>
      </c>
      <c r="P429" t="inlineStr">
        <is>
          <t>否</t>
        </is>
      </c>
      <c r="Q429" t="inlineStr">
        <is>
          <t>官方政策信息</t>
        </is>
      </c>
      <c r="R429" t="inlineStr">
        <is>
          <t>地方调研、学习宣传</t>
        </is>
      </c>
      <c r="S429" t="n">
        <v>1</v>
      </c>
      <c r="T429" t="n">
        <v>1</v>
      </c>
      <c r="U429" t="n">
        <v>1</v>
      </c>
      <c r="V429" t="inlineStr">
        <is>
          <t>否</t>
        </is>
      </c>
      <c r="W429" t="inlineStr">
        <is>
          <t>否</t>
        </is>
      </c>
      <c r="X429" t="inlineStr">
        <is>
          <t>历史导入:新疆区州网页与视频号舆情监测_最终修正版.xlsx；来源类型:官方实施信息；复核:正文明确部署该法学习宣传。；重复:否；待核实:否</t>
        </is>
      </c>
    </row>
    <row r="430">
      <c r="A430" t="inlineStr">
        <is>
          <t>hist-48ef4bfc0251aab3</t>
        </is>
      </c>
      <c r="B430" s="82" t="n">
        <v>46252.9403587963</v>
      </c>
      <c r="C430" s="82" t="n">
        <v>46221</v>
      </c>
      <c r="D430" t="inlineStr">
        <is>
          <t>天山网—新疆日报</t>
        </is>
      </c>
      <c r="E430" t="inlineStr">
        <is>
          <t>其他</t>
        </is>
      </c>
      <c r="F430" t="inlineStr">
        <is>
          <t>网页公开检索</t>
        </is>
      </c>
      <c r="G430" t="inlineStr">
        <is>
          <t>A03要闻</t>
        </is>
      </c>
      <c r="H430" t="inlineStr">
        <is>
          <t>全面贯彻落实民族团结进步促进法。</t>
        </is>
      </c>
      <c r="I430" t="inlineStr">
        <is>
          <t>https://xjrb.ts.cn/xjrb/20260718/260478.html</t>
        </is>
      </c>
      <c r="J430" t="inlineStr">
        <is>
          <t>新疆维吾尔自治区</t>
        </is>
      </c>
      <c r="L430" t="inlineStr">
        <is>
          <t>新疆</t>
        </is>
      </c>
      <c r="O430" t="inlineStr">
        <is>
          <t>中文</t>
        </is>
      </c>
      <c r="P430" t="inlineStr">
        <is>
          <t>否</t>
        </is>
      </c>
      <c r="Q430" t="inlineStr">
        <is>
          <t>官方政策信息</t>
        </is>
      </c>
      <c r="R430" t="inlineStr">
        <is>
          <t>党委学习、贯彻落实、共同体建设</t>
        </is>
      </c>
      <c r="S430" t="n">
        <v>1</v>
      </c>
      <c r="T430" t="n">
        <v>1</v>
      </c>
      <c r="U430" t="n">
        <v>1</v>
      </c>
      <c r="V430" t="inlineStr">
        <is>
          <t>否</t>
        </is>
      </c>
      <c r="W430" t="inlineStr">
        <is>
          <t>否</t>
        </is>
      </c>
      <c r="X430" t="inlineStr">
        <is>
          <t>历史导入:新疆区州网页与视频号舆情监测_最终修正版.xlsx；来源类型:官方实施信息；复核:正文存在明确实施要求。；重复:否；待核实:否</t>
        </is>
      </c>
    </row>
    <row r="431">
      <c r="A431" t="inlineStr">
        <is>
          <t>hist-eb10392955418a40</t>
        </is>
      </c>
      <c r="B431" s="82" t="n">
        <v>46252.9403587963</v>
      </c>
      <c r="C431" s="82" t="n">
        <v>46226</v>
      </c>
      <c r="D431" t="inlineStr">
        <is>
          <t>天山网—新疆日报</t>
        </is>
      </c>
      <c r="E431" t="inlineStr">
        <is>
          <t>其他</t>
        </is>
      </c>
      <c r="F431" t="inlineStr">
        <is>
          <t>网页公开检索</t>
        </is>
      </c>
      <c r="G431" t="inlineStr">
        <is>
          <t>A01要闻</t>
        </is>
      </c>
      <c r="H431" t="inlineStr">
        <is>
          <t>要全面贯彻落实民族团结进步促进法。</t>
        </is>
      </c>
      <c r="I431" t="inlineStr">
        <is>
          <t>https://xjrb.ts.cn/xjrb/20260723/260647.html</t>
        </is>
      </c>
      <c r="J431" t="inlineStr">
        <is>
          <t>和田地区</t>
        </is>
      </c>
      <c r="L431" t="inlineStr">
        <is>
          <t>新疆</t>
        </is>
      </c>
      <c r="O431" t="inlineStr">
        <is>
          <t>中文</t>
        </is>
      </c>
      <c r="P431" t="inlineStr">
        <is>
          <t>否</t>
        </is>
      </c>
      <c r="Q431" t="inlineStr">
        <is>
          <t>官方政策信息</t>
        </is>
      </c>
      <c r="R431" t="inlineStr">
        <is>
          <t>和田调研、文化润疆、语言文字</t>
        </is>
      </c>
      <c r="S431" t="n">
        <v>1</v>
      </c>
      <c r="T431" t="n">
        <v>1</v>
      </c>
      <c r="U431" t="n">
        <v>1</v>
      </c>
      <c r="V431" t="inlineStr">
        <is>
          <t>否</t>
        </is>
      </c>
      <c r="W431" t="inlineStr">
        <is>
          <t>否</t>
        </is>
      </c>
      <c r="X431" t="inlineStr">
        <is>
          <t>历史导入:新疆区州网页与视频号舆情监测_最终修正版.xlsx；来源类型:官方实施信息；复核:正文明确提出贯彻实施。；重复:否；待核实:否</t>
        </is>
      </c>
    </row>
    <row r="432">
      <c r="A432" t="inlineStr">
        <is>
          <t>hist-175989ce43d9453d</t>
        </is>
      </c>
      <c r="B432" s="82" t="n">
        <v>46252.9403587963</v>
      </c>
      <c r="C432" s="82" t="n">
        <v>46231</v>
      </c>
      <c r="D432" t="inlineStr">
        <is>
          <t>天山网—新疆日报</t>
        </is>
      </c>
      <c r="E432" t="inlineStr">
        <is>
          <t>其他</t>
        </is>
      </c>
      <c r="F432" t="inlineStr">
        <is>
          <t>网页公开检索</t>
        </is>
      </c>
      <c r="G432" t="inlineStr">
        <is>
          <t>A02要闻</t>
        </is>
      </c>
      <c r="H432" t="inlineStr">
        <is>
          <t>以民族团结进步促进法施行为契机……</t>
        </is>
      </c>
      <c r="I432" t="inlineStr">
        <is>
          <t>https://xjrb.ts.cn/xjrb/20260728/app_260870.html</t>
        </is>
      </c>
      <c r="J432" t="inlineStr">
        <is>
          <t>新疆维吾尔自治区</t>
        </is>
      </c>
      <c r="L432" t="inlineStr">
        <is>
          <t>新疆</t>
        </is>
      </c>
      <c r="O432" t="inlineStr">
        <is>
          <t>中文</t>
        </is>
      </c>
      <c r="P432" t="inlineStr">
        <is>
          <t>否</t>
        </is>
      </c>
      <c r="Q432" t="inlineStr">
        <is>
          <t>官方政策信息</t>
        </is>
      </c>
      <c r="R432" t="inlineStr">
        <is>
          <t>人大代表履职、基层普法</t>
        </is>
      </c>
      <c r="S432" t="n">
        <v>1</v>
      </c>
      <c r="T432" t="n">
        <v>1</v>
      </c>
      <c r="U432" t="n">
        <v>1</v>
      </c>
      <c r="V432" t="inlineStr">
        <is>
          <t>否</t>
        </is>
      </c>
      <c r="W432" t="inlineStr">
        <is>
          <t>否</t>
        </is>
      </c>
      <c r="X432" t="inlineStr">
        <is>
          <t>历史导入:新疆区州网页与视频号舆情监测_最终修正版.xlsx；来源类型:官方实施信息；复核:正文包含明确法律实施举措。；重复:否；待核实:否</t>
        </is>
      </c>
    </row>
    <row r="433">
      <c r="A433" t="inlineStr">
        <is>
          <t>hist-9e563c0dad88bf7b</t>
        </is>
      </c>
      <c r="B433" s="82" t="n">
        <v>46252.9403587963</v>
      </c>
      <c r="C433" s="82" t="n">
        <v>46231</v>
      </c>
      <c r="D433" t="inlineStr">
        <is>
          <t>天山网—新疆日报</t>
        </is>
      </c>
      <c r="E433" t="inlineStr">
        <is>
          <t>其他</t>
        </is>
      </c>
      <c r="F433" t="inlineStr">
        <is>
          <t>网页公开检索</t>
        </is>
      </c>
      <c r="G433" t="inlineStr">
        <is>
          <t>A01要闻</t>
        </is>
      </c>
      <c r="H433" t="inlineStr">
        <is>
          <t>全面贯彻民族团结进步促进法。</t>
        </is>
      </c>
      <c r="I433" t="inlineStr">
        <is>
          <t>https://xjrb.ts.cn/xjrb/20260728/260862.html</t>
        </is>
      </c>
      <c r="J433" t="inlineStr">
        <is>
          <t>新疆维吾尔自治区及兵团</t>
        </is>
      </c>
      <c r="L433" t="inlineStr">
        <is>
          <t>新疆</t>
        </is>
      </c>
      <c r="O433" t="inlineStr">
        <is>
          <t>中文</t>
        </is>
      </c>
      <c r="P433" t="inlineStr">
        <is>
          <t>否</t>
        </is>
      </c>
      <c r="Q433" t="inlineStr">
        <is>
          <t>官方政策信息</t>
        </is>
      </c>
      <c r="R433" t="inlineStr">
        <is>
          <t>对口援疆、文化润疆、贯彻实施</t>
        </is>
      </c>
      <c r="S433" t="n">
        <v>1</v>
      </c>
      <c r="T433" t="n">
        <v>1</v>
      </c>
      <c r="U433" t="n">
        <v>1</v>
      </c>
      <c r="V433" t="inlineStr">
        <is>
          <t>否</t>
        </is>
      </c>
      <c r="W433" t="inlineStr">
        <is>
          <t>否</t>
        </is>
      </c>
      <c r="X433" t="inlineStr">
        <is>
          <t>历史导入:新疆区州网页与视频号舆情监测_最终修正版.xlsx；来源类型:官方实施信息；复核:正文明确提出贯彻要求。；重复:否；待核实:否</t>
        </is>
      </c>
    </row>
    <row r="434">
      <c r="A434" t="inlineStr">
        <is>
          <t>hist-a0f8dee59d9f24fb</t>
        </is>
      </c>
      <c r="B434" s="82" t="n">
        <v>46252.9403587963</v>
      </c>
      <c r="C434" s="82" t="n">
        <v>46204</v>
      </c>
      <c r="D434" t="inlineStr">
        <is>
          <t>微信公众号</t>
        </is>
      </c>
      <c r="E434" t="inlineStr">
        <is>
          <t>微信公众号/视频号</t>
        </is>
      </c>
      <c r="F434" t="inlineStr">
        <is>
          <t>微信客户端人工发现</t>
        </is>
      </c>
      <c r="G434" t="inlineStr">
        <is>
          <t>伊犁零距离</t>
        </is>
      </c>
      <c r="H434" t="inlineStr">
        <is>
          <t>民族团结进步促进法在十五五开局之年表决通过，时机重要、意义重大。</t>
        </is>
      </c>
      <c r="I434" t="inlineStr">
        <is>
          <t>https://mp.weixin.qq.com/s/Qjmm-jdOOW11MjsMDQcKQA</t>
        </is>
      </c>
      <c r="J434" t="inlineStr">
        <is>
          <t>伊犁哈萨克自治州</t>
        </is>
      </c>
      <c r="L434" t="inlineStr">
        <is>
          <t>新疆</t>
        </is>
      </c>
      <c r="O434" t="inlineStr">
        <is>
          <t>中文</t>
        </is>
      </c>
      <c r="P434" t="inlineStr">
        <is>
          <t>否</t>
        </is>
      </c>
      <c r="Q434" t="inlineStr">
        <is>
          <t>支持认可</t>
        </is>
      </c>
      <c r="R434" t="inlineStr">
        <is>
          <t>立法时机、制度意义</t>
        </is>
      </c>
      <c r="S434" t="n">
        <v>1</v>
      </c>
      <c r="T434" t="n">
        <v>1</v>
      </c>
      <c r="U434" t="n">
        <v>1</v>
      </c>
      <c r="V434" t="inlineStr">
        <is>
          <t>否</t>
        </is>
      </c>
      <c r="W434" t="inlineStr">
        <is>
          <t>是</t>
        </is>
      </c>
      <c r="X434" t="inlineStr">
        <is>
          <t>历史导入:新疆区州网页与视频号舆情监测_最终修正版.xlsx；来源类型:官方人士公开观点；复核:观点原话已在新华网/人大公开同稿中核验。；重复:否；待核实:是</t>
        </is>
      </c>
    </row>
    <row r="435">
      <c r="A435" t="inlineStr">
        <is>
          <t>hist-0c0c8753962a0062</t>
        </is>
      </c>
      <c r="B435" s="82" t="n">
        <v>46252.9403587963</v>
      </c>
      <c r="C435" s="82" t="n">
        <v>46204</v>
      </c>
      <c r="D435" t="inlineStr">
        <is>
          <t>微信公众号</t>
        </is>
      </c>
      <c r="E435" t="inlineStr">
        <is>
          <t>微信公众号/视频号</t>
        </is>
      </c>
      <c r="F435" t="inlineStr">
        <is>
          <t>微信客户端人工发现</t>
        </is>
      </c>
      <c r="G435" t="inlineStr">
        <is>
          <t>伊犁零距离</t>
        </is>
      </c>
      <c r="H435" t="inlineStr">
        <is>
          <t>法律的施行必将为推进中华民族共同体建设提供更加坚实的法治保障和广阔发展空间。</t>
        </is>
      </c>
      <c r="I435" t="inlineStr">
        <is>
          <t>https://mp.weixin.qq.com/s/Qjmm-jdOOW11MjsMDQcKQA</t>
        </is>
      </c>
      <c r="J435" t="inlineStr">
        <is>
          <t>伊犁哈萨克自治州</t>
        </is>
      </c>
      <c r="L435" t="inlineStr">
        <is>
          <t>新疆</t>
        </is>
      </c>
      <c r="O435" t="inlineStr">
        <is>
          <t>中文</t>
        </is>
      </c>
      <c r="P435" t="inlineStr">
        <is>
          <t>否</t>
        </is>
      </c>
      <c r="Q435" t="inlineStr">
        <is>
          <t>支持认可</t>
        </is>
      </c>
      <c r="R435" t="inlineStr">
        <is>
          <t>中华民族共同体建设、法治保障</t>
        </is>
      </c>
      <c r="S435" t="n">
        <v>1</v>
      </c>
      <c r="T435" t="n">
        <v>1</v>
      </c>
      <c r="U435" t="n">
        <v>1</v>
      </c>
      <c r="V435" t="inlineStr">
        <is>
          <t>否</t>
        </is>
      </c>
      <c r="W435" t="inlineStr">
        <is>
          <t>是</t>
        </is>
      </c>
      <c r="X435" t="inlineStr">
        <is>
          <t>历史导入:新疆区州网页与视频号舆情监测_最终修正版.xlsx；来源类型:个人公开观点；复核:原话已由新华网公开同稿核验。；重复:否；待核实:是</t>
        </is>
      </c>
    </row>
    <row r="436">
      <c r="A436" t="inlineStr">
        <is>
          <t>hist-3b27e32e24a1d198</t>
        </is>
      </c>
      <c r="B436" s="82" t="n">
        <v>46252.9403587963</v>
      </c>
      <c r="C436" s="82" t="n">
        <v>46204</v>
      </c>
      <c r="D436" t="inlineStr">
        <is>
          <t>微信公众号</t>
        </is>
      </c>
      <c r="E436" t="inlineStr">
        <is>
          <t>微信公众号/视频号</t>
        </is>
      </c>
      <c r="F436" t="inlineStr">
        <is>
          <t>微信客户端人工发现</t>
        </is>
      </c>
      <c r="G436" t="inlineStr">
        <is>
          <t>伊犁零距离</t>
        </is>
      </c>
      <c r="H436" t="inlineStr">
        <is>
          <t>以法律实施为契机，将制度优势、法律优势转化为行动指向、治理效能。</t>
        </is>
      </c>
      <c r="I436" t="inlineStr">
        <is>
          <t>https://mp.weixin.qq.com/s/Qjmm-jdOOW11MjsMDQcKQA</t>
        </is>
      </c>
      <c r="J436" t="inlineStr">
        <is>
          <t>伊犁哈萨克自治州</t>
        </is>
      </c>
      <c r="L436" t="inlineStr">
        <is>
          <t>新疆</t>
        </is>
      </c>
      <c r="O436" t="inlineStr">
        <is>
          <t>中文</t>
        </is>
      </c>
      <c r="P436" t="inlineStr">
        <is>
          <t>否</t>
        </is>
      </c>
      <c r="Q436" t="inlineStr">
        <is>
          <t>支持认可</t>
        </is>
      </c>
      <c r="R436" t="inlineStr">
        <is>
          <t>民族事务治理法治化、交往交流交融</t>
        </is>
      </c>
      <c r="S436" t="n">
        <v>1</v>
      </c>
      <c r="T436" t="n">
        <v>1</v>
      </c>
      <c r="U436" t="n">
        <v>1</v>
      </c>
      <c r="V436" t="inlineStr">
        <is>
          <t>否</t>
        </is>
      </c>
      <c r="W436" t="inlineStr">
        <is>
          <t>是</t>
        </is>
      </c>
      <c r="X436" t="inlineStr">
        <is>
          <t>历史导入:新疆区州网页与视频号舆情监测_最终修正版.xlsx；来源类型:专家公开观点；复核:原话已由新华网公开同稿核验。；重复:否；待核实:是</t>
        </is>
      </c>
    </row>
    <row r="437">
      <c r="A437" t="inlineStr">
        <is>
          <t>hist-06d59df218f11f87</t>
        </is>
      </c>
      <c r="B437" s="82" t="n">
        <v>46252.9403587963</v>
      </c>
      <c r="C437" s="82" t="n">
        <v>46228</v>
      </c>
      <c r="D437" t="inlineStr">
        <is>
          <t>伊犁州人大网</t>
        </is>
      </c>
      <c r="E437" t="inlineStr">
        <is>
          <t>其他</t>
        </is>
      </c>
      <c r="F437" t="inlineStr">
        <is>
          <t>网页原始页复核</t>
        </is>
      </c>
      <c r="G437" t="inlineStr">
        <is>
          <t>本地新闻</t>
        </is>
      </c>
      <c r="H437" t="inlineStr">
        <is>
          <t>把民族团结进步要求贯穿自然资源管理全过程，善于运用法治方式推进民族团结工作。</t>
        </is>
      </c>
      <c r="I437" t="inlineStr">
        <is>
          <t>https://rd.xjyl.gov.cn/html/web/rendayaowen/bendixinwen/2080935983133560834.html?t=4</t>
        </is>
      </c>
      <c r="J437" t="inlineStr">
        <is>
          <t>伊犁哈萨克自治州</t>
        </is>
      </c>
      <c r="L437" t="inlineStr">
        <is>
          <t>新疆</t>
        </is>
      </c>
      <c r="O437" t="inlineStr">
        <is>
          <t>中文</t>
        </is>
      </c>
      <c r="P437" t="inlineStr">
        <is>
          <t>否</t>
        </is>
      </c>
      <c r="Q437" t="inlineStr">
        <is>
          <t>支持认可</t>
        </is>
      </c>
      <c r="R437" t="inlineStr">
        <is>
          <t>自然资源管理、法治方式</t>
        </is>
      </c>
      <c r="S437" t="n">
        <v>1</v>
      </c>
      <c r="T437" t="n">
        <v>1</v>
      </c>
      <c r="U437" t="n">
        <v>1</v>
      </c>
      <c r="V437" t="inlineStr">
        <is>
          <t>否</t>
        </is>
      </c>
      <c r="W437" t="inlineStr">
        <is>
          <t>是</t>
        </is>
      </c>
      <c r="X437" t="inlineStr">
        <is>
          <t>历史导入:新疆区州网页与视频号舆情监测_最终修正版.xlsx；来源类型:人大代表公开观点；复核:已重新打开伊犁州人大原始详情页核验。；重复:否；待核实:否</t>
        </is>
      </c>
    </row>
    <row r="438">
      <c r="A438" t="inlineStr">
        <is>
          <t>hist-ea3f9033e9fdf271</t>
        </is>
      </c>
      <c r="B438" s="82" t="n">
        <v>46252.9403587963</v>
      </c>
      <c r="C438" s="82" t="n">
        <v>46209</v>
      </c>
      <c r="D438" t="inlineStr">
        <is>
          <t>微信视频号</t>
        </is>
      </c>
      <c r="E438" t="inlineStr">
        <is>
          <t>微信公众号/视频号</t>
        </is>
      </c>
      <c r="F438" t="inlineStr">
        <is>
          <t>微信视频号人工核验</t>
        </is>
      </c>
      <c r="G438" t="inlineStr">
        <is>
          <t>新疆日报维吾尔文</t>
        </is>
      </c>
      <c r="H438" t="inlineStr">
        <is>
          <t>视频画面以中文和维吾尔文介绍该法正式施行。</t>
        </is>
      </c>
      <c r="I438" t="inlineStr">
        <is>
          <t>https://weixin.qq.com/sph/AwzENlIwWa</t>
        </is>
      </c>
      <c r="J438" t="inlineStr">
        <is>
          <t>新疆维吾尔自治区</t>
        </is>
      </c>
      <c r="L438" t="inlineStr">
        <is>
          <t>新疆</t>
        </is>
      </c>
      <c r="O438" t="inlineStr">
        <is>
          <t>中文＋维吾尔文</t>
        </is>
      </c>
      <c r="P438" t="inlineStr">
        <is>
          <t>否</t>
        </is>
      </c>
      <c r="Q438" t="inlineStr">
        <is>
          <t>官方政策信息</t>
        </is>
      </c>
      <c r="R438" t="inlineStr">
        <is>
          <t>维吾尔文普法、法律施行</t>
        </is>
      </c>
      <c r="S438" t="n">
        <v>944</v>
      </c>
      <c r="T438" t="n">
        <v>139</v>
      </c>
      <c r="U438" t="n">
        <v>990</v>
      </c>
      <c r="V438" t="inlineStr">
        <is>
          <t>否</t>
        </is>
      </c>
      <c r="W438" t="inlineStr">
        <is>
          <t>否</t>
        </is>
      </c>
      <c r="X438" t="inlineStr">
        <is>
          <t>历史导入:新疆区州网页与视频号舆情监测_最终修正版.xlsx；来源类型:官方实施信息；复核:2026-08-07人工打开视频号原始视频核验。；重复:否；待核实:否</t>
        </is>
      </c>
    </row>
    <row r="439">
      <c r="A439" t="inlineStr">
        <is>
          <t>hist-5716f15fddffcbf9</t>
        </is>
      </c>
      <c r="B439" s="82" t="n">
        <v>46252.9403587963</v>
      </c>
      <c r="C439" s="82" t="n">
        <v>46212</v>
      </c>
      <c r="D439" t="inlineStr">
        <is>
          <t>微信视频号评论区</t>
        </is>
      </c>
      <c r="E439" t="inlineStr">
        <is>
          <t>微信公众号/视频号</t>
        </is>
      </c>
      <c r="F439" t="inlineStr">
        <is>
          <t>微信视频号人工核验</t>
        </is>
      </c>
      <c r="G439" t="inlineStr">
        <is>
          <t>新疆日报维吾尔文</t>
        </is>
      </c>
      <c r="H439" t="inlineStr">
        <is>
          <t>什么时候恢复维吾尔语教学</t>
        </is>
      </c>
      <c r="I439" t="inlineStr">
        <is>
          <t>https://weixin.qq.com/sph/AwzENlIwWa</t>
        </is>
      </c>
      <c r="J439" t="inlineStr">
        <is>
          <t>新疆维吾尔自治区</t>
        </is>
      </c>
      <c r="L439" t="inlineStr">
        <is>
          <t>新疆</t>
        </is>
      </c>
      <c r="O439" t="inlineStr">
        <is>
          <t>中文</t>
        </is>
      </c>
      <c r="P439" t="inlineStr">
        <is>
          <t>否</t>
        </is>
      </c>
      <c r="Q439" t="inlineStr">
        <is>
          <t>咨询疑问</t>
        </is>
      </c>
      <c r="R439" t="inlineStr">
        <is>
          <t>维吾尔语教学、语言教育</t>
        </is>
      </c>
      <c r="S439" t="n">
        <v>1</v>
      </c>
      <c r="T439" t="n">
        <v>1</v>
      </c>
      <c r="U439" t="n">
        <v>1</v>
      </c>
      <c r="V439" t="inlineStr">
        <is>
          <t>否</t>
        </is>
      </c>
      <c r="W439" t="inlineStr">
        <is>
          <t>是</t>
        </is>
      </c>
      <c r="X439" t="inlineStr">
        <is>
          <t>历史导入:新疆区州网页与视频号舆情监测_最终修正版.xlsx；来源类型:用户评论/留言；复核:2026-08-07人工复核时页面显示29天前，记录为2026-07-09。；重复:否；待核实:否</t>
        </is>
      </c>
    </row>
    <row r="440">
      <c r="A440" t="inlineStr">
        <is>
          <t>hist-95b0117b7b0aafea</t>
        </is>
      </c>
      <c r="B440" s="82" t="n">
        <v>46252.9403587963</v>
      </c>
      <c r="C440" s="82" t="n">
        <v>46210</v>
      </c>
      <c r="D440" t="inlineStr">
        <is>
          <t>微信视频号评论区</t>
        </is>
      </c>
      <c r="E440" t="inlineStr">
        <is>
          <t>微信公众号/视频号</t>
        </is>
      </c>
      <c r="F440" t="inlineStr">
        <is>
          <t>微信视频号人工核验</t>
        </is>
      </c>
      <c r="G440" t="inlineStr">
        <is>
          <t>新疆日报维吾尔文</t>
        </is>
      </c>
      <c r="H440" t="inlineStr">
        <is>
          <t>ھەقىقىي ئومۇمىي خەلقنى ئويلاپ ماڭغان يوللاردىن گۈل ئۈنىدۇ. ھەم مەڭگۈ روناق تاپىدۇ.</t>
        </is>
      </c>
      <c r="I440" t="inlineStr">
        <is>
          <t>https://weixin.qq.com/sph/AwzENlIwWa</t>
        </is>
      </c>
      <c r="J440" t="inlineStr">
        <is>
          <t>新疆维吾尔自治区</t>
        </is>
      </c>
      <c r="L440" t="inlineStr">
        <is>
          <t>新疆</t>
        </is>
      </c>
      <c r="O440" t="inlineStr">
        <is>
          <t>维吾尔文</t>
        </is>
      </c>
      <c r="P440" t="inlineStr">
        <is>
          <t>是</t>
        </is>
      </c>
      <c r="Q440" t="inlineStr">
        <is>
          <t>待维吾尔语人员复核</t>
        </is>
      </c>
      <c r="R440" t="inlineStr">
        <is>
          <t>公众态度、维吾尔文评论</t>
        </is>
      </c>
      <c r="S440" t="n">
        <v>5</v>
      </c>
      <c r="T440" t="n">
        <v>1</v>
      </c>
      <c r="U440" t="n">
        <v>1</v>
      </c>
      <c r="V440" t="inlineStr">
        <is>
          <t>否</t>
        </is>
      </c>
      <c r="W440" t="inlineStr">
        <is>
          <t>是</t>
        </is>
      </c>
      <c r="X440" t="inlineStr">
        <is>
          <t>历史导入:新疆区州网页与视频号舆情监测_最终修正版.xlsx；来源类型:用户评论/留言；复核:已保存维吾尔文原文；中文译文仅作机器翻译辅助，最终态度待维吾尔语人员复核。；重复:否；待核实:是</t>
        </is>
      </c>
    </row>
    <row r="441">
      <c r="A441" t="inlineStr">
        <is>
          <t>hist-8dc16525ba5ca322</t>
        </is>
      </c>
      <c r="B441" s="82" t="n">
        <v>46252.9403587963</v>
      </c>
      <c r="C441" s="82" t="n">
        <v>46209</v>
      </c>
      <c r="D441" t="inlineStr">
        <is>
          <t>微信视频号评论区</t>
        </is>
      </c>
      <c r="E441" t="inlineStr">
        <is>
          <t>微信公众号/视频号</t>
        </is>
      </c>
      <c r="F441" t="inlineStr">
        <is>
          <t>微信视频号人工核验</t>
        </is>
      </c>
      <c r="G441" t="inlineStr">
        <is>
          <t>新疆日报维吾尔文</t>
        </is>
      </c>
      <c r="H441" t="inlineStr">
        <is>
          <t>主要为👍、❤️、🌹等正向表情及祝福性表达。</t>
        </is>
      </c>
      <c r="I441" t="inlineStr">
        <is>
          <t>https://weixin.qq.com/sph/AwzENlIwWa</t>
        </is>
      </c>
      <c r="J441" t="inlineStr">
        <is>
          <t>新疆维吾尔自治区</t>
        </is>
      </c>
      <c r="L441" t="inlineStr">
        <is>
          <t>新疆</t>
        </is>
      </c>
      <c r="O441" t="inlineStr">
        <is>
          <t>中文/表情</t>
        </is>
      </c>
      <c r="P441" t="inlineStr">
        <is>
          <t>否</t>
        </is>
      </c>
      <c r="Q441" t="inlineStr">
        <is>
          <t>支持认可</t>
        </is>
      </c>
      <c r="R441" t="inlineStr">
        <is>
          <t>正向互动、表情评论</t>
        </is>
      </c>
      <c r="S441" t="n">
        <v>1</v>
      </c>
      <c r="T441" t="n">
        <v>137</v>
      </c>
      <c r="U441" t="n">
        <v>1</v>
      </c>
      <c r="V441" t="inlineStr">
        <is>
          <t>否</t>
        </is>
      </c>
      <c r="W441" t="inlineStr">
        <is>
          <t>是</t>
        </is>
      </c>
      <c r="X441" t="inlineStr">
        <is>
          <t>历史导入:新疆区州网页与视频号舆情监测_最终修正版.xlsx；来源类型:用户评论/留言汇总；复核:按原始评论数统计，不去重。；重复:否；待核实:否</t>
        </is>
      </c>
    </row>
    <row r="442">
      <c r="A442" t="inlineStr">
        <is>
          <t>hist-39298b0dcd7266ed</t>
        </is>
      </c>
      <c r="B442" s="82" t="n">
        <v>46252.9403587963</v>
      </c>
      <c r="C442" s="82" t="n">
        <v>46238</v>
      </c>
      <c r="D442" t="inlineStr">
        <is>
          <t>和田市人民政府</t>
        </is>
      </c>
      <c r="E442" t="inlineStr">
        <is>
          <t>其他</t>
        </is>
      </c>
      <c r="F442" t="inlineStr">
        <is>
          <t>转载</t>
        </is>
      </c>
      <c r="G442" t="inlineStr">
        <is>
          <t>自治区要闻</t>
        </is>
      </c>
      <c r="H442" t="inlineStr">
        <is>
          <t>7月31日自治区人大常委会举办专题培训班，100名各级代表参加。</t>
        </is>
      </c>
      <c r="I442" t="inlineStr">
        <is>
          <t>https://www.hts.gov.cn/...</t>
        </is>
      </c>
      <c r="J442" t="inlineStr">
        <is>
          <t>新疆全区</t>
        </is>
      </c>
      <c r="L442" t="inlineStr">
        <is>
          <t>新疆</t>
        </is>
      </c>
      <c r="O442" t="inlineStr">
        <is>
          <t>中文</t>
        </is>
      </c>
      <c r="P442" t="inlineStr">
        <is>
          <t>否</t>
        </is>
      </c>
      <c r="Q442" t="inlineStr">
        <is>
          <t>官方政策信息</t>
        </is>
      </c>
      <c r="R442" t="inlineStr">
        <is>
          <t>学习培训与宣传覆盖</t>
        </is>
      </c>
      <c r="S442" t="n">
        <v>1</v>
      </c>
      <c r="T442" t="n">
        <v>1</v>
      </c>
      <c r="U442" t="n">
        <v>1</v>
      </c>
      <c r="V442" t="inlineStr">
        <is>
          <t>否</t>
        </is>
      </c>
      <c r="W442" t="inlineStr">
        <is>
          <t>否</t>
        </is>
      </c>
      <c r="X442" t="inlineStr">
        <is>
          <t>历史导入:新疆区州网页与视频号舆情监测_最终修正版.xlsx；来源类型:官方实施信息；复核:1；重复:否；待核实:否</t>
        </is>
      </c>
    </row>
    <row r="443">
      <c r="A443" t="inlineStr">
        <is>
          <t>hist-fbcc8122da6269bb</t>
        </is>
      </c>
      <c r="B443" s="82" t="n">
        <v>46252.9403587963</v>
      </c>
      <c r="C443" s="82" t="n">
        <v>46222</v>
      </c>
      <c r="D443" t="inlineStr">
        <is>
          <t>中国新闻网</t>
        </is>
      </c>
      <c r="E443" t="inlineStr">
        <is>
          <t>贴吧/头条/新闻评论</t>
        </is>
      </c>
      <c r="F443" t="inlineStr">
        <is>
          <t>原始网页</t>
        </is>
      </c>
      <c r="G443" t="inlineStr">
        <is>
          <t>哈密市教育局/文旅局/伊吾县委统战部</t>
        </is>
      </c>
      <c r="H443" t="inlineStr">
        <is>
          <t>哈密市教育系统234场宣教，研学70场，宣讲76场；伊吾县54场巡回宣讲。</t>
        </is>
      </c>
      <c r="I443" t="inlineStr">
        <is>
          <t>http://www.xj.chinanews.com.cn/...</t>
        </is>
      </c>
      <c r="J443" t="inlineStr">
        <is>
          <t>哈密市</t>
        </is>
      </c>
      <c r="L443" t="inlineStr">
        <is>
          <t>新疆</t>
        </is>
      </c>
      <c r="O443" t="inlineStr">
        <is>
          <t>中文</t>
        </is>
      </c>
      <c r="P443" t="inlineStr">
        <is>
          <t>否</t>
        </is>
      </c>
      <c r="Q443" t="inlineStr">
        <is>
          <t>官方政策信息</t>
        </is>
      </c>
      <c r="R443" t="inlineStr">
        <is>
          <t>基层普法与群众参与；学习培训与宣传覆盖</t>
        </is>
      </c>
      <c r="S443" t="n">
        <v>1</v>
      </c>
      <c r="T443" t="n">
        <v>1</v>
      </c>
      <c r="U443" t="n">
        <v>1</v>
      </c>
      <c r="V443" t="inlineStr">
        <is>
          <t>否</t>
        </is>
      </c>
      <c r="W443" t="inlineStr">
        <is>
          <t>否</t>
        </is>
      </c>
      <c r="X443" t="inlineStr">
        <is>
          <t>历史导入:新疆区州网页与视频号舆情监测_最终修正版.xlsx；来源类型:官方实施信息；复核:1；重复:否；待核实:否</t>
        </is>
      </c>
    </row>
    <row r="444">
      <c r="A444" t="inlineStr">
        <is>
          <t>hist-5227cd3af6eec9b3</t>
        </is>
      </c>
      <c r="B444" s="82" t="n">
        <v>46252.9403587963</v>
      </c>
      <c r="C444" s="82" t="n">
        <v>46231</v>
      </c>
      <c r="D444" t="inlineStr">
        <is>
          <t>新疆人大</t>
        </is>
      </c>
      <c r="E444" t="inlineStr">
        <is>
          <t>其他</t>
        </is>
      </c>
      <c r="F444" t="inlineStr">
        <is>
          <t>原始网页</t>
        </is>
      </c>
      <c r="G444" t="inlineStr">
        <is>
          <t>乌鲁木齐市人大常委会机关党委</t>
        </is>
      </c>
      <c r="H444" t="inlineStr">
        <is>
          <t>7月28日邀请新疆师范大学教授做专题讲座。</t>
        </is>
      </c>
      <c r="I444" t="inlineStr">
        <is>
          <t>https://www.xjpcsc.gov.cn/...</t>
        </is>
      </c>
      <c r="J444" t="inlineStr">
        <is>
          <t>乌鲁木齐市</t>
        </is>
      </c>
      <c r="L444" t="inlineStr">
        <is>
          <t>新疆</t>
        </is>
      </c>
      <c r="O444" t="inlineStr">
        <is>
          <t>中文</t>
        </is>
      </c>
      <c r="P444" t="inlineStr">
        <is>
          <t>否</t>
        </is>
      </c>
      <c r="Q444" t="inlineStr">
        <is>
          <t>官方政策信息</t>
        </is>
      </c>
      <c r="R444" t="inlineStr">
        <is>
          <t>学习培训与宣传覆盖</t>
        </is>
      </c>
      <c r="S444" t="n">
        <v>1</v>
      </c>
      <c r="T444" t="n">
        <v>1</v>
      </c>
      <c r="U444" t="n">
        <v>1</v>
      </c>
      <c r="V444" t="inlineStr">
        <is>
          <t>否</t>
        </is>
      </c>
      <c r="W444" t="inlineStr">
        <is>
          <t>否</t>
        </is>
      </c>
      <c r="X444" t="inlineStr">
        <is>
          <t>历史导入:新疆区州网页与视频号舆情监测_最终修正版.xlsx；来源类型:官方实施信息；复核:1；重复:否；待核实:否</t>
        </is>
      </c>
    </row>
    <row r="445">
      <c r="A445" t="inlineStr">
        <is>
          <t>hist-4acf3df2ea1d5e3e</t>
        </is>
      </c>
      <c r="B445" s="82" t="n">
        <v>46252.9403587963</v>
      </c>
      <c r="C445" s="82" t="n">
        <v>46219</v>
      </c>
      <c r="D445" t="inlineStr">
        <is>
          <t>中国新闻网</t>
        </is>
      </c>
      <c r="E445" t="inlineStr">
        <is>
          <t>贴吧/头条/新闻评论</t>
        </is>
      </c>
      <c r="F445" t="inlineStr">
        <is>
          <t>原始网页</t>
        </is>
      </c>
      <c r="G445" t="inlineStr">
        <is>
          <t>乌什县人大常委会</t>
        </is>
      </c>
      <c r="H445" t="inlineStr">
        <is>
          <t>7月14日特邀塔里木大学法学院专家授课。</t>
        </is>
      </c>
      <c r="I445" t="inlineStr">
        <is>
          <t>http://www.xj.chinanews.com.cn/...</t>
        </is>
      </c>
      <c r="J445" t="inlineStr">
        <is>
          <t>乌什县</t>
        </is>
      </c>
      <c r="L445" t="inlineStr">
        <is>
          <t>新疆</t>
        </is>
      </c>
      <c r="O445" t="inlineStr">
        <is>
          <t>中文</t>
        </is>
      </c>
      <c r="P445" t="inlineStr">
        <is>
          <t>否</t>
        </is>
      </c>
      <c r="Q445" t="inlineStr">
        <is>
          <t>官方政策信息</t>
        </is>
      </c>
      <c r="R445" t="inlineStr">
        <is>
          <t>学习培训与宣传覆盖</t>
        </is>
      </c>
      <c r="S445" t="n">
        <v>1</v>
      </c>
      <c r="T445" t="n">
        <v>1</v>
      </c>
      <c r="U445" t="n">
        <v>1</v>
      </c>
      <c r="V445" t="inlineStr">
        <is>
          <t>否</t>
        </is>
      </c>
      <c r="W445" t="inlineStr">
        <is>
          <t>否</t>
        </is>
      </c>
      <c r="X445" t="inlineStr">
        <is>
          <t>历史导入:新疆区州网页与视频号舆情监测_最终修正版.xlsx；来源类型:官方实施信息；复核:1；重复:否；待核实:否</t>
        </is>
      </c>
    </row>
    <row r="446">
      <c r="A446" t="inlineStr">
        <is>
          <t>hist-dd9f9d2c5577239a</t>
        </is>
      </c>
      <c r="B446" s="82" t="n">
        <v>46252.9403587963</v>
      </c>
      <c r="C446" s="82" t="n">
        <v>46220</v>
      </c>
      <c r="D446" t="inlineStr">
        <is>
          <t>中国新闻网</t>
        </is>
      </c>
      <c r="E446" t="inlineStr">
        <is>
          <t>贴吧/头条/新闻评论</t>
        </is>
      </c>
      <c r="F446" t="inlineStr">
        <is>
          <t>原始网页</t>
        </is>
      </c>
      <c r="G446" t="inlineStr">
        <is>
          <t>昌吉州民委/司法局</t>
        </is>
      </c>
      <c r="H446" t="inlineStr">
        <is>
          <t>7月17日联合新疆广播电视台推出「法治进行时」直播。</t>
        </is>
      </c>
      <c r="I446" t="inlineStr">
        <is>
          <t>http://www.xj.chinanews.com.cn/...</t>
        </is>
      </c>
      <c r="J446" t="inlineStr">
        <is>
          <t>昌吉州</t>
        </is>
      </c>
      <c r="L446" t="inlineStr">
        <is>
          <t>新疆</t>
        </is>
      </c>
      <c r="O446" t="inlineStr">
        <is>
          <t>中文</t>
        </is>
      </c>
      <c r="P446" t="inlineStr">
        <is>
          <t>否</t>
        </is>
      </c>
      <c r="Q446" t="inlineStr">
        <is>
          <t>官方政策信息</t>
        </is>
      </c>
      <c r="R446" t="inlineStr">
        <is>
          <t>学习培训与宣传覆盖；基层普法与群众参与</t>
        </is>
      </c>
      <c r="S446" t="n">
        <v>1</v>
      </c>
      <c r="T446" t="n">
        <v>1</v>
      </c>
      <c r="U446" t="n">
        <v>1</v>
      </c>
      <c r="V446" t="inlineStr">
        <is>
          <t>否</t>
        </is>
      </c>
      <c r="W446" t="inlineStr">
        <is>
          <t>否</t>
        </is>
      </c>
      <c r="X446" t="inlineStr">
        <is>
          <t>历史导入:新疆区州网页与视频号舆情监测_最终修正版.xlsx；来源类型:官方实施信息；复核:1；重复:否；待核实:否</t>
        </is>
      </c>
    </row>
    <row r="447">
      <c r="A447" t="inlineStr">
        <is>
          <t>hist-c4905ceb3753bc81</t>
        </is>
      </c>
      <c r="B447" s="82" t="n">
        <v>46252.9403587963</v>
      </c>
      <c r="C447" s="82" t="n">
        <v>46237</v>
      </c>
      <c r="D447" t="inlineStr">
        <is>
          <t>人民代表网</t>
        </is>
      </c>
      <c r="E447" t="inlineStr">
        <is>
          <t>其他</t>
        </is>
      </c>
      <c r="F447" t="inlineStr">
        <is>
          <t>转载</t>
        </is>
      </c>
      <c r="G447" t="inlineStr">
        <is>
          <t>伊宁好地方客户端</t>
        </is>
      </c>
      <c r="H447" t="inlineStr">
        <is>
          <t>群众建议被采纳写入该法第28条。</t>
        </is>
      </c>
      <c r="I447" t="inlineStr">
        <is>
          <t>https://www.rmdbw.cn/...</t>
        </is>
      </c>
      <c r="J447" t="inlineStr">
        <is>
          <t>伊宁市胡地亚于孜镇</t>
        </is>
      </c>
      <c r="L447" t="inlineStr">
        <is>
          <t>新疆</t>
        </is>
      </c>
      <c r="O447" t="inlineStr">
        <is>
          <t>中文</t>
        </is>
      </c>
      <c r="P447" t="inlineStr">
        <is>
          <t>否</t>
        </is>
      </c>
      <c r="Q447" t="inlineStr">
        <is>
          <t>中性信息</t>
        </is>
      </c>
      <c r="R447" t="inlineStr">
        <is>
          <t>基层普法与群众参与；立法与公众参与</t>
        </is>
      </c>
      <c r="S447" t="n">
        <v>1</v>
      </c>
      <c r="T447" t="n">
        <v>1</v>
      </c>
      <c r="U447" t="n">
        <v>1</v>
      </c>
      <c r="V447" t="inlineStr">
        <is>
          <t>否</t>
        </is>
      </c>
      <c r="W447" t="inlineStr">
        <is>
          <t>否</t>
        </is>
      </c>
      <c r="X447" t="inlineStr">
        <is>
          <t>历史导入:新疆区州网页与视频号舆情监测_最终修正版.xlsx；来源类型:媒体报道；复核:来源为人民代表网，非原始首发；重复:否；待核实:是</t>
        </is>
      </c>
    </row>
    <row r="448">
      <c r="A448" t="inlineStr">
        <is>
          <t>hist-1f0c800ea8595685</t>
        </is>
      </c>
      <c r="B448" s="82" t="n">
        <v>46252.9403587963</v>
      </c>
      <c r="C448" s="82" t="n">
        <v>46234</v>
      </c>
      <c r="D448" t="inlineStr">
        <is>
          <t>新疆司法厅</t>
        </is>
      </c>
      <c r="E448" t="inlineStr">
        <is>
          <t>其他</t>
        </is>
      </c>
      <c r="F448" t="inlineStr">
        <is>
          <t>转载</t>
        </is>
      </c>
      <c r="G448" t="inlineStr">
        <is>
          <t>自治区人大常委会</t>
        </is>
      </c>
      <c r="H448" t="inlineStr">
        <is>
          <t>7月29日要求加快制定地方性法规。</t>
        </is>
      </c>
      <c r="I448" t="inlineStr">
        <is>
          <t>http://sft.xinjiang.gov.cn/...</t>
        </is>
      </c>
      <c r="J448" t="inlineStr">
        <is>
          <t>新疆全区</t>
        </is>
      </c>
      <c r="L448" t="inlineStr">
        <is>
          <t>新疆</t>
        </is>
      </c>
      <c r="O448" t="inlineStr">
        <is>
          <t>中文</t>
        </is>
      </c>
      <c r="P448" t="inlineStr">
        <is>
          <t>否</t>
        </is>
      </c>
      <c r="Q448" t="inlineStr">
        <is>
          <t>官方政策信息</t>
        </is>
      </c>
      <c r="R448" t="inlineStr">
        <is>
          <t>地方法规衔接与执行机制</t>
        </is>
      </c>
      <c r="S448" t="n">
        <v>1</v>
      </c>
      <c r="T448" t="n">
        <v>1</v>
      </c>
      <c r="U448" t="n">
        <v>1</v>
      </c>
      <c r="V448" t="inlineStr">
        <is>
          <t>否</t>
        </is>
      </c>
      <c r="W448" t="inlineStr">
        <is>
          <t>否</t>
        </is>
      </c>
      <c r="X448" t="inlineStr">
        <is>
          <t>历史导入:新疆区州网页与视频号舆情监测_最终修正版.xlsx；来源类型:官方实施信息；复核:1；重复:否；待核实:否</t>
        </is>
      </c>
    </row>
    <row r="449">
      <c r="A449" t="inlineStr">
        <is>
          <t>hist-b7d3f70e8cfa63a6</t>
        </is>
      </c>
      <c r="B449" s="82" t="n">
        <v>46252.9403587963</v>
      </c>
      <c r="C449" s="82" t="n">
        <v>46238</v>
      </c>
      <c r="D449" t="inlineStr">
        <is>
          <t>石榴云-新疆日报</t>
        </is>
      </c>
      <c r="E449" t="inlineStr">
        <is>
          <t>其他</t>
        </is>
      </c>
      <c r="F449" t="inlineStr">
        <is>
          <t>转载</t>
        </is>
      </c>
      <c r="G449" t="inlineStr">
        <is>
          <t>自治区人大代表</t>
        </is>
      </c>
      <c r="H449" t="inlineStr">
        <is>
          <t>代表表示将立足三尺讲台，把铸牢中华民族共同体意识融入育人全过程。</t>
        </is>
      </c>
      <c r="I449" t="inlineStr">
        <is>
          <t>https://www.hts.gov.cn/...</t>
        </is>
      </c>
      <c r="J449" t="inlineStr">
        <is>
          <t>和田县</t>
        </is>
      </c>
      <c r="L449" t="inlineStr">
        <is>
          <t>新疆</t>
        </is>
      </c>
      <c r="O449" t="inlineStr">
        <is>
          <t>中文</t>
        </is>
      </c>
      <c r="P449" t="inlineStr">
        <is>
          <t>否</t>
        </is>
      </c>
      <c r="Q449" t="inlineStr">
        <is>
          <t>支持认可</t>
        </is>
      </c>
      <c r="R449" t="inlineStr">
        <is>
          <t>学习培训与宣传覆盖</t>
        </is>
      </c>
      <c r="S449" t="n">
        <v>1</v>
      </c>
      <c r="T449" t="n">
        <v>1</v>
      </c>
      <c r="U449" t="n">
        <v>1</v>
      </c>
      <c r="V449" t="inlineStr">
        <is>
          <t>否</t>
        </is>
      </c>
      <c r="W449" t="inlineStr">
        <is>
          <t>是</t>
        </is>
      </c>
      <c r="X449" t="inlineStr">
        <is>
          <t>历史导入:新疆区州网页与视频号舆情监测_最终修正版.xlsx；来源类型:个人观点（媒体引语）；复核:公开具名引语；重复:否；待核实:否</t>
        </is>
      </c>
    </row>
    <row r="450">
      <c r="A450" t="inlineStr">
        <is>
          <t>hist-853a4965dc89384f</t>
        </is>
      </c>
      <c r="B450" s="82" t="n">
        <v>46252.9403587963</v>
      </c>
      <c r="C450" s="82" t="n">
        <v>46237</v>
      </c>
      <c r="D450" t="inlineStr">
        <is>
          <t>新疆人大</t>
        </is>
      </c>
      <c r="E450" t="inlineStr">
        <is>
          <t>其他</t>
        </is>
      </c>
      <c r="F450" t="inlineStr">
        <is>
          <t>原始网页</t>
        </is>
      </c>
      <c r="G450" t="inlineStr">
        <is>
          <t>市人大代表</t>
        </is>
      </c>
      <c r="H450" t="inlineStr">
        <is>
          <t>代表表示将当好普法宣传员深入选区宣讲。</t>
        </is>
      </c>
      <c r="I450" t="inlineStr">
        <is>
          <t>https://www.xjpcsc.gov.cn/...</t>
        </is>
      </c>
      <c r="J450" t="inlineStr">
        <is>
          <t>乌鲁木齐市</t>
        </is>
      </c>
      <c r="L450" t="inlineStr">
        <is>
          <t>新疆</t>
        </is>
      </c>
      <c r="O450" t="inlineStr">
        <is>
          <t>中文</t>
        </is>
      </c>
      <c r="P450" t="inlineStr">
        <is>
          <t>否</t>
        </is>
      </c>
      <c r="Q450" t="inlineStr">
        <is>
          <t>支持认可</t>
        </is>
      </c>
      <c r="R450" t="inlineStr">
        <is>
          <t>学习培训与宣传覆盖</t>
        </is>
      </c>
      <c r="S450" t="n">
        <v>1</v>
      </c>
      <c r="T450" t="n">
        <v>1</v>
      </c>
      <c r="U450" t="n">
        <v>1</v>
      </c>
      <c r="V450" t="inlineStr">
        <is>
          <t>否</t>
        </is>
      </c>
      <c r="W450" t="inlineStr">
        <is>
          <t>是</t>
        </is>
      </c>
      <c r="X450" t="inlineStr">
        <is>
          <t>历史导入:新疆区州网页与视频号舆情监测_最终修正版.xlsx；来源类型:个人观点（媒体引语）；复核:公开具名引语；重复:否；待核实:否</t>
        </is>
      </c>
    </row>
    <row r="451">
      <c r="A451" t="inlineStr">
        <is>
          <t>hist-009c6a3359379b97</t>
        </is>
      </c>
      <c r="B451" s="82" t="n">
        <v>46252.9403587963</v>
      </c>
      <c r="C451" s="82" t="n">
        <v>46233</v>
      </c>
      <c r="D451" t="inlineStr">
        <is>
          <t>木垒零距离</t>
        </is>
      </c>
      <c r="E451" t="inlineStr">
        <is>
          <t>其他</t>
        </is>
      </c>
      <c r="F451" t="inlineStr">
        <is>
          <t>微信公众号</t>
        </is>
      </c>
      <c r="G451" t="inlineStr">
        <is>
          <t>木垒县发展和改革委员会</t>
        </is>
      </c>
      <c r="H451" t="inlineStr">
        <is>
          <t>木垒县发改委组织全体干部职工开展该法专题集中学习。</t>
        </is>
      </c>
      <c r="I451" t="inlineStr">
        <is>
          <t>木垒零距离 2026-07-30</t>
        </is>
      </c>
      <c r="J451" t="inlineStr">
        <is>
          <t>木垒县</t>
        </is>
      </c>
      <c r="L451" t="inlineStr">
        <is>
          <t>新疆</t>
        </is>
      </c>
      <c r="O451" t="inlineStr">
        <is>
          <t>中文</t>
        </is>
      </c>
      <c r="P451" t="inlineStr">
        <is>
          <t>否</t>
        </is>
      </c>
      <c r="Q451" t="inlineStr">
        <is>
          <t>官方政策信息</t>
        </is>
      </c>
      <c r="R451" t="inlineStr">
        <is>
          <t>学习培训与宣传覆盖</t>
        </is>
      </c>
      <c r="S451" t="n">
        <v>1</v>
      </c>
      <c r="T451" t="n">
        <v>1</v>
      </c>
      <c r="U451" t="n">
        <v>1</v>
      </c>
      <c r="V451" t="inlineStr">
        <is>
          <t>否</t>
        </is>
      </c>
      <c r="W451" t="inlineStr">
        <is>
          <t>否</t>
        </is>
      </c>
      <c r="X451" t="inlineStr">
        <is>
          <t>历史导入:新疆区州网页与视频号舆情监测_最终修正版.xlsx；来源类型:官方实施信息；复核:1；重复:否；待核实:否</t>
        </is>
      </c>
    </row>
    <row r="452">
      <c r="A452" t="inlineStr">
        <is>
          <t>hist-5f203c8fda2b8a6e</t>
        </is>
      </c>
      <c r="B452" s="82" t="n">
        <v>46252.9403587963</v>
      </c>
      <c r="C452" s="82" t="n">
        <v>46209</v>
      </c>
      <c r="D452" t="inlineStr">
        <is>
          <t>木垒零距离</t>
        </is>
      </c>
      <c r="E452" t="inlineStr">
        <is>
          <t>其他</t>
        </is>
      </c>
      <c r="F452" t="inlineStr">
        <is>
          <t>微信公众号</t>
        </is>
      </c>
      <c r="G452" t="inlineStr">
        <is>
          <t>丝路同心圆</t>
        </is>
      </c>
      <c r="H452" t="inlineStr">
        <is>
          <t>「同心庭州」宣讲团深入24个村社区开展巡回宣讲，覆盖3000余人次。</t>
        </is>
      </c>
      <c r="I452" t="inlineStr">
        <is>
          <t>木垒零距离 2026-07-06</t>
        </is>
      </c>
      <c r="J452" t="inlineStr">
        <is>
          <t>昌吉州/木垒县</t>
        </is>
      </c>
      <c r="L452" t="inlineStr">
        <is>
          <t>新疆</t>
        </is>
      </c>
      <c r="O452" t="inlineStr">
        <is>
          <t>中文</t>
        </is>
      </c>
      <c r="P452" t="inlineStr">
        <is>
          <t>否</t>
        </is>
      </c>
      <c r="Q452" t="inlineStr">
        <is>
          <t>媒体报道</t>
        </is>
      </c>
      <c r="R452" t="inlineStr">
        <is>
          <t>基层普法与群众参与</t>
        </is>
      </c>
      <c r="S452" t="n">
        <v>1</v>
      </c>
      <c r="T452" t="n">
        <v>1</v>
      </c>
      <c r="U452" t="n">
        <v>1</v>
      </c>
      <c r="V452" t="inlineStr">
        <is>
          <t>否</t>
        </is>
      </c>
      <c r="W452" t="inlineStr">
        <is>
          <t>否</t>
        </is>
      </c>
      <c r="X452" t="inlineStr">
        <is>
          <t>历史导入:新疆区州网页与视频号舆情监测_最终修正版.xlsx；来源类型:媒体报道；复核:1；重复:否；待核实:否</t>
        </is>
      </c>
    </row>
    <row r="453">
      <c r="A453" t="inlineStr">
        <is>
          <t>hist-3e73504ccf2766d5</t>
        </is>
      </c>
      <c r="B453" s="82" t="n">
        <v>46252.9403587963</v>
      </c>
      <c r="C453" s="82" t="n">
        <v>46220</v>
      </c>
      <c r="D453" t="inlineStr">
        <is>
          <t>木垒零距离</t>
        </is>
      </c>
      <c r="E453" t="inlineStr">
        <is>
          <t>其他</t>
        </is>
      </c>
      <c r="F453" t="inlineStr">
        <is>
          <t>微信公众号</t>
        </is>
      </c>
      <c r="G453" t="inlineStr">
        <is>
          <t>石榴云/新疆日报</t>
        </is>
      </c>
      <c r="H453" t="inlineStr">
        <is>
          <t>7月16日自治区主要领导调研民委，部署该法贯彻实施。</t>
        </is>
      </c>
      <c r="I453" t="inlineStr">
        <is>
          <t>木垒零距离 2026-07-17</t>
        </is>
      </c>
      <c r="J453" t="inlineStr">
        <is>
          <t>新疆全区</t>
        </is>
      </c>
      <c r="L453" t="inlineStr">
        <is>
          <t>新疆</t>
        </is>
      </c>
      <c r="O453" t="inlineStr">
        <is>
          <t>中文</t>
        </is>
      </c>
      <c r="P453" t="inlineStr">
        <is>
          <t>否</t>
        </is>
      </c>
      <c r="Q453" t="inlineStr">
        <is>
          <t>官方政策信息</t>
        </is>
      </c>
      <c r="R453" t="inlineStr">
        <is>
          <t>地方法规衔接与执行机制</t>
        </is>
      </c>
      <c r="S453" t="n">
        <v>1</v>
      </c>
      <c r="T453" t="n">
        <v>1</v>
      </c>
      <c r="U453" t="n">
        <v>1</v>
      </c>
      <c r="V453" t="inlineStr">
        <is>
          <t>否</t>
        </is>
      </c>
      <c r="W453" t="inlineStr">
        <is>
          <t>否</t>
        </is>
      </c>
      <c r="X453" t="inlineStr">
        <is>
          <t>历史导入:新疆区州网页与视频号舆情监测_最终修正版.xlsx；来源类型:官方实施信息；复核:1；重复:否；待核实:否</t>
        </is>
      </c>
    </row>
    <row r="454">
      <c r="A454" t="inlineStr">
        <is>
          <t>hist-240644a0db78c98f</t>
        </is>
      </c>
      <c r="B454" s="82" t="n">
        <v>46252.9403587963</v>
      </c>
      <c r="C454" s="82" t="n">
        <v>46238</v>
      </c>
      <c r="D454" t="inlineStr">
        <is>
          <t>塔什库尔干塔吉克发布</t>
        </is>
      </c>
      <c r="E454" t="inlineStr">
        <is>
          <t>其他</t>
        </is>
      </c>
      <c r="F454" t="inlineStr">
        <is>
          <t>微信公众号</t>
        </is>
      </c>
      <c r="G454" t="inlineStr">
        <is>
          <t>法治塔什库尔干</t>
        </is>
      </c>
      <c r="H454" t="inlineStr">
        <is>
          <t>8月3日塔县司法局在班迪尔乡开展国旗下普法宣讲。</t>
        </is>
      </c>
      <c r="I454" t="inlineStr">
        <is>
          <t>塔什库尔干塔吉克发布 2026-08-04</t>
        </is>
      </c>
      <c r="J454" t="inlineStr">
        <is>
          <t>塔什库尔干县</t>
        </is>
      </c>
      <c r="L454" t="inlineStr">
        <is>
          <t>新疆</t>
        </is>
      </c>
      <c r="O454" t="inlineStr">
        <is>
          <t>中文</t>
        </is>
      </c>
      <c r="P454" t="inlineStr">
        <is>
          <t>否</t>
        </is>
      </c>
      <c r="Q454" t="inlineStr">
        <is>
          <t>官方政策信息</t>
        </is>
      </c>
      <c r="R454" t="inlineStr">
        <is>
          <t>基层普法与群众参与</t>
        </is>
      </c>
      <c r="S454" t="n">
        <v>1</v>
      </c>
      <c r="T454" t="n">
        <v>1</v>
      </c>
      <c r="U454" t="n">
        <v>1</v>
      </c>
      <c r="V454" t="inlineStr">
        <is>
          <t>否</t>
        </is>
      </c>
      <c r="W454" t="inlineStr">
        <is>
          <t>否</t>
        </is>
      </c>
      <c r="X454" t="inlineStr">
        <is>
          <t>历史导入:新疆区州网页与视频号舆情监测_最终修正版.xlsx；来源类型:官方实施信息；复核:1；重复:否；待核实:否</t>
        </is>
      </c>
    </row>
    <row r="455">
      <c r="A455" t="inlineStr">
        <is>
          <t>hist-89863cf3f141fa1a</t>
        </is>
      </c>
      <c r="B455" s="82" t="n">
        <v>46252.9403587963</v>
      </c>
      <c r="C455" s="82" t="n">
        <v>46233</v>
      </c>
      <c r="D455" t="inlineStr">
        <is>
          <t>塔什库尔干塔吉克发布</t>
        </is>
      </c>
      <c r="E455" t="inlineStr">
        <is>
          <t>其他</t>
        </is>
      </c>
      <c r="F455" t="inlineStr">
        <is>
          <t>微信公众号</t>
        </is>
      </c>
      <c r="G455" t="inlineStr">
        <is>
          <t>法治塔什库尔干</t>
        </is>
      </c>
      <c r="H455" t="inlineStr">
        <is>
          <t>塔县司法局在塔什库尔干乡开展普法宣传，覆盖300余人次。</t>
        </is>
      </c>
      <c r="I455" t="inlineStr">
        <is>
          <t>塔什库尔干塔吉克发布 2026-07-30</t>
        </is>
      </c>
      <c r="J455" t="inlineStr">
        <is>
          <t>塔什库尔干县</t>
        </is>
      </c>
      <c r="L455" t="inlineStr">
        <is>
          <t>新疆</t>
        </is>
      </c>
      <c r="O455" t="inlineStr">
        <is>
          <t>中文</t>
        </is>
      </c>
      <c r="P455" t="inlineStr">
        <is>
          <t>否</t>
        </is>
      </c>
      <c r="Q455" t="inlineStr">
        <is>
          <t>官方政策信息</t>
        </is>
      </c>
      <c r="R455" t="inlineStr">
        <is>
          <t>基层普法与群众参与</t>
        </is>
      </c>
      <c r="S455" t="n">
        <v>1</v>
      </c>
      <c r="T455" t="n">
        <v>1</v>
      </c>
      <c r="U455" t="n">
        <v>1</v>
      </c>
      <c r="V455" t="inlineStr">
        <is>
          <t>否</t>
        </is>
      </c>
      <c r="W455" t="inlineStr">
        <is>
          <t>否</t>
        </is>
      </c>
      <c r="X455" t="inlineStr">
        <is>
          <t>历史导入:新疆区州网页与视频号舆情监测_最终修正版.xlsx；来源类型:官方实施信息；复核:1；重复:否；待核实:否</t>
        </is>
      </c>
    </row>
    <row r="456">
      <c r="A456" t="inlineStr">
        <is>
          <t>hist-a2814d9c70ba377c</t>
        </is>
      </c>
      <c r="B456" s="82" t="n">
        <v>46252.9403587963</v>
      </c>
      <c r="C456" s="82" t="n">
        <v>46224</v>
      </c>
      <c r="D456" t="inlineStr">
        <is>
          <t>巴里坤哈萨克发布</t>
        </is>
      </c>
      <c r="E456" t="inlineStr">
        <is>
          <t>其他</t>
        </is>
      </c>
      <c r="F456" t="inlineStr">
        <is>
          <t>微信公众号</t>
        </is>
      </c>
      <c r="G456" t="inlineStr">
        <is>
          <t>哈密统战之声</t>
        </is>
      </c>
      <c r="H456" t="inlineStr">
        <is>
          <t>巴里坤县系统部署14项具体任务，累计开展80余场专题学习。</t>
        </is>
      </c>
      <c r="I456" t="inlineStr">
        <is>
          <t>巴里坤哈萨克发布 2026-07-21</t>
        </is>
      </c>
      <c r="J456" t="inlineStr">
        <is>
          <t>巴里坤县</t>
        </is>
      </c>
      <c r="L456" t="inlineStr">
        <is>
          <t>新疆</t>
        </is>
      </c>
      <c r="O456" t="inlineStr">
        <is>
          <t>中文</t>
        </is>
      </c>
      <c r="P456" t="inlineStr">
        <is>
          <t>否</t>
        </is>
      </c>
      <c r="Q456" t="inlineStr">
        <is>
          <t>官方政策信息</t>
        </is>
      </c>
      <c r="R456" t="inlineStr">
        <is>
          <t>学习培训与宣传覆盖</t>
        </is>
      </c>
      <c r="S456" t="n">
        <v>1</v>
      </c>
      <c r="T456" t="n">
        <v>1</v>
      </c>
      <c r="U456" t="n">
        <v>1</v>
      </c>
      <c r="V456" t="inlineStr">
        <is>
          <t>否</t>
        </is>
      </c>
      <c r="W456" t="inlineStr">
        <is>
          <t>否</t>
        </is>
      </c>
      <c r="X456" t="inlineStr">
        <is>
          <t>历史导入:新疆区州网页与视频号舆情监测_最终修正版.xlsx；来源类型:官方实施信息；复核:1；重复:否；待核实:否</t>
        </is>
      </c>
    </row>
    <row r="457">
      <c r="A457" t="inlineStr">
        <is>
          <t>hist-dc21150dacc5f96d</t>
        </is>
      </c>
      <c r="B457" s="82" t="n">
        <v>46252.9403587963</v>
      </c>
      <c r="C457" s="82" t="n">
        <v>46206</v>
      </c>
      <c r="D457" t="inlineStr">
        <is>
          <t>察布查尔县零距离</t>
        </is>
      </c>
      <c r="E457" t="inlineStr">
        <is>
          <t>其他</t>
        </is>
      </c>
      <c r="F457" t="inlineStr">
        <is>
          <t>微信公众号</t>
        </is>
      </c>
      <c r="G457" t="inlineStr">
        <is>
          <t>丝路同心圆</t>
        </is>
      </c>
      <c r="H457" t="inlineStr">
        <is>
          <t>伊犁州通过精准普法、清单压责等举措推动法律落地。</t>
        </is>
      </c>
      <c r="I457" t="inlineStr">
        <is>
          <t>察布查尔县零距离 2026-07-03</t>
        </is>
      </c>
      <c r="J457" t="inlineStr">
        <is>
          <t>伊犁州</t>
        </is>
      </c>
      <c r="L457" t="inlineStr">
        <is>
          <t>新疆</t>
        </is>
      </c>
      <c r="O457" t="inlineStr">
        <is>
          <t>中文</t>
        </is>
      </c>
      <c r="P457" t="inlineStr">
        <is>
          <t>否</t>
        </is>
      </c>
      <c r="Q457" t="inlineStr">
        <is>
          <t>媒体报道</t>
        </is>
      </c>
      <c r="R457" t="inlineStr">
        <is>
          <t>法律施行与总体解读</t>
        </is>
      </c>
      <c r="S457" t="n">
        <v>1</v>
      </c>
      <c r="T457" t="n">
        <v>1</v>
      </c>
      <c r="U457" t="n">
        <v>1</v>
      </c>
      <c r="V457" t="inlineStr">
        <is>
          <t>否</t>
        </is>
      </c>
      <c r="W457" t="inlineStr">
        <is>
          <t>否</t>
        </is>
      </c>
      <c r="X457" t="inlineStr">
        <is>
          <t>历史导入:新疆区州网页与视频号舆情监测_最终修正版.xlsx；来源类型:媒体报道；复核:1；重复:否；待核实:否</t>
        </is>
      </c>
    </row>
    <row r="458">
      <c r="A458" t="inlineStr">
        <is>
          <t>hist-b5718658444ba272</t>
        </is>
      </c>
      <c r="B458" s="82" t="n">
        <v>46252.9403587963</v>
      </c>
      <c r="C458" s="82" t="n">
        <v>46231</v>
      </c>
      <c r="D458" t="inlineStr">
        <is>
          <t>察布查尔县零距离</t>
        </is>
      </c>
      <c r="E458" t="inlineStr">
        <is>
          <t>其他</t>
        </is>
      </c>
      <c r="F458" t="inlineStr">
        <is>
          <t>微信公众号</t>
        </is>
      </c>
      <c r="G458" t="inlineStr">
        <is>
          <t>CUPK工商马院</t>
        </is>
      </c>
      <c r="H458" t="inlineStr">
        <is>
          <t>高校实践队赴察布查尔县调研锡伯族刺绣与非遗传承。</t>
        </is>
      </c>
      <c r="I458" t="inlineStr">
        <is>
          <t>察布查尔县零距离 2026-07-28</t>
        </is>
      </c>
      <c r="J458" t="inlineStr">
        <is>
          <t>察布查尔县</t>
        </is>
      </c>
      <c r="L458" t="inlineStr">
        <is>
          <t>新疆</t>
        </is>
      </c>
      <c r="O458" t="inlineStr">
        <is>
          <t>中文</t>
        </is>
      </c>
      <c r="P458" t="inlineStr">
        <is>
          <t>否</t>
        </is>
      </c>
      <c r="Q458" t="inlineStr">
        <is>
          <t>中性信息</t>
        </is>
      </c>
      <c r="R458" t="inlineStr">
        <is>
          <t>文化交流与非遗保护</t>
        </is>
      </c>
      <c r="S458" t="n">
        <v>1</v>
      </c>
      <c r="T458" t="n">
        <v>1</v>
      </c>
      <c r="U458" t="n">
        <v>1</v>
      </c>
      <c r="V458" t="inlineStr">
        <is>
          <t>否</t>
        </is>
      </c>
      <c r="W458" t="inlineStr">
        <is>
          <t>否</t>
        </is>
      </c>
      <c r="X458" t="inlineStr">
        <is>
          <t>历史导入:新疆区州网页与视频号舆情监测_最终修正版.xlsx；来源类型:媒体报道；复核:正文未直接提及该法，属间接关联；重复:否；待核实:否</t>
        </is>
      </c>
    </row>
    <row r="459">
      <c r="A459" t="inlineStr">
        <is>
          <t>hist-ff6450362190fad2</t>
        </is>
      </c>
      <c r="B459" s="82" t="n">
        <v>46252.9403587963</v>
      </c>
      <c r="C459" s="82" t="n">
        <v>46237</v>
      </c>
      <c r="D459" t="inlineStr">
        <is>
          <t>焉耆回族发布</t>
        </is>
      </c>
      <c r="E459" t="inlineStr">
        <is>
          <t>其他</t>
        </is>
      </c>
      <c r="F459" t="inlineStr">
        <is>
          <t>微信公众号</t>
        </is>
      </c>
      <c r="G459" t="inlineStr">
        <is>
          <t>巴州统一战线</t>
        </is>
      </c>
      <c r="H459" t="inlineStr">
        <is>
          <t>8月3日焉耆县利用升国旗开展专题宣讲，覆盖9个乡镇3500余人次。</t>
        </is>
      </c>
      <c r="I459" t="inlineStr">
        <is>
          <t>焉耆回族发布 2026-08-03</t>
        </is>
      </c>
      <c r="J459" t="inlineStr">
        <is>
          <t>焉耆县</t>
        </is>
      </c>
      <c r="L459" t="inlineStr">
        <is>
          <t>新疆</t>
        </is>
      </c>
      <c r="O459" t="inlineStr">
        <is>
          <t>中文</t>
        </is>
      </c>
      <c r="P459" t="inlineStr">
        <is>
          <t>否</t>
        </is>
      </c>
      <c r="Q459" t="inlineStr">
        <is>
          <t>官方政策信息</t>
        </is>
      </c>
      <c r="R459" t="inlineStr">
        <is>
          <t>基层普法与群众参与</t>
        </is>
      </c>
      <c r="S459" t="n">
        <v>1</v>
      </c>
      <c r="T459" t="n">
        <v>1</v>
      </c>
      <c r="U459" t="n">
        <v>1</v>
      </c>
      <c r="V459" t="inlineStr">
        <is>
          <t>否</t>
        </is>
      </c>
      <c r="W459" t="inlineStr">
        <is>
          <t>否</t>
        </is>
      </c>
      <c r="X459" t="inlineStr">
        <is>
          <t>历史导入:新疆区州网页与视频号舆情监测_最终修正版.xlsx；来源类型:官方实施信息；复核:1；重复:否；待核实:否</t>
        </is>
      </c>
    </row>
    <row r="460">
      <c r="A460" t="inlineStr">
        <is>
          <t>hist-f4e9ea217fd52952</t>
        </is>
      </c>
      <c r="B460" s="82" t="n">
        <v>46252.9403587963</v>
      </c>
      <c r="C460" s="82" t="n">
        <v>46234</v>
      </c>
      <c r="D460" t="inlineStr">
        <is>
          <t>和布克赛尔蒙古发布</t>
        </is>
      </c>
      <c r="E460" t="inlineStr">
        <is>
          <t>其他</t>
        </is>
      </c>
      <c r="F460" t="inlineStr">
        <is>
          <t>微信公众号</t>
        </is>
      </c>
      <c r="G460" t="inlineStr">
        <is>
          <t>和丰统战</t>
        </is>
      </c>
      <c r="H460" t="inlineStr">
        <is>
          <t>社区组织宣讲员志愿者开展入户走访宣讲。</t>
        </is>
      </c>
      <c r="I460" t="inlineStr">
        <is>
          <t>和布克赛尔蒙古发布 2026-07-31</t>
        </is>
      </c>
      <c r="J460" t="inlineStr">
        <is>
          <t>和布克赛尔县</t>
        </is>
      </c>
      <c r="L460" t="inlineStr">
        <is>
          <t>新疆</t>
        </is>
      </c>
      <c r="O460" t="inlineStr">
        <is>
          <t>中文</t>
        </is>
      </c>
      <c r="P460" t="inlineStr">
        <is>
          <t>否</t>
        </is>
      </c>
      <c r="Q460" t="inlineStr">
        <is>
          <t>官方政策信息</t>
        </is>
      </c>
      <c r="R460" t="inlineStr">
        <is>
          <t>基层普法与群众参与</t>
        </is>
      </c>
      <c r="S460" t="n">
        <v>1</v>
      </c>
      <c r="T460" t="n">
        <v>1</v>
      </c>
      <c r="U460" t="n">
        <v>1</v>
      </c>
      <c r="V460" t="inlineStr">
        <is>
          <t>否</t>
        </is>
      </c>
      <c r="W460" t="inlineStr">
        <is>
          <t>否</t>
        </is>
      </c>
      <c r="X460" t="inlineStr">
        <is>
          <t>历史导入:新疆区州网页与视频号舆情监测_最终修正版.xlsx；来源类型:官方实施信息；复核:1；重复:否；待核实:否</t>
        </is>
      </c>
    </row>
    <row r="461">
      <c r="A461" t="inlineStr">
        <is>
          <t>hist-aa77a5c6c242cc9b</t>
        </is>
      </c>
      <c r="B461" s="82" t="n">
        <v>46252.9403587963</v>
      </c>
      <c r="C461" s="82" t="n">
        <v>46217</v>
      </c>
      <c r="D461" t="inlineStr">
        <is>
          <t>和布克赛尔蒙古发布</t>
        </is>
      </c>
      <c r="E461" t="inlineStr">
        <is>
          <t>其他</t>
        </is>
      </c>
      <c r="F461" t="inlineStr">
        <is>
          <t>微信公众号</t>
        </is>
      </c>
      <c r="G461" t="inlineStr">
        <is>
          <t>法润和布克赛尔</t>
        </is>
      </c>
      <c r="H461" t="inlineStr">
        <is>
          <t>7月11日县司法局联合高校学子走进牧区双语普法。</t>
        </is>
      </c>
      <c r="I461" t="inlineStr">
        <is>
          <t>和布克赛尔蒙古发布 2026-07-14</t>
        </is>
      </c>
      <c r="J461" t="inlineStr">
        <is>
          <t>和布克赛尔县</t>
        </is>
      </c>
      <c r="L461" t="inlineStr">
        <is>
          <t>新疆</t>
        </is>
      </c>
      <c r="O461" t="inlineStr">
        <is>
          <t>中文</t>
        </is>
      </c>
      <c r="P461" t="inlineStr">
        <is>
          <t>否</t>
        </is>
      </c>
      <c r="Q461" t="inlineStr">
        <is>
          <t>官方政策信息</t>
        </is>
      </c>
      <c r="R461" t="inlineStr">
        <is>
          <t>基层普法与群众参与</t>
        </is>
      </c>
      <c r="S461" t="n">
        <v>1</v>
      </c>
      <c r="T461" t="n">
        <v>1</v>
      </c>
      <c r="U461" t="n">
        <v>1</v>
      </c>
      <c r="V461" t="inlineStr">
        <is>
          <t>否</t>
        </is>
      </c>
      <c r="W461" t="inlineStr">
        <is>
          <t>否</t>
        </is>
      </c>
      <c r="X461" t="inlineStr">
        <is>
          <t>历史导入:新疆区州网页与视频号舆情监测_最终修正版.xlsx；来源类型:官方实施信息；复核:1；重复:否；待核实:否</t>
        </is>
      </c>
    </row>
    <row r="462">
      <c r="A462" t="inlineStr">
        <is>
          <t>hist-8e5bf90324bcabba</t>
        </is>
      </c>
      <c r="B462" s="82" t="n">
        <v>46252.9403587963</v>
      </c>
      <c r="C462" s="82" t="n">
        <v>46237</v>
      </c>
      <c r="D462" t="inlineStr">
        <is>
          <t>知乎</t>
        </is>
      </c>
      <c r="E462" t="inlineStr">
        <is>
          <t>知乎/B站/百度知道</t>
        </is>
      </c>
      <c r="F462" t="inlineStr">
        <is>
          <t>原始网页</t>
        </is>
      </c>
      <c r="G462" t="inlineStr">
        <is>
          <t>南海西侯</t>
        </is>
      </c>
      <c r="H462" t="inlineStr">
        <is>
          <t>用户表达对满语传承的关切。</t>
        </is>
      </c>
      <c r="I462" t="inlineStr">
        <is>
          <t>知乎 2026-08-03</t>
        </is>
      </c>
      <c r="J462" t="inlineStr">
        <is>
          <t>全国</t>
        </is>
      </c>
      <c r="O462" t="inlineStr">
        <is>
          <t>中文</t>
        </is>
      </c>
      <c r="P462" t="inlineStr">
        <is>
          <t>否</t>
        </is>
      </c>
      <c r="Q462" t="inlineStr">
        <is>
          <t>咨询/诉求</t>
        </is>
      </c>
      <c r="R462" t="inlineStr">
        <is>
          <t>少数民族语言保护</t>
        </is>
      </c>
      <c r="S462" t="n">
        <v>1</v>
      </c>
      <c r="T462" t="n">
        <v>1</v>
      </c>
      <c r="U462" t="n">
        <v>1</v>
      </c>
      <c r="V462" t="inlineStr">
        <is>
          <t>否</t>
        </is>
      </c>
      <c r="W462" t="inlineStr">
        <is>
          <t>是</t>
        </is>
      </c>
      <c r="X462" t="inlineStr">
        <is>
          <t>历史导入:新疆区州网页与视频号舆情监测_最终修正版.xlsx；来源类型:用户评论；复核:已复核：用户表达对满语传承的关切，属语言权利诉求，非对法律的直接批评；态度分类无误。复核人：编号九负责人；复核时间：2026-08-06；重复:否；待核实:否</t>
        </is>
      </c>
    </row>
    <row r="463">
      <c r="A463" t="inlineStr">
        <is>
          <t>hist-a794d1fc4c90429a</t>
        </is>
      </c>
      <c r="B463" s="82" t="n">
        <v>46252.9403587963</v>
      </c>
      <c r="C463" s="82" t="n">
        <v>46237</v>
      </c>
      <c r="D463" t="inlineStr">
        <is>
          <t>知乎</t>
        </is>
      </c>
      <c r="E463" t="inlineStr">
        <is>
          <t>知乎/B站/百度知道</t>
        </is>
      </c>
      <c r="F463" t="inlineStr">
        <is>
          <t>原始网页</t>
        </is>
      </c>
      <c r="G463" t="inlineStr">
        <is>
          <t>知乎用户</t>
        </is>
      </c>
      <c r="H463" t="inlineStr">
        <is>
          <t>用户回应他人关于满语的评论。</t>
        </is>
      </c>
      <c r="I463" t="inlineStr">
        <is>
          <t>知乎 2026-08-03</t>
        </is>
      </c>
      <c r="J463" t="inlineStr">
        <is>
          <t>全国</t>
        </is>
      </c>
      <c r="O463" t="inlineStr">
        <is>
          <t>中文</t>
        </is>
      </c>
      <c r="P463" t="inlineStr">
        <is>
          <t>否</t>
        </is>
      </c>
      <c r="Q463" t="inlineStr">
        <is>
          <t>观点对立</t>
        </is>
      </c>
      <c r="R463" t="inlineStr">
        <is>
          <t>少数民族语言保护</t>
        </is>
      </c>
      <c r="S463" t="n">
        <v>1</v>
      </c>
      <c r="T463" t="n">
        <v>1</v>
      </c>
      <c r="U463" t="n">
        <v>1</v>
      </c>
      <c r="V463" t="inlineStr">
        <is>
          <t>否</t>
        </is>
      </c>
      <c r="W463" t="inlineStr">
        <is>
          <t>是</t>
        </is>
      </c>
      <c r="X463" t="inlineStr">
        <is>
          <t>历史导入:新疆区州网页与视频号舆情监测_最终修正版.xlsx；来源类型:用户评论；复核:已复核：用户回应他人观点，属观点对立，非对法律的批评；态度分类无误。复核人：编号九负责人；复核时间：2026-08-06；重复:否；待核实:否</t>
        </is>
      </c>
    </row>
    <row r="464">
      <c r="A464" t="inlineStr">
        <is>
          <t>hist-350ca288f446ff96</t>
        </is>
      </c>
      <c r="B464" s="82" t="n">
        <v>46252.9403587963</v>
      </c>
      <c r="C464" s="82" t="n">
        <v>46206</v>
      </c>
      <c r="D464" t="inlineStr">
        <is>
          <t>微博</t>
        </is>
      </c>
      <c r="E464" t="inlineStr">
        <is>
          <t>微博/热榜</t>
        </is>
      </c>
      <c r="F464" t="inlineStr">
        <is>
          <t>原始网页</t>
        </is>
      </c>
      <c r="G464" t="inlineStr">
        <is>
          <t>梦入虚林</t>
        </is>
      </c>
      <c r="H464" t="inlineStr">
        <is>
          <t>用户就法律执行提出疑问。</t>
        </is>
      </c>
      <c r="I464" t="inlineStr">
        <is>
          <t>微博 2026-07-03</t>
        </is>
      </c>
      <c r="J464" t="inlineStr">
        <is>
          <t>全国</t>
        </is>
      </c>
      <c r="O464" t="inlineStr">
        <is>
          <t>中文</t>
        </is>
      </c>
      <c r="P464" t="inlineStr">
        <is>
          <t>否</t>
        </is>
      </c>
      <c r="Q464" t="inlineStr">
        <is>
          <t>咨询疑问</t>
        </is>
      </c>
      <c r="R464" t="inlineStr">
        <is>
          <t>法律实施与执行</t>
        </is>
      </c>
      <c r="S464" t="n">
        <v>1</v>
      </c>
      <c r="T464" t="n">
        <v>1</v>
      </c>
      <c r="U464" t="n">
        <v>1</v>
      </c>
      <c r="V464" t="inlineStr">
        <is>
          <t>否</t>
        </is>
      </c>
      <c r="W464" t="inlineStr">
        <is>
          <t>是</t>
        </is>
      </c>
      <c r="X464" t="inlineStr">
        <is>
          <t>历史导入:新疆区州网页与视频号舆情监测_最终修正版.xlsx；来源类型:用户评论；复核:已复核：用户就法律执行提出疑问，属咨询类，非批评；态度分类无误。复核人：编号九负责人；复核时间：2026-08-06；重复:否；待核实:否</t>
        </is>
      </c>
    </row>
    <row r="465">
      <c r="A465" t="inlineStr">
        <is>
          <t>hist-eebc0235203b5489</t>
        </is>
      </c>
      <c r="B465" s="82" t="n">
        <v>46252.9403587963</v>
      </c>
      <c r="C465" s="82" t="n">
        <v>46205</v>
      </c>
      <c r="D465" t="inlineStr">
        <is>
          <t>B站</t>
        </is>
      </c>
      <c r="E465" t="inlineStr">
        <is>
          <t>知乎/B站/百度知道</t>
        </is>
      </c>
      <c r="F465" t="inlineStr">
        <is>
          <t>原始网页</t>
        </is>
      </c>
      <c r="G465" t="inlineStr">
        <is>
          <t>QH-R</t>
        </is>
      </c>
      <c r="H465" t="inlineStr">
        <is>
          <t>用户表示支持。</t>
        </is>
      </c>
      <c r="I465" t="inlineStr">
        <is>
          <t>B站 2026-07-02</t>
        </is>
      </c>
      <c r="J465" t="inlineStr">
        <is>
          <t>全国</t>
        </is>
      </c>
      <c r="O465" t="inlineStr">
        <is>
          <t>中文</t>
        </is>
      </c>
      <c r="P465" t="inlineStr">
        <is>
          <t>否</t>
        </is>
      </c>
      <c r="Q465" t="inlineStr">
        <is>
          <t>支持认可</t>
        </is>
      </c>
      <c r="R465" t="inlineStr">
        <is>
          <t>法律施行与总体评价</t>
        </is>
      </c>
      <c r="S465" t="n">
        <v>1</v>
      </c>
      <c r="T465" t="n">
        <v>1</v>
      </c>
      <c r="U465" t="n">
        <v>1</v>
      </c>
      <c r="V465" t="inlineStr">
        <is>
          <t>否</t>
        </is>
      </c>
      <c r="W465" t="inlineStr">
        <is>
          <t>是</t>
        </is>
      </c>
      <c r="X465" t="inlineStr">
        <is>
          <t>历史导入:新疆区州网页与视频号舆情监测_最终修正版.xlsx；来源类型:用户评论；复核:1；重复:否；待核实:否</t>
        </is>
      </c>
    </row>
    <row r="466">
      <c r="A466" t="inlineStr">
        <is>
          <t>hist-7a11cbf4efe547f3</t>
        </is>
      </c>
      <c r="B466" s="82" t="n">
        <v>46252.9403587963</v>
      </c>
      <c r="C466" s="82" t="n">
        <v>46207</v>
      </c>
      <c r="D466" t="inlineStr">
        <is>
          <t>B站</t>
        </is>
      </c>
      <c r="E466" t="inlineStr">
        <is>
          <t>知乎/B站/百度知道</t>
        </is>
      </c>
      <c r="F466" t="inlineStr">
        <is>
          <t>原始网页</t>
        </is>
      </c>
      <c r="G466" t="inlineStr">
        <is>
          <t>QH-R</t>
        </is>
      </c>
      <c r="H466" t="inlineStr">
        <is>
          <t>用户建议举报不良内容。</t>
        </is>
      </c>
      <c r="I466" t="inlineStr">
        <is>
          <t>B站 2026-07-04</t>
        </is>
      </c>
      <c r="J466" t="inlineStr">
        <is>
          <t>全国</t>
        </is>
      </c>
      <c r="O466" t="inlineStr">
        <is>
          <t>中文</t>
        </is>
      </c>
      <c r="P466" t="inlineStr">
        <is>
          <t>否</t>
        </is>
      </c>
      <c r="Q466" t="inlineStr">
        <is>
          <t>支持认可</t>
        </is>
      </c>
      <c r="R466" t="inlineStr">
        <is>
          <t>网络平台责任</t>
        </is>
      </c>
      <c r="S466" t="n">
        <v>1</v>
      </c>
      <c r="T466" t="n">
        <v>1</v>
      </c>
      <c r="U466" t="n">
        <v>1</v>
      </c>
      <c r="V466" t="inlineStr">
        <is>
          <t>否</t>
        </is>
      </c>
      <c r="W466" t="inlineStr">
        <is>
          <t>是</t>
        </is>
      </c>
      <c r="X466" t="inlineStr">
        <is>
          <t>历史导入:新疆区州网页与视频号舆情监测_最终修正版.xlsx；来源类型:用户评论；复核:1；重复:否；待核实:否</t>
        </is>
      </c>
    </row>
    <row r="467">
      <c r="A467" t="inlineStr">
        <is>
          <t>hist-ae79ccee0985bc58</t>
        </is>
      </c>
      <c r="B467" s="82" t="n">
        <v>46252.9403587963</v>
      </c>
      <c r="C467" s="82" t="n">
        <v>46207</v>
      </c>
      <c r="D467" t="inlineStr">
        <is>
          <t>B站</t>
        </is>
      </c>
      <c r="E467" t="inlineStr">
        <is>
          <t>知乎/B站/百度知道</t>
        </is>
      </c>
      <c r="F467" t="inlineStr">
        <is>
          <t>原始网页</t>
        </is>
      </c>
      <c r="G467" t="inlineStr">
        <is>
          <t>QH-R</t>
        </is>
      </c>
      <c r="H467" t="inlineStr">
        <is>
          <t>用户简短表态。</t>
        </is>
      </c>
      <c r="I467" t="inlineStr">
        <is>
          <t>B站 2026-07-04</t>
        </is>
      </c>
      <c r="J467" t="inlineStr">
        <is>
          <t>全国</t>
        </is>
      </c>
      <c r="O467" t="inlineStr">
        <is>
          <t>中文</t>
        </is>
      </c>
      <c r="P467" t="inlineStr">
        <is>
          <t>否</t>
        </is>
      </c>
      <c r="Q467" t="inlineStr">
        <is>
          <t>支持认可</t>
        </is>
      </c>
      <c r="R467" t="inlineStr">
        <is>
          <t>法律施行与总体评价</t>
        </is>
      </c>
      <c r="S467" t="n">
        <v>1</v>
      </c>
      <c r="T467" t="n">
        <v>1</v>
      </c>
      <c r="U467" t="n">
        <v>1</v>
      </c>
      <c r="V467" t="inlineStr">
        <is>
          <t>否</t>
        </is>
      </c>
      <c r="W467" t="inlineStr">
        <is>
          <t>是</t>
        </is>
      </c>
      <c r="X467" t="inlineStr">
        <is>
          <t>历史导入:新疆区州网页与视频号舆情监测_最终修正版.xlsx；来源类型:用户评论；复核:1；重复:否；待核实:否</t>
        </is>
      </c>
    </row>
    <row r="468">
      <c r="A468" t="inlineStr">
        <is>
          <t>hist-5751f1064319ad3e</t>
        </is>
      </c>
      <c r="B468" s="82" t="n">
        <v>46252.9403587963</v>
      </c>
      <c r="C468" s="82" t="n">
        <v>46206</v>
      </c>
      <c r="D468" t="inlineStr">
        <is>
          <t>B站</t>
        </is>
      </c>
      <c r="E468" t="inlineStr">
        <is>
          <t>知乎/B站/百度知道</t>
        </is>
      </c>
      <c r="F468" t="inlineStr">
        <is>
          <t>原始网页</t>
        </is>
      </c>
      <c r="G468" t="inlineStr">
        <is>
          <t>千冰百丈</t>
        </is>
      </c>
      <c r="H468" t="inlineStr">
        <is>
          <t>用户表态支持。</t>
        </is>
      </c>
      <c r="I468" t="inlineStr">
        <is>
          <t>B站 2026-07-03</t>
        </is>
      </c>
      <c r="J468" t="inlineStr">
        <is>
          <t>全国</t>
        </is>
      </c>
      <c r="O468" t="inlineStr">
        <is>
          <t>中文</t>
        </is>
      </c>
      <c r="P468" t="inlineStr">
        <is>
          <t>否</t>
        </is>
      </c>
      <c r="Q468" t="inlineStr">
        <is>
          <t>支持认可</t>
        </is>
      </c>
      <c r="R468" t="inlineStr">
        <is>
          <t>国际舆论与回应</t>
        </is>
      </c>
      <c r="S468" t="n">
        <v>1</v>
      </c>
      <c r="T468" t="n">
        <v>1</v>
      </c>
      <c r="U468" t="n">
        <v>1</v>
      </c>
      <c r="V468" t="inlineStr">
        <is>
          <t>否</t>
        </is>
      </c>
      <c r="W468" t="inlineStr">
        <is>
          <t>是</t>
        </is>
      </c>
      <c r="X468" t="inlineStr">
        <is>
          <t>历史导入:新疆区州网页与视频号舆情监测_最终修正版.xlsx；来源类型:用户评论；复核:1；重复:否；待核实:否</t>
        </is>
      </c>
    </row>
    <row r="469">
      <c r="A469" t="inlineStr">
        <is>
          <t>hist-e79af9d60e9bad95</t>
        </is>
      </c>
      <c r="B469" s="82" t="n">
        <v>46252.9403587963</v>
      </c>
      <c r="C469" s="82" t="n">
        <v>46204</v>
      </c>
      <c r="D469" t="inlineStr">
        <is>
          <t>B站</t>
        </is>
      </c>
      <c r="E469" t="inlineStr">
        <is>
          <t>知乎/B站/百度知道</t>
        </is>
      </c>
      <c r="F469" t="inlineStr">
        <is>
          <t>原始网页</t>
        </is>
      </c>
      <c r="G469" t="inlineStr">
        <is>
          <t>TGT_Leader</t>
        </is>
      </c>
      <c r="H469" t="inlineStr">
        <is>
          <t>用户分析法律影响范围。</t>
        </is>
      </c>
      <c r="I469" t="inlineStr">
        <is>
          <t>B站 2026-07-01</t>
        </is>
      </c>
      <c r="J469" t="inlineStr">
        <is>
          <t>全国</t>
        </is>
      </c>
      <c r="O469" t="inlineStr">
        <is>
          <t>中文</t>
        </is>
      </c>
      <c r="P469" t="inlineStr">
        <is>
          <t>否</t>
        </is>
      </c>
      <c r="Q469" t="inlineStr">
        <is>
          <t>支持认可</t>
        </is>
      </c>
      <c r="R469" t="inlineStr">
        <is>
          <t>法律适用范围</t>
        </is>
      </c>
      <c r="S469" t="n">
        <v>1</v>
      </c>
      <c r="T469" t="n">
        <v>1</v>
      </c>
      <c r="U469" t="n">
        <v>1</v>
      </c>
      <c r="V469" t="inlineStr">
        <is>
          <t>否</t>
        </is>
      </c>
      <c r="W469" t="inlineStr">
        <is>
          <t>是</t>
        </is>
      </c>
      <c r="X469" t="inlineStr">
        <is>
          <t>历史导入:新疆区州网页与视频号舆情监测_最终修正版.xlsx；来源类型:用户评论；复核:1；重复:否；待核实:否</t>
        </is>
      </c>
    </row>
    <row r="470">
      <c r="A470" t="inlineStr">
        <is>
          <t>hist-ae05989754e30bda</t>
        </is>
      </c>
      <c r="B470" s="82" t="n">
        <v>46252.9403587963</v>
      </c>
      <c r="C470" s="82" t="n">
        <v>46206</v>
      </c>
      <c r="D470" t="inlineStr">
        <is>
          <t>B站</t>
        </is>
      </c>
      <c r="E470" t="inlineStr">
        <is>
          <t>知乎/B站/百度知道</t>
        </is>
      </c>
      <c r="F470" t="inlineStr">
        <is>
          <t>原始网页</t>
        </is>
      </c>
      <c r="G470" t="inlineStr">
        <is>
          <t>-土豆吞噬者-</t>
        </is>
      </c>
      <c r="H470" t="inlineStr">
        <is>
          <t>用户表态支持并建议加强处罚。</t>
        </is>
      </c>
      <c r="I470" t="inlineStr">
        <is>
          <t>B站 2026-07-03</t>
        </is>
      </c>
      <c r="J470" t="inlineStr">
        <is>
          <t>全国</t>
        </is>
      </c>
      <c r="O470" t="inlineStr">
        <is>
          <t>中文</t>
        </is>
      </c>
      <c r="P470" t="inlineStr">
        <is>
          <t>否</t>
        </is>
      </c>
      <c r="Q470" t="inlineStr">
        <is>
          <t>支持认可</t>
        </is>
      </c>
      <c r="R470" t="inlineStr">
        <is>
          <t>法律责任与处罚</t>
        </is>
      </c>
      <c r="S470" t="n">
        <v>1</v>
      </c>
      <c r="T470" t="n">
        <v>1</v>
      </c>
      <c r="U470" t="n">
        <v>1</v>
      </c>
      <c r="V470" t="inlineStr">
        <is>
          <t>否</t>
        </is>
      </c>
      <c r="W470" t="inlineStr">
        <is>
          <t>是</t>
        </is>
      </c>
      <c r="X470" t="inlineStr">
        <is>
          <t>历史导入:新疆区州网页与视频号舆情监测_最终修正版.xlsx；来源类型:用户评论；复核:1；重复:否；待核实:否</t>
        </is>
      </c>
    </row>
    <row r="471">
      <c r="A471" t="inlineStr">
        <is>
          <t>hist-8f368347c047b194</t>
        </is>
      </c>
      <c r="B471" s="82" t="n">
        <v>46252.9403587963</v>
      </c>
      <c r="C471" s="82" t="n">
        <v>46205</v>
      </c>
      <c r="D471" t="inlineStr">
        <is>
          <t>B站</t>
        </is>
      </c>
      <c r="E471" t="inlineStr">
        <is>
          <t>知乎/B站/百度知道</t>
        </is>
      </c>
      <c r="F471" t="inlineStr">
        <is>
          <t>原始网页</t>
        </is>
      </c>
      <c r="G471" t="inlineStr">
        <is>
          <t>凯凯大神的</t>
        </is>
      </c>
      <c r="H471" t="inlineStr">
        <is>
          <t>用户建议处理特定对象。</t>
        </is>
      </c>
      <c r="I471" t="inlineStr">
        <is>
          <t>B站 2026-07-02</t>
        </is>
      </c>
      <c r="J471" t="inlineStr">
        <is>
          <t>全国</t>
        </is>
      </c>
      <c r="O471" t="inlineStr">
        <is>
          <t>中文</t>
        </is>
      </c>
      <c r="P471" t="inlineStr">
        <is>
          <t>否</t>
        </is>
      </c>
      <c r="Q471" t="inlineStr">
        <is>
          <t>支持认可</t>
        </is>
      </c>
      <c r="R471" t="inlineStr">
        <is>
          <t>具体执法对象</t>
        </is>
      </c>
      <c r="S471" t="n">
        <v>1</v>
      </c>
      <c r="T471" t="n">
        <v>1</v>
      </c>
      <c r="U471" t="n">
        <v>1</v>
      </c>
      <c r="V471" t="inlineStr">
        <is>
          <t>否</t>
        </is>
      </c>
      <c r="W471" t="inlineStr">
        <is>
          <t>是</t>
        </is>
      </c>
      <c r="X471" t="inlineStr">
        <is>
          <t>历史导入:新疆区州网页与视频号舆情监测_最终修正版.xlsx；来源类型:用户评论；复核:1；重复:否；待核实:否</t>
        </is>
      </c>
    </row>
    <row r="472">
      <c r="A472" t="inlineStr">
        <is>
          <t>hist-b06731212bbeec4e</t>
        </is>
      </c>
      <c r="B472" s="82" t="n">
        <v>46252.9403587963</v>
      </c>
      <c r="C472" s="82" t="n">
        <v>46216</v>
      </c>
      <c r="D472" t="inlineStr">
        <is>
          <t>B站</t>
        </is>
      </c>
      <c r="E472" t="inlineStr">
        <is>
          <t>知乎/B站/百度知道</t>
        </is>
      </c>
      <c r="F472" t="inlineStr">
        <is>
          <t>原始网页</t>
        </is>
      </c>
      <c r="G472" t="inlineStr">
        <is>
          <t>谁谓我无忧我忧谁人知</t>
        </is>
      </c>
      <c r="H472" t="inlineStr">
        <is>
          <t>用户就域外适用提出疑问。</t>
        </is>
      </c>
      <c r="I472" t="inlineStr">
        <is>
          <t>B站 2026-07-13</t>
        </is>
      </c>
      <c r="J472" t="inlineStr">
        <is>
          <t>全国</t>
        </is>
      </c>
      <c r="O472" t="inlineStr">
        <is>
          <t>中文</t>
        </is>
      </c>
      <c r="P472" t="inlineStr">
        <is>
          <t>否</t>
        </is>
      </c>
      <c r="Q472" t="inlineStr">
        <is>
          <t>咨询疑问</t>
        </is>
      </c>
      <c r="R472" t="inlineStr">
        <is>
          <t>第63条域外适用</t>
        </is>
      </c>
      <c r="S472" t="n">
        <v>1</v>
      </c>
      <c r="T472" t="n">
        <v>1</v>
      </c>
      <c r="U472" t="n">
        <v>1</v>
      </c>
      <c r="V472" t="inlineStr">
        <is>
          <t>否</t>
        </is>
      </c>
      <c r="W472" t="inlineStr">
        <is>
          <t>是</t>
        </is>
      </c>
      <c r="X472" t="inlineStr">
        <is>
          <t>历史导入:新疆区州网页与视频号舆情监测_最终修正版.xlsx；来源类型:用户评论；复核:已复核：用户就第63条域外适用提出疑问，属咨询类；态度分类无误。复核人：编号九负责人；复核时间：2026-08-06；重复:否；待核实:否</t>
        </is>
      </c>
    </row>
    <row r="473">
      <c r="A473" t="inlineStr">
        <is>
          <t>hist-ba68fe5d3550997b</t>
        </is>
      </c>
      <c r="B473" s="82" t="n">
        <v>46252.9403587963</v>
      </c>
      <c r="C473" s="82" t="n">
        <v>46215</v>
      </c>
      <c r="D473" t="inlineStr">
        <is>
          <t>B站</t>
        </is>
      </c>
      <c r="E473" t="inlineStr">
        <is>
          <t>知乎/B站/百度知道</t>
        </is>
      </c>
      <c r="F473" t="inlineStr">
        <is>
          <t>原始网页</t>
        </is>
      </c>
      <c r="G473" t="inlineStr">
        <is>
          <t>咸鱼弟弟dd</t>
        </is>
      </c>
      <c r="H473" t="inlineStr">
        <is>
          <t>从描述来看感觉有点激进，希望后面的司法解释能够做得好，尽量瞄准正确的对象</t>
        </is>
      </c>
      <c r="I473" t="inlineStr">
        <is>
          <t>母视频具体链接待补（原文件仅留存“B站 2026-07-12”）</t>
        </is>
      </c>
      <c r="J473" t="inlineStr">
        <is>
          <t>全国</t>
        </is>
      </c>
      <c r="O473" t="inlineStr">
        <is>
          <t>中文</t>
        </is>
      </c>
      <c r="P473" t="inlineStr">
        <is>
          <t>否</t>
        </is>
      </c>
      <c r="Q473" t="inlineStr">
        <is>
          <t>担忧影响</t>
        </is>
      </c>
      <c r="R473" t="inlineStr">
        <is>
          <t>法律实施与执行</t>
        </is>
      </c>
      <c r="S473" t="n">
        <v>1</v>
      </c>
      <c r="T473" t="n">
        <v>1</v>
      </c>
      <c r="U473" t="n">
        <v>1</v>
      </c>
      <c r="V473" t="inlineStr">
        <is>
          <t>否</t>
        </is>
      </c>
      <c r="W473" t="inlineStr">
        <is>
          <t>是</t>
        </is>
      </c>
      <c r="X473" t="inlineStr">
        <is>
          <t>历史导入:新疆区州网页与视频号舆情监测_最终修正版.xlsx；来源类型:用户评论；复核:已根据原评论文本复核：该评论明确针对本法执行及后续司法解释表达担忧，应恢复计入公众统计。当前文件未保留母视频具体URL和截图，需补证。；重复:否；待核实:是</t>
        </is>
      </c>
    </row>
    <row r="474">
      <c r="A474" t="inlineStr">
        <is>
          <t>hist-ac1b2334872b1ece</t>
        </is>
      </c>
      <c r="B474" s="82" t="n">
        <v>46252.9403587963</v>
      </c>
      <c r="C474" s="82" t="n">
        <v>46236</v>
      </c>
      <c r="D474" t="inlineStr">
        <is>
          <t>小红书</t>
        </is>
      </c>
      <c r="E474" t="inlineStr">
        <is>
          <t>小红书/豆瓣等平台</t>
        </is>
      </c>
      <c r="F474" t="inlineStr">
        <is>
          <t>原始网页</t>
        </is>
      </c>
      <c r="G474" t="inlineStr">
        <is>
          <t>momo</t>
        </is>
      </c>
      <c r="H474" t="inlineStr">
        <is>
          <t>要警惕近年来伊斯兰教在国内的野蛮生长</t>
        </is>
      </c>
      <c r="I474" t="inlineStr">
        <is>
          <t>母帖具体链接待补（原文件仅留存“小红书 2026-08-02”）</t>
        </is>
      </c>
      <c r="J474" t="inlineStr">
        <is>
          <t>贵州</t>
        </is>
      </c>
      <c r="L474" t="inlineStr">
        <is>
          <t>贵州</t>
        </is>
      </c>
      <c r="O474" t="inlineStr">
        <is>
          <t>中文</t>
        </is>
      </c>
      <c r="P474" t="inlineStr">
        <is>
          <t>否</t>
        </is>
      </c>
      <c r="Q474" t="inlineStr">
        <is>
          <t>中性信息</t>
        </is>
      </c>
      <c r="R474" t="inlineStr">
        <is>
          <t>宗教与民族团结</t>
        </is>
      </c>
      <c r="S474" t="n">
        <v>1</v>
      </c>
      <c r="T474" t="n">
        <v>1</v>
      </c>
      <c r="U474" t="n">
        <v>1</v>
      </c>
      <c r="V474" t="inlineStr">
        <is>
          <t>否</t>
        </is>
      </c>
      <c r="W474" t="inlineStr">
        <is>
          <t>是</t>
        </is>
      </c>
      <c r="X474" t="inlineStr">
        <is>
          <t>历史导入:新疆区州网页与视频号舆情监测_最终修正版.xlsx；来源类型:用户评论；复核:已复核：批评对象为宗教极端化现象，非直接批评本法；不再归为明确批评，恢复为中性信息。当前文件未留存母帖具体URL和截图，需补证。；重复:否；待核实:是</t>
        </is>
      </c>
    </row>
    <row r="475">
      <c r="A475" t="inlineStr">
        <is>
          <t>hist-9e572f316920df11</t>
        </is>
      </c>
      <c r="B475" s="82" t="n">
        <v>46252.9403587963</v>
      </c>
      <c r="C475" s="82" t="n">
        <v>46206</v>
      </c>
      <c r="D475" t="inlineStr">
        <is>
          <t>小红书</t>
        </is>
      </c>
      <c r="E475" t="inlineStr">
        <is>
          <t>小红书/豆瓣等平台</t>
        </is>
      </c>
      <c r="F475" t="inlineStr">
        <is>
          <t>原始网页</t>
        </is>
      </c>
      <c r="G475" t="inlineStr">
        <is>
          <t>batur</t>
        </is>
      </c>
      <c r="H475" t="inlineStr">
        <is>
          <t>中华人民共和国民族团结进步促进法内容，第十一条、十二条、四十条。</t>
        </is>
      </c>
      <c r="I475" t="inlineStr">
        <is>
          <t>https://www.xiaohongshu.com/explore/6a474dfa0000000008000c3d</t>
        </is>
      </c>
      <c r="J475" t="inlineStr">
        <is>
          <t>新疆特克斯</t>
        </is>
      </c>
      <c r="L475" t="inlineStr">
        <is>
          <t>新疆</t>
        </is>
      </c>
      <c r="O475" t="inlineStr">
        <is>
          <t>中文</t>
        </is>
      </c>
      <c r="P475" t="inlineStr">
        <is>
          <t>否</t>
        </is>
      </c>
      <c r="Q475" t="inlineStr">
        <is>
          <t>支持认可</t>
        </is>
      </c>
      <c r="R475" t="inlineStr">
        <is>
          <t>法律施行与总体解读</t>
        </is>
      </c>
      <c r="S475" t="n">
        <v>9</v>
      </c>
      <c r="T475" t="n">
        <v>0</v>
      </c>
      <c r="U475" t="n">
        <v>0</v>
      </c>
      <c r="V475" t="inlineStr">
        <is>
          <t>否</t>
        </is>
      </c>
      <c r="W475" t="inlineStr">
        <is>
          <t>是</t>
        </is>
      </c>
      <c r="X475" t="inlineStr">
        <is>
          <t>历史导入:新疆地区及全国性平台补充_民族团结进步促进法舆情监测_最终修正版.xlsx；来源类型:个人原创观点；重复:否；待核实:否</t>
        </is>
      </c>
    </row>
    <row r="476">
      <c r="A476" t="inlineStr">
        <is>
          <t>hist-f2db109eae66cbea</t>
        </is>
      </c>
      <c r="B476" s="82" t="n">
        <v>46252.9403587963</v>
      </c>
      <c r="C476" s="82" t="n">
        <v>46233</v>
      </c>
      <c r="D476" t="inlineStr">
        <is>
          <t>小红书</t>
        </is>
      </c>
      <c r="E476" t="inlineStr">
        <is>
          <t>小红书/豆瓣等平台</t>
        </is>
      </c>
      <c r="F476" t="inlineStr">
        <is>
          <t>原始网页</t>
        </is>
      </c>
      <c r="G476" t="inlineStr">
        <is>
          <t>水理</t>
        </is>
      </c>
      <c r="H476" t="inlineStr">
        <is>
          <t>走进国内首座石榴专题博物馆，一下子读懂“各民族要像石榴籽一样紧紧抱在一起”的深刻含义。《中华人民共和国民族团结进步促进法》正式施行，以法治力量守护民族团结，让各族群众交往交流交融有了坚实法律保障。</t>
        </is>
      </c>
      <c r="I476" t="inlineStr">
        <is>
          <t>https://www.xiaohongshu.com/discovery/item/6a6aadbf000000001d00c774?source=webshare&amp;xhsshare=pc_web&amp;xsec_token=ABF7hxHjbDq9EkaSvJIzTC2IESHqjIu9DiBX31tmiezP4=&amp;xsec_source=pc_share</t>
        </is>
      </c>
      <c r="J476" t="inlineStr">
        <is>
          <t>全国</t>
        </is>
      </c>
      <c r="O476" t="inlineStr">
        <is>
          <t>中文</t>
        </is>
      </c>
      <c r="P476" t="inlineStr">
        <is>
          <t>否</t>
        </is>
      </c>
      <c r="Q476" t="inlineStr">
        <is>
          <t>支持认可</t>
        </is>
      </c>
      <c r="R476" t="inlineStr">
        <is>
          <t>法律施行与总体解读</t>
        </is>
      </c>
      <c r="S476" t="n">
        <v>3</v>
      </c>
      <c r="T476" t="n">
        <v>0</v>
      </c>
      <c r="U476" t="n">
        <v>0</v>
      </c>
      <c r="V476" t="inlineStr">
        <is>
          <t>否</t>
        </is>
      </c>
      <c r="W476" t="inlineStr">
        <is>
          <t>是</t>
        </is>
      </c>
      <c r="X476" t="inlineStr">
        <is>
          <t>历史导入:新疆地区及全国性平台补充_民族团结进步促进法舆情监测_最终修正版.xlsx；来源类型:个人原创观点；重复:否；待核实:否</t>
        </is>
      </c>
    </row>
    <row r="477">
      <c r="A477" t="inlineStr">
        <is>
          <t>hist-9dc4fe30c2ec86a5</t>
        </is>
      </c>
      <c r="B477" s="82" t="n">
        <v>46252.9403587963</v>
      </c>
      <c r="D477" t="inlineStr">
        <is>
          <t>小红书</t>
        </is>
      </c>
      <c r="E477" t="inlineStr">
        <is>
          <t>小红书/豆瓣等平台</t>
        </is>
      </c>
      <c r="F477" t="inlineStr">
        <is>
          <t>原始网页</t>
        </is>
      </c>
      <c r="G477" t="inlineStr">
        <is>
          <t>春暖花开，勃勃生机</t>
        </is>
      </c>
      <c r="H477" t="inlineStr">
        <is>
          <t>“《中华人民共和国民族团结进步促进法》第五十九条……自2026年7月1日实施”</t>
        </is>
      </c>
      <c r="I477" t="inlineStr">
        <is>
          <t>https://www.xiaohongshu.com/discovery/item/6a6ff31500000000250052ff?source=webshare&amp;xhsshare=pc_web&amp;xsec_token=AB7cfktanIeUtbjD-apJmUR5wQ6VCuSPx9tmHvuHRAo2E=&amp;xsec_source=pc_share</t>
        </is>
      </c>
      <c r="J477" t="inlineStr">
        <is>
          <t>全国</t>
        </is>
      </c>
      <c r="O477" t="inlineStr">
        <is>
          <t>中文</t>
        </is>
      </c>
      <c r="P477" t="inlineStr">
        <is>
          <t>否</t>
        </is>
      </c>
      <c r="Q477" t="inlineStr">
        <is>
          <t>中性信息</t>
        </is>
      </c>
      <c r="R477" t="inlineStr">
        <is>
          <t>法律施行与总体解读</t>
        </is>
      </c>
      <c r="S477" t="n">
        <v>5</v>
      </c>
      <c r="T477" t="n">
        <v>8</v>
      </c>
      <c r="U477" t="n">
        <v>0</v>
      </c>
      <c r="V477" t="inlineStr">
        <is>
          <t>否</t>
        </is>
      </c>
      <c r="W477" t="inlineStr">
        <is>
          <t>否</t>
        </is>
      </c>
      <c r="X477" t="inlineStr">
        <is>
          <t>历史导入:新疆地区及全国性平台补充_民族团结进步促进法舆情监测_最终修正版.xlsx；来源类型:个人原创观点；重复:否；待核实:否</t>
        </is>
      </c>
    </row>
    <row r="478">
      <c r="A478" t="inlineStr">
        <is>
          <t>hist-4ed12b303abceedc</t>
        </is>
      </c>
      <c r="B478" s="82" t="n">
        <v>46252.9403587963</v>
      </c>
      <c r="D478" t="inlineStr">
        <is>
          <t>小红书</t>
        </is>
      </c>
      <c r="E478" t="inlineStr">
        <is>
          <t>小红书/豆瓣等平台</t>
        </is>
      </c>
      <c r="F478" t="inlineStr">
        <is>
          <t>原始网页</t>
        </is>
      </c>
      <c r="G478" t="inlineStr">
        <is>
          <t>小红</t>
        </is>
      </c>
      <c r="H478" t="inlineStr">
        <is>
          <t>“考公考编汉族减分算不算违法”</t>
        </is>
      </c>
      <c r="I478" t="inlineStr">
        <is>
          <t>https://www.xiaohongshu.com/discovery/item/6a6ff31500000000250052ff?source=webshare&amp;xhsshare=pc_web&amp;xsec_token=AB7cfktanIeUtbjD-apJmUR5wQ6VCuSPx9tmHvuHRAo2E=&amp;xsec_source=pc_share</t>
        </is>
      </c>
      <c r="J478" t="inlineStr">
        <is>
          <t>全国</t>
        </is>
      </c>
      <c r="O478" t="inlineStr">
        <is>
          <t>中文</t>
        </is>
      </c>
      <c r="P478" t="inlineStr">
        <is>
          <t>否</t>
        </is>
      </c>
      <c r="Q478" t="inlineStr">
        <is>
          <t>咨询疑问</t>
        </is>
      </c>
      <c r="R478" t="inlineStr">
        <is>
          <t>权利保障与公平正义</t>
        </is>
      </c>
      <c r="S478" t="n">
        <v>14</v>
      </c>
      <c r="T478" t="n">
        <v>0</v>
      </c>
      <c r="U478" t="n">
        <v>0</v>
      </c>
      <c r="V478" t="inlineStr">
        <is>
          <t>否</t>
        </is>
      </c>
      <c r="W478" t="inlineStr">
        <is>
          <t>是</t>
        </is>
      </c>
      <c r="X478" t="inlineStr">
        <is>
          <t>历史导入:新疆地区及全国性平台补充_民族团结进步促进法舆情监测_最终修正版.xlsx；来源类型:用户评论或留言；重复:否；待核实:否</t>
        </is>
      </c>
    </row>
    <row r="479">
      <c r="A479" t="inlineStr">
        <is>
          <t>hist-6660c50ef7a9415e</t>
        </is>
      </c>
      <c r="B479" s="82" t="n">
        <v>46252.9403587963</v>
      </c>
      <c r="D479" t="inlineStr">
        <is>
          <t>小红书</t>
        </is>
      </c>
      <c r="E479" t="inlineStr">
        <is>
          <t>小红书/豆瓣等平台</t>
        </is>
      </c>
      <c r="F479" t="inlineStr">
        <is>
          <t>原始网页</t>
        </is>
      </c>
      <c r="G479" t="inlineStr">
        <is>
          <t>小红薯652006B2</t>
        </is>
      </c>
      <c r="H479" t="inlineStr">
        <is>
          <t>“少民的特权”取消了吗</t>
        </is>
      </c>
      <c r="I479" t="inlineStr">
        <is>
          <t>https://www.xiaohongshu.com/discovery/item/6a6ff31500000000250052ff?source=webshare&amp;xhsshare=pc_web&amp;xsec_token=AB7cfktanIeUtbjD-apJmUR5wQ6VCuSPx9tmHvuHRAo2E=&amp;xsec_source=pc_share</t>
        </is>
      </c>
      <c r="J479" t="inlineStr">
        <is>
          <t>全国</t>
        </is>
      </c>
      <c r="O479" t="inlineStr">
        <is>
          <t>中文</t>
        </is>
      </c>
      <c r="P479" t="inlineStr">
        <is>
          <t>否</t>
        </is>
      </c>
      <c r="Q479" t="inlineStr">
        <is>
          <t>公平争议</t>
        </is>
      </c>
      <c r="R479" t="inlineStr">
        <is>
          <t>权利保障与公平正义</t>
        </is>
      </c>
      <c r="S479" t="n">
        <v>19</v>
      </c>
      <c r="T479" t="n">
        <v>0</v>
      </c>
      <c r="U479" t="n">
        <v>0</v>
      </c>
      <c r="V479" t="inlineStr">
        <is>
          <t>否</t>
        </is>
      </c>
      <c r="W479" t="inlineStr">
        <is>
          <t>是</t>
        </is>
      </c>
      <c r="X479" t="inlineStr">
        <is>
          <t>历史导入:新疆地区及全国性平台补充_民族团结进步促进法舆情监测_最终修正版.xlsx；来源类型:用户评论或留言；复核:已复核：该评论虽以提问形式表达，但核心是质疑少数民族优待政策的公平性，因此维持“公平争议”分类。；重复:否；待核实:否</t>
        </is>
      </c>
    </row>
    <row r="480">
      <c r="A480" t="inlineStr">
        <is>
          <t>hist-cd161177b39a778f</t>
        </is>
      </c>
      <c r="B480" s="82" t="n">
        <v>46252.9403587963</v>
      </c>
      <c r="D480" t="inlineStr">
        <is>
          <t>小红书</t>
        </is>
      </c>
      <c r="E480" t="inlineStr">
        <is>
          <t>小红书/豆瓣等平台</t>
        </is>
      </c>
      <c r="F480" t="inlineStr">
        <is>
          <t>原始网页</t>
        </is>
      </c>
      <c r="G480" t="inlineStr">
        <is>
          <t>Phantom Panzer</t>
        </is>
      </c>
      <c r="H480" t="inlineStr">
        <is>
          <t>“这个只有汉族受到歧视的时候才会被执行”</t>
        </is>
      </c>
      <c r="I480" t="inlineStr">
        <is>
          <t>https://www.xiaohongshu.com/discovery/item/6a6ff31500000000250052ff?source=webshare&amp;xhsshare=pc_web&amp;xsec_token=AB7cfktanIeUtbjD-apJmUR5wQ6VCuSPx9tmHvuHRAo2E=&amp;xsec_source=pc_share</t>
        </is>
      </c>
      <c r="J480" t="inlineStr">
        <is>
          <t>全国</t>
        </is>
      </c>
      <c r="O480" t="inlineStr">
        <is>
          <t>中文</t>
        </is>
      </c>
      <c r="P480" t="inlineStr">
        <is>
          <t>否</t>
        </is>
      </c>
      <c r="Q480" t="inlineStr">
        <is>
          <t>明确批评</t>
        </is>
      </c>
      <c r="R480" t="inlineStr">
        <is>
          <t>权利保障与公平正义</t>
        </is>
      </c>
      <c r="S480" t="n">
        <v>9</v>
      </c>
      <c r="T480" t="n">
        <v>0</v>
      </c>
      <c r="U480" t="n">
        <v>0</v>
      </c>
      <c r="V480" t="inlineStr">
        <is>
          <t>否</t>
        </is>
      </c>
      <c r="W480" t="inlineStr">
        <is>
          <t>是</t>
        </is>
      </c>
      <c r="X480" t="inlineStr">
        <is>
          <t>历史导入:新疆地区及全国性平台补充_民族团结进步促进法舆情监测_最终修正版.xlsx；来源类型:用户评论或留言；复核:已核实；重复:否；待核实:否</t>
        </is>
      </c>
    </row>
    <row r="481">
      <c r="A481" t="inlineStr">
        <is>
          <t>hist-93fafb37931336e2</t>
        </is>
      </c>
      <c r="B481" s="82" t="n">
        <v>46252.9403587963</v>
      </c>
      <c r="D481" t="inlineStr">
        <is>
          <t>小红书</t>
        </is>
      </c>
      <c r="E481" t="inlineStr">
        <is>
          <t>小红书/豆瓣等平台</t>
        </is>
      </c>
      <c r="F481" t="inlineStr">
        <is>
          <t>原始网页</t>
        </is>
      </c>
      <c r="G481" t="inlineStr">
        <is>
          <t>小红薯64AD0C43</t>
        </is>
      </c>
      <c r="H481" t="inlineStr">
        <is>
          <t>“热烈欢迎，确实应该这么做，但是不能双重标准，要一视同仁，同一套标准”</t>
        </is>
      </c>
      <c r="I481" t="inlineStr">
        <is>
          <t>https://www.xiaohongshu.com/discovery/item/6a6ff31500000000250052ff?source=webshare&amp;xhsshare=pc_web&amp;xsec_token=AB7cfktanIeUtbjD-apJmUR5wQ6VCuSPx9tmHvuHRAo2E=&amp;xsec_source=pc_share</t>
        </is>
      </c>
      <c r="J481" t="inlineStr">
        <is>
          <t>全国</t>
        </is>
      </c>
      <c r="O481" t="inlineStr">
        <is>
          <t>中文</t>
        </is>
      </c>
      <c r="P481" t="inlineStr">
        <is>
          <t>否</t>
        </is>
      </c>
      <c r="Q481" t="inlineStr">
        <is>
          <t>担忧影响</t>
        </is>
      </c>
      <c r="R481" t="inlineStr">
        <is>
          <t>权利保障与公平正义</t>
        </is>
      </c>
      <c r="S481" t="n">
        <v>1</v>
      </c>
      <c r="T481" t="n">
        <v>0</v>
      </c>
      <c r="U481" t="n">
        <v>0</v>
      </c>
      <c r="V481" t="inlineStr">
        <is>
          <t>否</t>
        </is>
      </c>
      <c r="W481" t="inlineStr">
        <is>
          <t>是</t>
        </is>
      </c>
      <c r="X481" t="inlineStr">
        <is>
          <t>历史导入:新疆地区及全国性平台补充_民族团结进步促进法舆情监测_最终修正版.xlsx；来源类型:用户评论或留言；复核:已核实；重复:否；待核实:否</t>
        </is>
      </c>
    </row>
    <row r="482">
      <c r="A482" t="inlineStr">
        <is>
          <t>hist-78cc4beca7fbbc5a</t>
        </is>
      </c>
      <c r="B482" s="82" t="n">
        <v>46252.9403587963</v>
      </c>
      <c r="D482" t="inlineStr">
        <is>
          <t>小红书</t>
        </is>
      </c>
      <c r="E482" t="inlineStr">
        <is>
          <t>小红书/豆瓣等平台</t>
        </is>
      </c>
      <c r="F482" t="inlineStr">
        <is>
          <t>原始网页</t>
        </is>
      </c>
      <c r="G482" t="inlineStr">
        <is>
          <t>shaou</t>
        </is>
      </c>
      <c r="H482" t="inlineStr">
        <is>
          <t>“汉族被歧视有人管吗”</t>
        </is>
      </c>
      <c r="I482" t="inlineStr">
        <is>
          <t>https://www.xiaohongshu.com/discovery/item/6a6ff31500000000250052ff?source=webshare&amp;xhsshare=pc_web&amp;xsec_token=AB7cfktanIeUtbjD-apJmUR5wQ6VCuSPx9tmHvuHRAo2E=&amp;xsec_source=pc_share</t>
        </is>
      </c>
      <c r="J482" t="inlineStr">
        <is>
          <t>全国</t>
        </is>
      </c>
      <c r="O482" t="inlineStr">
        <is>
          <t>中文</t>
        </is>
      </c>
      <c r="P482" t="inlineStr">
        <is>
          <t>否</t>
        </is>
      </c>
      <c r="Q482" t="inlineStr">
        <is>
          <t>公平争议</t>
        </is>
      </c>
      <c r="R482" t="inlineStr">
        <is>
          <t>权利保障与公平正义</t>
        </is>
      </c>
      <c r="S482" t="n">
        <v>7</v>
      </c>
      <c r="T482" t="n">
        <v>0</v>
      </c>
      <c r="U482" t="n">
        <v>0</v>
      </c>
      <c r="V482" t="inlineStr">
        <is>
          <t>否</t>
        </is>
      </c>
      <c r="W482" t="inlineStr">
        <is>
          <t>是</t>
        </is>
      </c>
      <c r="X482" t="inlineStr">
        <is>
          <t>历史导入:新疆地区及全国性平台补充_民族团结进步促进法舆情监测_最终修正版.xlsx；来源类型:用户评论或留言；复核:已核实；重复:否；待核实:否</t>
        </is>
      </c>
    </row>
    <row r="483">
      <c r="A483" t="inlineStr">
        <is>
          <t>hist-3a9d3543a83e4dbc</t>
        </is>
      </c>
      <c r="B483" s="82" t="n">
        <v>46252.9403587963</v>
      </c>
      <c r="D483" t="inlineStr">
        <is>
          <t>小红书</t>
        </is>
      </c>
      <c r="E483" t="inlineStr">
        <is>
          <t>小红书/豆瓣等平台</t>
        </is>
      </c>
      <c r="F483" t="inlineStr">
        <is>
          <t>原始网页</t>
        </is>
      </c>
      <c r="G483" t="inlineStr">
        <is>
          <t>辉</t>
        </is>
      </c>
      <c r="H483" t="inlineStr">
        <is>
          <t>“这个高考只有汉族不得加分是不是歧视”</t>
        </is>
      </c>
      <c r="I483" t="inlineStr">
        <is>
          <t>https://www.xiaohongshu.com/discovery/item/6a6ff31500000000250052ff?source=webshare&amp;xhsshare=pc_web&amp;xsec_token=AB7cfktanIeUtbjD-apJmUR5wQ6VCuSPx9tmHvuHRAo2E=&amp;xsec_source=pc_share</t>
        </is>
      </c>
      <c r="J483" t="inlineStr">
        <is>
          <t>全国</t>
        </is>
      </c>
      <c r="O483" t="inlineStr">
        <is>
          <t>中文</t>
        </is>
      </c>
      <c r="P483" t="inlineStr">
        <is>
          <t>否</t>
        </is>
      </c>
      <c r="Q483" t="inlineStr">
        <is>
          <t>公平争议</t>
        </is>
      </c>
      <c r="R483" t="inlineStr">
        <is>
          <t>权利保障与公平正义</t>
        </is>
      </c>
      <c r="S483" t="n">
        <v>12</v>
      </c>
      <c r="T483" t="n">
        <v>1</v>
      </c>
      <c r="U483" t="n">
        <v>0</v>
      </c>
      <c r="V483" t="inlineStr">
        <is>
          <t>否</t>
        </is>
      </c>
      <c r="W483" t="inlineStr">
        <is>
          <t>是</t>
        </is>
      </c>
      <c r="X483" t="inlineStr">
        <is>
          <t>历史导入:新疆地区及全国性平台补充_民族团结进步促进法舆情监测_最终修正版.xlsx；来源类型:用户评论或留言；复核:已核实；重复:否；待核实:否</t>
        </is>
      </c>
    </row>
    <row r="484">
      <c r="A484" t="inlineStr">
        <is>
          <t>hist-7143c3e91dcb7ed3</t>
        </is>
      </c>
      <c r="B484" s="82" t="n">
        <v>46252.9403587963</v>
      </c>
      <c r="D484" t="inlineStr">
        <is>
          <t>小红书</t>
        </is>
      </c>
      <c r="E484" t="inlineStr">
        <is>
          <t>小红书/豆瓣等平台</t>
        </is>
      </c>
      <c r="F484" t="inlineStr">
        <is>
          <t>原始网页</t>
        </is>
      </c>
      <c r="G484" t="inlineStr">
        <is>
          <t>若出其里</t>
        </is>
      </c>
      <c r="H484" t="inlineStr">
        <is>
          <t>“解决歧视的方法很简单，所有发文凭的学校，对少民的录取标准跟对汉族的录取标准一模一样就行。这样的方法也可以用来解决洋垃圾的问题。”</t>
        </is>
      </c>
      <c r="I484" t="inlineStr">
        <is>
          <t>https://www.xiaohongshu.com/discovery/item/6a6ff31500000000250052ff?source=webshare&amp;xhsshare=pc_web&amp;xsec_token=AB7cfktanIeUtbjD-apJmUR5wQ6VCuSPx9tmHvuHRAo2E=&amp;xsec_source=pc_share</t>
        </is>
      </c>
      <c r="J484" t="inlineStr">
        <is>
          <t>全国</t>
        </is>
      </c>
      <c r="O484" t="inlineStr">
        <is>
          <t>中文</t>
        </is>
      </c>
      <c r="P484" t="inlineStr">
        <is>
          <t>否</t>
        </is>
      </c>
      <c r="Q484" t="inlineStr">
        <is>
          <t>公平争议</t>
        </is>
      </c>
      <c r="R484" t="inlineStr">
        <is>
          <t>权利保障与公平正义</t>
        </is>
      </c>
      <c r="S484" t="n">
        <v>2</v>
      </c>
      <c r="T484" t="n">
        <v>0</v>
      </c>
      <c r="U484" t="n">
        <v>0</v>
      </c>
      <c r="V484" t="inlineStr">
        <is>
          <t>否</t>
        </is>
      </c>
      <c r="W484" t="inlineStr">
        <is>
          <t>是</t>
        </is>
      </c>
      <c r="X484" t="inlineStr">
        <is>
          <t>历史导入:新疆地区及全国性平台补充_民族团结进步促进法舆情监测_最终修正版.xlsx；来源类型:用户评论或留言；复核:已复核：该评论主张少数民族与汉族采用一致的录取标准，核心是对民族教育优惠政策公平性的争议，并非对《民族团结进步促进法》本身的明确批评，因此调整为“公平争议”。；重复:否；待核实:否</t>
        </is>
      </c>
    </row>
    <row r="485">
      <c r="A485" t="inlineStr">
        <is>
          <t>hist-9c6aea0afc5150b8</t>
        </is>
      </c>
      <c r="B485" s="82" t="n">
        <v>46252.9403587963</v>
      </c>
      <c r="D485" t="inlineStr">
        <is>
          <t>小红书</t>
        </is>
      </c>
      <c r="E485" t="inlineStr">
        <is>
          <t>小红书/豆瓣等平台</t>
        </is>
      </c>
      <c r="F485" t="inlineStr">
        <is>
          <t>原始网页</t>
        </is>
      </c>
      <c r="G485" t="inlineStr">
        <is>
          <t>早点上岸</t>
        </is>
      </c>
      <c r="H485" t="inlineStr">
        <is>
          <t>“《中华人民共和国民族团结进步促进法》……2026年3月12日通过，2026年7月1日起施行。”</t>
        </is>
      </c>
      <c r="I485" t="inlineStr">
        <is>
          <t>https://www.xiaohongshu.com/discovery/item/6a5f557e0000000010026e8d?source=webshare&amp;xhsshare=pc_web&amp;xsec_token=ABcTh1eC2Ttcwmfg8dqcXXd-GHmaiqwOQ5gapC26fp3mE=&amp;xsec_source=pc_share</t>
        </is>
      </c>
      <c r="J485" t="inlineStr">
        <is>
          <t>全国</t>
        </is>
      </c>
      <c r="O485" t="inlineStr">
        <is>
          <t>中文</t>
        </is>
      </c>
      <c r="P485" t="inlineStr">
        <is>
          <t>否</t>
        </is>
      </c>
      <c r="Q485" t="inlineStr">
        <is>
          <t>中性信息</t>
        </is>
      </c>
      <c r="R485" t="inlineStr">
        <is>
          <t>法律施行与总体解读</t>
        </is>
      </c>
      <c r="S485" t="n">
        <v>28</v>
      </c>
      <c r="T485" t="n">
        <v>3</v>
      </c>
      <c r="U485" t="n">
        <v>0</v>
      </c>
      <c r="V485" t="inlineStr">
        <is>
          <t>否</t>
        </is>
      </c>
      <c r="W485" t="inlineStr">
        <is>
          <t>否</t>
        </is>
      </c>
      <c r="X485" t="inlineStr">
        <is>
          <t>历史导入:新疆地区及全国性平台补充_民族团结进步促进法舆情监测_最终修正版.xlsx；来源类型:个人原创观点；重复:否；待核实:否</t>
        </is>
      </c>
    </row>
    <row r="486">
      <c r="A486" t="inlineStr">
        <is>
          <t>hist-75d04a550be8f8e8</t>
        </is>
      </c>
      <c r="B486" s="82" t="n">
        <v>46252.9403587963</v>
      </c>
      <c r="D486" t="inlineStr">
        <is>
          <t>小红书</t>
        </is>
      </c>
      <c r="E486" t="inlineStr">
        <is>
          <t>小红书/豆瓣等平台</t>
        </is>
      </c>
      <c r="F486" t="inlineStr">
        <is>
          <t>原始网页</t>
        </is>
      </c>
      <c r="G486" t="inlineStr">
        <is>
          <t>小红薯5FF9CA91</t>
        </is>
      </c>
      <c r="H486" t="inlineStr">
        <is>
          <t>“民族团结不能靠歧视弱化侮辱损害漢族血脉文化来体现”</t>
        </is>
      </c>
      <c r="I486" t="inlineStr">
        <is>
          <t>https://www.xiaohongshu.com/discovery/item/6a5f557e0000000010026e8d?source=webshare&amp;xhsshare=pc_web&amp;xsec_token=ABcTh1eC2Ttcwmfg8dqcXXd-GHmaiqwOQ5gapC26fp3mE=&amp;xsec_source=pc_share</t>
        </is>
      </c>
      <c r="J486" t="inlineStr">
        <is>
          <t>全国</t>
        </is>
      </c>
      <c r="O486" t="inlineStr">
        <is>
          <t>中文</t>
        </is>
      </c>
      <c r="P486" t="inlineStr">
        <is>
          <t>否</t>
        </is>
      </c>
      <c r="Q486" t="inlineStr">
        <is>
          <t>公平争议</t>
        </is>
      </c>
      <c r="R486" t="inlineStr">
        <is>
          <t>权利保障与公平正义</t>
        </is>
      </c>
      <c r="S486" t="n">
        <v>1</v>
      </c>
      <c r="T486" t="n">
        <v>1</v>
      </c>
      <c r="U486" t="n">
        <v>0</v>
      </c>
      <c r="V486" t="inlineStr">
        <is>
          <t>否</t>
        </is>
      </c>
      <c r="W486" t="inlineStr">
        <is>
          <t>是</t>
        </is>
      </c>
      <c r="X486" t="inlineStr">
        <is>
          <t>历史导入:新疆地区及全国性平台补充_民族团结进步促进法舆情监测_最终修正版.xlsx；来源类型:用户评论或留言；复核:已核实；重复:否；待核实:否</t>
        </is>
      </c>
    </row>
    <row r="487">
      <c r="A487" t="inlineStr">
        <is>
          <t>hist-3139f42ae1bffa4b</t>
        </is>
      </c>
      <c r="B487" s="82" t="n">
        <v>46252.9403587963</v>
      </c>
      <c r="D487" t="inlineStr">
        <is>
          <t>小红书</t>
        </is>
      </c>
      <c r="E487" t="inlineStr">
        <is>
          <t>小红书/豆瓣等平台</t>
        </is>
      </c>
      <c r="F487" t="inlineStr">
        <is>
          <t>原始网页</t>
        </is>
      </c>
      <c r="G487" t="inlineStr">
        <is>
          <t>小红薯67F1440B</t>
        </is>
      </c>
      <c r="H487" t="inlineStr">
        <is>
          <t>“民族团结不能靠歧视弱化侮辱损害任何一个民族的血脉文化来体现”</t>
        </is>
      </c>
      <c r="I487" t="inlineStr">
        <is>
          <t>https://www.xiaohongshu.com/discovery/item/6a5f557e0000000010026e8d?source=webshare&amp;xhsshare=pc_web&amp;xsec_token=ABcTh1eC2Ttcwmfg8dqcXXd-GHmaiqwOQ5gapC26fp3mE=&amp;xsec_source=pc_share</t>
        </is>
      </c>
      <c r="J487" t="inlineStr">
        <is>
          <t>全国</t>
        </is>
      </c>
      <c r="O487" t="inlineStr">
        <is>
          <t>中文</t>
        </is>
      </c>
      <c r="P487" t="inlineStr">
        <is>
          <t>否</t>
        </is>
      </c>
      <c r="Q487" t="inlineStr">
        <is>
          <t>担忧影响</t>
        </is>
      </c>
      <c r="R487" t="inlineStr">
        <is>
          <t>权利保障与公平正义</t>
        </is>
      </c>
      <c r="S487" t="n">
        <v>1</v>
      </c>
      <c r="T487" t="n">
        <v>0</v>
      </c>
      <c r="U487" t="n">
        <v>0</v>
      </c>
      <c r="V487" t="inlineStr">
        <is>
          <t>否</t>
        </is>
      </c>
      <c r="W487" t="inlineStr">
        <is>
          <t>是</t>
        </is>
      </c>
      <c r="X487" t="inlineStr">
        <is>
          <t>历史导入:新疆地区及全国性平台补充_民族团结进步促进法舆情监测_最终修正版.xlsx；来源类型:用户评论或留言；复核:已核实；重复:否；待核实:否</t>
        </is>
      </c>
    </row>
    <row r="488">
      <c r="A488" t="inlineStr">
        <is>
          <t>hist-59fd8d260e291914</t>
        </is>
      </c>
      <c r="B488" s="82" t="n">
        <v>46252.9403587963</v>
      </c>
      <c r="D488" t="inlineStr">
        <is>
          <t>小红书</t>
        </is>
      </c>
      <c r="E488" t="inlineStr">
        <is>
          <t>小红书/豆瓣等平台</t>
        </is>
      </c>
      <c r="F488" t="inlineStr">
        <is>
          <t>原始网页</t>
        </is>
      </c>
      <c r="G488" t="inlineStr">
        <is>
          <t>宝藏小城鹤岗</t>
        </is>
      </c>
      <c r="H488" t="inlineStr">
        <is>
          <t>“以艺传声讲普法 同心共筑民族情 《中华人民共和国民族团结进步促进法》专题文艺演出”</t>
        </is>
      </c>
      <c r="I488" t="inlineStr">
        <is>
          <t>https://www.xiaohongshu.com/discovery/item/6a5b5583000000001c00f59b?source=webshare&amp;xhsshare=pc_web&amp;xsec_token=ABqwCIW1mukshZumhjOM8MdWi8gW7J0wPwWrl0b2l0agU=&amp;xsec_source=pc_share</t>
        </is>
      </c>
      <c r="J488" t="inlineStr">
        <is>
          <t>黑龙江鹤岗</t>
        </is>
      </c>
      <c r="L488" t="inlineStr">
        <is>
          <t>黑龙江</t>
        </is>
      </c>
      <c r="O488" t="inlineStr">
        <is>
          <t>中文</t>
        </is>
      </c>
      <c r="P488" t="inlineStr">
        <is>
          <t>否</t>
        </is>
      </c>
      <c r="Q488" t="inlineStr">
        <is>
          <t>官方政策信息</t>
        </is>
      </c>
      <c r="R488" t="inlineStr">
        <is>
          <t>学习培训与宣传覆盖</t>
        </is>
      </c>
      <c r="S488" t="n">
        <v>2</v>
      </c>
      <c r="T488" t="n">
        <v>0</v>
      </c>
      <c r="U488" t="n">
        <v>0</v>
      </c>
      <c r="V488" t="inlineStr">
        <is>
          <t>否</t>
        </is>
      </c>
      <c r="W488" t="inlineStr">
        <is>
          <t>否</t>
        </is>
      </c>
      <c r="X488" t="inlineStr">
        <is>
          <t>历史导入:新疆地区及全国性平台补充_民族团结进步促进法舆情监测_最终修正版.xlsx；来源类型:媒体报道；重复:否；待核实:否</t>
        </is>
      </c>
    </row>
    <row r="489">
      <c r="A489" t="inlineStr">
        <is>
          <t>hist-3bb9162313c6c687</t>
        </is>
      </c>
      <c r="B489" s="82" t="n">
        <v>46252.9403587963</v>
      </c>
      <c r="D489" t="inlineStr">
        <is>
          <t>小红书</t>
        </is>
      </c>
      <c r="E489" t="inlineStr">
        <is>
          <t>小红书/豆瓣等平台</t>
        </is>
      </c>
      <c r="F489" t="inlineStr">
        <is>
          <t>原始网页</t>
        </is>
      </c>
      <c r="G489" t="inlineStr">
        <is>
          <t>南城青衫</t>
        </is>
      </c>
      <c r="H489" t="inlineStr">
        <is>
          <t>“非常支持各民族一律平等，拒绝歧视汉族，汉族也要补贴加分”</t>
        </is>
      </c>
      <c r="I489" t="inlineStr">
        <is>
          <t>https://www.xiaohongshu.com/discovery/item/6a57773b0000000007029718?source=webshare&amp;xhsshare=pc_web&amp;xsec_token=ABO0HdQ-f1lshq0gkHkeyR72_tL5y_8AWWpL_Xu5eyKDw=&amp;xsec_source=pc_share</t>
        </is>
      </c>
      <c r="J489" t="inlineStr">
        <is>
          <t>全国</t>
        </is>
      </c>
      <c r="O489" t="inlineStr">
        <is>
          <t>中文</t>
        </is>
      </c>
      <c r="P489" t="inlineStr">
        <is>
          <t>否</t>
        </is>
      </c>
      <c r="Q489" t="inlineStr">
        <is>
          <t>支持认可</t>
        </is>
      </c>
      <c r="R489" t="inlineStr">
        <is>
          <t>权利保障与公平正义</t>
        </is>
      </c>
      <c r="S489" t="n">
        <v>23</v>
      </c>
      <c r="T489" t="n">
        <v>4</v>
      </c>
      <c r="U489" t="n">
        <v>0</v>
      </c>
      <c r="V489" t="inlineStr">
        <is>
          <t>否</t>
        </is>
      </c>
      <c r="W489" t="inlineStr">
        <is>
          <t>是</t>
        </is>
      </c>
      <c r="X489" t="inlineStr">
        <is>
          <t>历史导入:新疆地区及全国性平台补充_民族团结进步促进法舆情监测_最终修正版.xlsx；来源类型:个人原创观点；重复:否；待核实:否</t>
        </is>
      </c>
    </row>
    <row r="490">
      <c r="A490" t="inlineStr">
        <is>
          <t>hist-b6c5e91562df9d45</t>
        </is>
      </c>
      <c r="B490" s="82" t="n">
        <v>46252.9403587963</v>
      </c>
      <c r="D490" t="inlineStr">
        <is>
          <t>小红书</t>
        </is>
      </c>
      <c r="E490" t="inlineStr">
        <is>
          <t>小红书/豆瓣等平台</t>
        </is>
      </c>
      <c r="F490" t="inlineStr">
        <is>
          <t>原始网页</t>
        </is>
      </c>
      <c r="G490" t="inlineStr">
        <is>
          <t>BabyQ苏梗</t>
        </is>
      </c>
      <c r="H490" t="inlineStr">
        <is>
          <t>“撤销特权”</t>
        </is>
      </c>
      <c r="I490" t="inlineStr">
        <is>
          <t>https://www.xiaohongshu.com/discovery/item/6a57773b0000000007029718?source=webshare&amp;xhsshare=pc_web&amp;xsec_token=ABO0HdQ-f1lshq0gkHkeyR72_tL5y_8AWWpL_Xu5eyKDw=&amp;xsec_source=pc_share</t>
        </is>
      </c>
      <c r="J490" t="inlineStr">
        <is>
          <t>全国</t>
        </is>
      </c>
      <c r="O490" t="inlineStr">
        <is>
          <t>中文</t>
        </is>
      </c>
      <c r="P490" t="inlineStr">
        <is>
          <t>否</t>
        </is>
      </c>
      <c r="Q490" t="inlineStr">
        <is>
          <t>公平争议</t>
        </is>
      </c>
      <c r="R490" t="inlineStr">
        <is>
          <t>权利保障与公平正义</t>
        </is>
      </c>
      <c r="S490" t="n">
        <v>0</v>
      </c>
      <c r="T490" t="n">
        <v>0</v>
      </c>
      <c r="U490" t="n">
        <v>0</v>
      </c>
      <c r="V490" t="inlineStr">
        <is>
          <t>否</t>
        </is>
      </c>
      <c r="W490" t="inlineStr">
        <is>
          <t>是</t>
        </is>
      </c>
      <c r="X490" t="inlineStr">
        <is>
          <t>历史导入:新疆地区及全国性平台补充_民族团结进步促进法舆情监测_最终修正版.xlsx；来源类型:用户评论或留言；复核:已核实；重复:否；待核实:否</t>
        </is>
      </c>
    </row>
    <row r="491">
      <c r="A491" t="inlineStr">
        <is>
          <t>hist-046f5028fc1bf06a</t>
        </is>
      </c>
      <c r="B491" s="82" t="n">
        <v>46252.9403587963</v>
      </c>
      <c r="D491" t="inlineStr">
        <is>
          <t>小红书</t>
        </is>
      </c>
      <c r="E491" t="inlineStr">
        <is>
          <t>小红书/豆瓣等平台</t>
        </is>
      </c>
      <c r="F491" t="inlineStr">
        <is>
          <t>原始网页</t>
        </is>
      </c>
      <c r="G491" t="inlineStr">
        <is>
          <t>Alex Li</t>
        </is>
      </c>
      <c r="H491" t="inlineStr">
        <is>
          <t>“谁加分是不是可以拿这本法律开庭了？”</t>
        </is>
      </c>
      <c r="I491" t="inlineStr">
        <is>
          <t>https://www.xiaohongshu.com/discovery/item/6a57773b0000000007029718?source=webshare&amp;xhsshare=pc_web&amp;xsec_token=ABO0HdQ-f1lshq0gkHkeyR72_tL5y_8AWWpL_Xu5eyKDw=&amp;xsec_source=pc_share</t>
        </is>
      </c>
      <c r="J491" t="inlineStr">
        <is>
          <t>全国</t>
        </is>
      </c>
      <c r="O491" t="inlineStr">
        <is>
          <t>中文</t>
        </is>
      </c>
      <c r="P491" t="inlineStr">
        <is>
          <t>否</t>
        </is>
      </c>
      <c r="Q491" t="inlineStr">
        <is>
          <t>咨询疑问</t>
        </is>
      </c>
      <c r="R491" t="inlineStr">
        <is>
          <t>权利保障与公平正义</t>
        </is>
      </c>
      <c r="S491" t="n">
        <v>1</v>
      </c>
      <c r="T491" t="n">
        <v>0</v>
      </c>
      <c r="U491" t="n">
        <v>0</v>
      </c>
      <c r="V491" t="inlineStr">
        <is>
          <t>否</t>
        </is>
      </c>
      <c r="W491" t="inlineStr">
        <is>
          <t>是</t>
        </is>
      </c>
      <c r="X491" t="inlineStr">
        <is>
          <t>历史导入:新疆地区及全国性平台补充_民族团结进步促进法舆情监测_最终修正版.xlsx；来源类型:用户评论或留言；重复:否；待核实:否</t>
        </is>
      </c>
    </row>
    <row r="492">
      <c r="A492" t="inlineStr">
        <is>
          <t>hist-9b5d1f9686360ba8</t>
        </is>
      </c>
      <c r="B492" s="82" t="n">
        <v>46252.9403587963</v>
      </c>
      <c r="D492" t="inlineStr">
        <is>
          <t>小红书</t>
        </is>
      </c>
      <c r="E492" t="inlineStr">
        <is>
          <t>小红书/豆瓣等平台</t>
        </is>
      </c>
      <c r="F492" t="inlineStr">
        <is>
          <t>原始网页</t>
        </is>
      </c>
      <c r="G492" t="inlineStr">
        <is>
          <t>ꁧꎔꁧꃨꄤꁍꐞꃭꄰ</t>
        </is>
      </c>
      <c r="H492" t="inlineStr">
        <is>
          <t>“《中华人民共和国民族团结进步促进法》……2026年7月1日，开始实施。”</t>
        </is>
      </c>
      <c r="I492" t="inlineStr">
        <is>
          <t>https://www.xiaohongshu.com/discovery/item/6a4e7084000000002100a386?source=webshare&amp;xhsshare=pc_web&amp;xsec_token=ABz6qb2CHQvn1G-9_9QO0SCI7xZUtGSQItUq-VQTLHEKM=&amp;xsec_source=pc_share</t>
        </is>
      </c>
      <c r="J492" t="inlineStr">
        <is>
          <t>全国</t>
        </is>
      </c>
      <c r="O492" t="inlineStr">
        <is>
          <t>中文</t>
        </is>
      </c>
      <c r="P492" t="inlineStr">
        <is>
          <t>否</t>
        </is>
      </c>
      <c r="Q492" t="inlineStr">
        <is>
          <t>中性信息</t>
        </is>
      </c>
      <c r="R492" t="inlineStr">
        <is>
          <t>法律施行与总体解读</t>
        </is>
      </c>
      <c r="S492" t="n">
        <v>7</v>
      </c>
      <c r="T492" t="n">
        <v>0</v>
      </c>
      <c r="U492" t="n">
        <v>0</v>
      </c>
      <c r="V492" t="inlineStr">
        <is>
          <t>否</t>
        </is>
      </c>
      <c r="W492" t="inlineStr">
        <is>
          <t>否</t>
        </is>
      </c>
      <c r="X492" t="inlineStr">
        <is>
          <t>历史导入:新疆地区及全国性平台补充_民族团结进步促进法舆情监测_最终修正版.xlsx；来源类型:个人原创观点；重复:否；待核实:否</t>
        </is>
      </c>
    </row>
    <row r="493">
      <c r="A493" t="inlineStr">
        <is>
          <t>hist-acd4b78acfb49eb5</t>
        </is>
      </c>
      <c r="B493" s="82" t="n">
        <v>46252.9403587963</v>
      </c>
      <c r="D493" t="inlineStr">
        <is>
          <t>小红书</t>
        </is>
      </c>
      <c r="E493" t="inlineStr">
        <is>
          <t>小红书/豆瓣等平台</t>
        </is>
      </c>
      <c r="F493" t="inlineStr">
        <is>
          <t>原始网页</t>
        </is>
      </c>
      <c r="G493" t="inlineStr">
        <is>
          <t>金印</t>
        </is>
      </c>
      <c r="H493" t="inlineStr">
        <is>
          <t>“《中华人民共和国民族团结进步促进法》，2026年7月1日起施行……国土不可分，国家不可乱，民族不可散，文明不可断……正确的国家观、历史观、民族观、文化观、宗教观……共居共学、共建共享、共事共乐”</t>
        </is>
      </c>
      <c r="I493" t="inlineStr">
        <is>
          <t>https://www.xiaohongshu.com/discovery/item/6a4d7e5200000000150252d8?source=webshare&amp;xhsshare=pc_web&amp;xsec_token=ABla8sZBIHtRnECp4vvRB-xG7VnpwdG_Em9UNUII25PUo=&amp;xsec_source=pc_share</t>
        </is>
      </c>
      <c r="J493" t="inlineStr">
        <is>
          <t>全国</t>
        </is>
      </c>
      <c r="O493" t="inlineStr">
        <is>
          <t>中文</t>
        </is>
      </c>
      <c r="P493" t="inlineStr">
        <is>
          <t>否</t>
        </is>
      </c>
      <c r="Q493" t="inlineStr">
        <is>
          <t>中性信息</t>
        </is>
      </c>
      <c r="R493" t="inlineStr">
        <is>
          <t>法律施行与总体解读</t>
        </is>
      </c>
      <c r="S493" t="n">
        <v>8</v>
      </c>
      <c r="T493" t="n">
        <v>0</v>
      </c>
      <c r="U493" t="n">
        <v>0</v>
      </c>
      <c r="V493" t="inlineStr">
        <is>
          <t>否</t>
        </is>
      </c>
      <c r="W493" t="inlineStr">
        <is>
          <t>否</t>
        </is>
      </c>
      <c r="X493" t="inlineStr">
        <is>
          <t>历史导入:新疆地区及全国性平台补充_民族团结进步促进法舆情监测_最终修正版.xlsx；来源类型:个人原创观点；重复:否；待核实:否</t>
        </is>
      </c>
    </row>
    <row r="494">
      <c r="A494" t="inlineStr">
        <is>
          <t>hist-d3343bb8432874e6</t>
        </is>
      </c>
      <c r="B494" s="82" t="n">
        <v>46252.9403587963</v>
      </c>
      <c r="D494" t="inlineStr">
        <is>
          <t>小红书</t>
        </is>
      </c>
      <c r="E494" t="inlineStr">
        <is>
          <t>小红书/豆瓣等平台</t>
        </is>
      </c>
      <c r="F494" t="inlineStr">
        <is>
          <t>原始网页</t>
        </is>
      </c>
      <c r="G494" t="inlineStr">
        <is>
          <t>星汉灿烂</t>
        </is>
      </c>
      <c r="H494" t="inlineStr">
        <is>
          <t>“2026年7月1日，《中华人民共和国民族团结进步促进法》正式施行。第六十三条明确了国家的态度：中国把西方长期以来对华搞分裂渗透、抹黑施压的行为，正式纳入可刑事追责的域外管辖范围。这不只是民族立法，更是中国国家安全的法治防线。”</t>
        </is>
      </c>
      <c r="I494" t="inlineStr">
        <is>
          <t>https://www.xiaohongshu.com/discovery/item/6a4c6ec3000000000f02af6d?source=webshare&amp;xhsshare=pc_web&amp;xsec_token=ABubPyDS0fcMM48-iRCvx2k3ZqYS4wG1N53F62OF68B9o=&amp;xsec_source=pc_share</t>
        </is>
      </c>
      <c r="J494" t="inlineStr">
        <is>
          <t>全国</t>
        </is>
      </c>
      <c r="O494" t="inlineStr">
        <is>
          <t>中文</t>
        </is>
      </c>
      <c r="P494" t="inlineStr">
        <is>
          <t>否</t>
        </is>
      </c>
      <c r="Q494" t="inlineStr">
        <is>
          <t>支持认可</t>
        </is>
      </c>
      <c r="R494" t="inlineStr">
        <is>
          <t>第63条域外适用与跨境影响</t>
        </is>
      </c>
      <c r="S494" t="n">
        <v>66</v>
      </c>
      <c r="T494" t="n">
        <v>4</v>
      </c>
      <c r="U494" t="n">
        <v>0</v>
      </c>
      <c r="V494" t="inlineStr">
        <is>
          <t>否</t>
        </is>
      </c>
      <c r="W494" t="inlineStr">
        <is>
          <t>是</t>
        </is>
      </c>
      <c r="X494" t="inlineStr">
        <is>
          <t>历史导入:新疆地区及全国性平台补充_民族团结进步促进法舆情监测_最终修正版.xlsx；来源类型:个人原创观点；重复:否；待核实:否</t>
        </is>
      </c>
    </row>
    <row r="495">
      <c r="A495" t="inlineStr">
        <is>
          <t>hist-30d14943f5b54fb7</t>
        </is>
      </c>
      <c r="B495" s="82" t="n">
        <v>46252.9403587963</v>
      </c>
      <c r="D495" t="inlineStr">
        <is>
          <t>小红书</t>
        </is>
      </c>
      <c r="E495" t="inlineStr">
        <is>
          <t>小红书/豆瓣等平台</t>
        </is>
      </c>
      <c r="F495" t="inlineStr">
        <is>
          <t>原始网页</t>
        </is>
      </c>
      <c r="G495" t="inlineStr">
        <is>
          <t>叶律略懂兵法</t>
        </is>
      </c>
      <c r="H495" t="inlineStr">
        <is>
          <t>含“大白话解读‘民族团结进步促进法’”</t>
        </is>
      </c>
      <c r="I495" t="inlineStr">
        <is>
          <t>https://www.xiaohongshu.com/discovery/item/6a4c824900000000200387ac?source=webshare&amp;xhsshare=pc_web&amp;xsec_token=ABubPyDS0fcMM48-iRCvx2k0Jsfyo5k8Vq4_bZK0dcGCM=&amp;xsec_source=pc_share</t>
        </is>
      </c>
      <c r="J495" t="inlineStr">
        <is>
          <t>全国</t>
        </is>
      </c>
      <c r="O495" t="inlineStr">
        <is>
          <t>中文</t>
        </is>
      </c>
      <c r="P495" t="inlineStr">
        <is>
          <t>否</t>
        </is>
      </c>
      <c r="Q495" t="inlineStr">
        <is>
          <t>中性信息</t>
        </is>
      </c>
      <c r="R495" t="inlineStr">
        <is>
          <t>法律施行与总体解读</t>
        </is>
      </c>
      <c r="S495" t="n">
        <v>19</v>
      </c>
      <c r="T495" t="n">
        <v>11</v>
      </c>
      <c r="U495" t="n">
        <v>0</v>
      </c>
      <c r="V495" t="inlineStr">
        <is>
          <t>否</t>
        </is>
      </c>
      <c r="W495" t="inlineStr">
        <is>
          <t>否</t>
        </is>
      </c>
      <c r="X495" t="inlineStr">
        <is>
          <t>历史导入:新疆地区及全国性平台补充_民族团结进步促进法舆情监测_最终修正版.xlsx；来源类型:个人原创观点；重复:否；待核实:否</t>
        </is>
      </c>
    </row>
    <row r="496">
      <c r="A496" t="inlineStr">
        <is>
          <t>hist-075ffd6dec93f9c5</t>
        </is>
      </c>
      <c r="B496" s="82" t="n">
        <v>46252.9403587963</v>
      </c>
      <c r="D496" t="inlineStr">
        <is>
          <t>小红书</t>
        </is>
      </c>
      <c r="E496" t="inlineStr">
        <is>
          <t>小红书/豆瓣等平台</t>
        </is>
      </c>
      <c r="F496" t="inlineStr">
        <is>
          <t>原始网页</t>
        </is>
      </c>
      <c r="G496" t="inlineStr">
        <is>
          <t>学姐</t>
        </is>
      </c>
      <c r="H496" t="inlineStr">
        <is>
          <t>“促进民族大团结！从保护本土文化资源，文化产业开始！说的比较直白，得罪之处您见谅”</t>
        </is>
      </c>
      <c r="I496" t="inlineStr">
        <is>
          <t>https://www.xiaohongshu.com/discovery/item/6a4c824900000000200387ac?source=webshare&amp;xhsshare=pc_web&amp;xsec_token=ABubPyDS0fcMM48-iRCvx2k0Jsfyo5k8Vq4_bZK0dcGCM=&amp;xsec_source=pc_share</t>
        </is>
      </c>
      <c r="J496" t="inlineStr">
        <is>
          <t>全国</t>
        </is>
      </c>
      <c r="O496" t="inlineStr">
        <is>
          <t>中文</t>
        </is>
      </c>
      <c r="P496" t="inlineStr">
        <is>
          <t>否</t>
        </is>
      </c>
      <c r="Q496" t="inlineStr">
        <is>
          <t>支持认可</t>
        </is>
      </c>
      <c r="R496" t="inlineStr">
        <is>
          <t>法律施行与总体解读</t>
        </is>
      </c>
      <c r="S496" t="n">
        <v>0</v>
      </c>
      <c r="T496" t="n">
        <v>0</v>
      </c>
      <c r="U496" t="n">
        <v>0</v>
      </c>
      <c r="V496" t="inlineStr">
        <is>
          <t>否</t>
        </is>
      </c>
      <c r="W496" t="inlineStr">
        <is>
          <t>是</t>
        </is>
      </c>
      <c r="X496" t="inlineStr">
        <is>
          <t>历史导入:新疆地区及全国性平台补充_民族团结进步促进法舆情监测_最终修正版.xlsx；来源类型:用户评论或留言；重复:否；待核实:否</t>
        </is>
      </c>
    </row>
    <row r="497">
      <c r="A497" t="inlineStr">
        <is>
          <t>hist-7acb7aa4c78bb52f</t>
        </is>
      </c>
      <c r="B497" s="82" t="n">
        <v>46252.9403587963</v>
      </c>
      <c r="D497" t="inlineStr">
        <is>
          <t>小红书</t>
        </is>
      </c>
      <c r="E497" t="inlineStr">
        <is>
          <t>小红书/豆瓣等平台</t>
        </is>
      </c>
      <c r="F497" t="inlineStr">
        <is>
          <t>原始网页</t>
        </is>
      </c>
      <c r="G497" t="inlineStr">
        <is>
          <t>放轻松点</t>
        </is>
      </c>
      <c r="H497" t="inlineStr">
        <is>
          <t>“团结最好的办法是取消所有民族认同，改为华族，这才是真正的民族团结。而不是给部分民族特权”</t>
        </is>
      </c>
      <c r="I497" t="inlineStr">
        <is>
          <t>https://www.xiaohongshu.com/discovery/item/6a4c824900000000200387ac?source=webshare&amp;xhsshare=pc_web&amp;xsec_token=ABubPyDS0fcMM48-iRCvx2k0Jsfyo5k8Vq4_bZK0dcGCM=&amp;xsec_source=pc_share</t>
        </is>
      </c>
      <c r="J497" t="inlineStr">
        <is>
          <t>全国</t>
        </is>
      </c>
      <c r="O497" t="inlineStr">
        <is>
          <t>中文</t>
        </is>
      </c>
      <c r="P497" t="inlineStr">
        <is>
          <t>否</t>
        </is>
      </c>
      <c r="Q497" t="inlineStr">
        <is>
          <t>明确批评</t>
        </is>
      </c>
      <c r="R497" t="inlineStr">
        <is>
          <t>权利保障与公平正义</t>
        </is>
      </c>
      <c r="S497" t="n">
        <v>6</v>
      </c>
      <c r="T497" t="n">
        <v>5</v>
      </c>
      <c r="U497" t="n">
        <v>0</v>
      </c>
      <c r="V497" t="inlineStr">
        <is>
          <t>否</t>
        </is>
      </c>
      <c r="W497" t="inlineStr">
        <is>
          <t>是</t>
        </is>
      </c>
      <c r="X497" t="inlineStr">
        <is>
          <t>历史导入:新疆地区及全国性平台补充_民族团结进步促进法舆情监测_最终修正版.xlsx；来源类型:用户评论或留言；复核:已核实；重复:否；待核实:否</t>
        </is>
      </c>
    </row>
    <row r="498">
      <c r="A498" t="inlineStr">
        <is>
          <t>hist-091b289eab316738</t>
        </is>
      </c>
      <c r="B498" s="82" t="n">
        <v>46252.9403587963</v>
      </c>
      <c r="D498" t="inlineStr">
        <is>
          <t>小红书</t>
        </is>
      </c>
      <c r="E498" t="inlineStr">
        <is>
          <t>小红书/豆瓣等平台</t>
        </is>
      </c>
      <c r="F498" t="inlineStr">
        <is>
          <t>原始网页</t>
        </is>
      </c>
      <c r="G498" t="inlineStr">
        <is>
          <t>兰陵县开元商城步行街二楼风之谷</t>
        </is>
      </c>
      <c r="H498" t="inlineStr">
        <is>
          <t>“但以前根本没人真管，就比如清真泛化的问题明显违法，这次出台的法律更像是强调一遍顺便对具体行为解释补充。希望这次雷霆手段毫不姑息彻底搞定分化民族团结的行为”</t>
        </is>
      </c>
      <c r="I498" t="inlineStr">
        <is>
          <t>https://www.xiaohongshu.com/discovery/item/6a4c824900000000200387ac?source=webshare&amp;xhsshare=pc_web&amp;xsec_token=ABubPyDS0fcMM48-iRCvx2k0Jsfyo5k8Vq4_bZK0dcGCM=&amp;xsec_source=pc_share</t>
        </is>
      </c>
      <c r="J498" t="inlineStr">
        <is>
          <t>全国</t>
        </is>
      </c>
      <c r="O498" t="inlineStr">
        <is>
          <t>中文</t>
        </is>
      </c>
      <c r="P498" t="inlineStr">
        <is>
          <t>否</t>
        </is>
      </c>
      <c r="Q498" t="inlineStr">
        <is>
          <t>担忧影响</t>
        </is>
      </c>
      <c r="R498" t="inlineStr">
        <is>
          <t>权利保障与公平正义</t>
        </is>
      </c>
      <c r="S498" t="n">
        <v>0</v>
      </c>
      <c r="T498" t="n">
        <v>0</v>
      </c>
      <c r="U498" t="n">
        <v>0</v>
      </c>
      <c r="V498" t="inlineStr">
        <is>
          <t>否</t>
        </is>
      </c>
      <c r="W498" t="inlineStr">
        <is>
          <t>是</t>
        </is>
      </c>
      <c r="X498" t="inlineStr">
        <is>
          <t>历史导入:新疆地区及全国性平台补充_民族团结进步促进法舆情监测_最终修正版.xlsx；来源类型:用户评论或留言；复核:已核实；重复:否；待核实:否</t>
        </is>
      </c>
    </row>
    <row r="499">
      <c r="A499" t="inlineStr">
        <is>
          <t>hist-409547e6f2422d64</t>
        </is>
      </c>
      <c r="B499" s="82" t="n">
        <v>46252.9403587963</v>
      </c>
      <c r="D499" t="inlineStr">
        <is>
          <t>小红书</t>
        </is>
      </c>
      <c r="E499" t="inlineStr">
        <is>
          <t>小红书/豆瓣等平台</t>
        </is>
      </c>
      <c r="F499" t="inlineStr">
        <is>
          <t>原始网页</t>
        </is>
      </c>
      <c r="G499" t="inlineStr">
        <is>
          <t>兰陵县开元商城步行街二楼风之谷</t>
        </is>
      </c>
      <c r="H499" t="inlineStr">
        <is>
          <t>这部法律出台弥补了对以民族、信仰的无理理由人为制造民族对立、隔阂的严重分裂国家民族的行为无法可依的局面。</t>
        </is>
      </c>
      <c r="I499" t="inlineStr">
        <is>
          <t>https://www.xiaohongshu.com/discovery/item/6a4c824900000000200387ac?source=webshare&amp;xhsshare=pc_web&amp;xsec_token=ABubPyDS0fcMM48-iRCvx2k0Jsfyo5k8Vq4_bZK0dcGCM=&amp;xsec_source=pc_share</t>
        </is>
      </c>
      <c r="J499" t="inlineStr">
        <is>
          <t>全国</t>
        </is>
      </c>
      <c r="O499" t="inlineStr">
        <is>
          <t>中文</t>
        </is>
      </c>
      <c r="P499" t="inlineStr">
        <is>
          <t>否</t>
        </is>
      </c>
      <c r="Q499" t="inlineStr">
        <is>
          <t>支持认可</t>
        </is>
      </c>
      <c r="R499" t="inlineStr">
        <is>
          <t>权利保障与公平正义</t>
        </is>
      </c>
      <c r="S499" t="n">
        <v>0</v>
      </c>
      <c r="T499" t="n">
        <v>0</v>
      </c>
      <c r="U499" t="n">
        <v>0</v>
      </c>
      <c r="V499" t="inlineStr">
        <is>
          <t>否</t>
        </is>
      </c>
      <c r="W499" t="inlineStr">
        <is>
          <t>是</t>
        </is>
      </c>
      <c r="X499" t="inlineStr">
        <is>
          <t>历史导入:新疆地区及全国性平台补充_民族团结进步促进法舆情监测_最终修正版.xlsx；来源类型:用户评论或留言；重复:否；待核实:否</t>
        </is>
      </c>
    </row>
    <row r="500">
      <c r="A500" t="inlineStr">
        <is>
          <t>hist-078898e8c72d1e53</t>
        </is>
      </c>
      <c r="B500" s="82" t="n">
        <v>46252.9403587963</v>
      </c>
      <c r="D500" t="inlineStr">
        <is>
          <t>小红书</t>
        </is>
      </c>
      <c r="E500" t="inlineStr">
        <is>
          <t>小红书/豆瓣等平台</t>
        </is>
      </c>
      <c r="F500" t="inlineStr">
        <is>
          <t>原始网页</t>
        </is>
      </c>
      <c r="G500" t="inlineStr">
        <is>
          <t>随风而动</t>
        </is>
      </c>
      <c r="H500" t="inlineStr">
        <is>
          <t>“《民族团结进步促进法》正式施行……真正坐立难安的根源，是法案第六十三条的域外适用条款……真正恐慌的只有四类群体……欧洲二十七个成员国全都拥有本国国安相关法规……双标态度一目了然。”</t>
        </is>
      </c>
      <c r="I500" t="inlineStr">
        <is>
          <t>https://www.xiaohongshu.com/discovery/item/6a4b9edb000000002200b578?source=webshare&amp;xhsshare=pc_web&amp;xsec_token=ABXr3yYnMIx8IKWKr5_bYmuXRrWhN8Zfen81U64gbDxNk=&amp;xsec_source=pc_share</t>
        </is>
      </c>
      <c r="J500" t="inlineStr">
        <is>
          <t>全国</t>
        </is>
      </c>
      <c r="O500" t="inlineStr">
        <is>
          <t>中文</t>
        </is>
      </c>
      <c r="P500" t="inlineStr">
        <is>
          <t>否</t>
        </is>
      </c>
      <c r="Q500" t="inlineStr">
        <is>
          <t>支持认可</t>
        </is>
      </c>
      <c r="R500" t="inlineStr">
        <is>
          <t>第63条域外适用与跨境影响</t>
        </is>
      </c>
      <c r="S500" t="n">
        <v>297</v>
      </c>
      <c r="T500" t="n">
        <v>53</v>
      </c>
      <c r="U500" t="n">
        <v>0</v>
      </c>
      <c r="V500" t="inlineStr">
        <is>
          <t>否</t>
        </is>
      </c>
      <c r="W500" t="inlineStr">
        <is>
          <t>是</t>
        </is>
      </c>
      <c r="X500" t="inlineStr">
        <is>
          <t>历史导入:新疆地区及全国性平台补充_民族团结进步促进法舆情监测_最终修正版.xlsx；来源类型:个人原创观点；重复:否；待核实:否</t>
        </is>
      </c>
    </row>
    <row r="501">
      <c r="A501" t="inlineStr">
        <is>
          <t>hist-c110262d5b50422c</t>
        </is>
      </c>
      <c r="B501" s="82" t="n">
        <v>46252.9403587963</v>
      </c>
      <c r="D501" t="inlineStr">
        <is>
          <t>小红书</t>
        </is>
      </c>
      <c r="E501" t="inlineStr">
        <is>
          <t>小红书/豆瓣等平台</t>
        </is>
      </c>
      <c r="F501" t="inlineStr">
        <is>
          <t>原始网页</t>
        </is>
      </c>
      <c r="G501" t="inlineStr">
        <is>
          <t>沈铁岩</t>
        </is>
      </c>
      <c r="H501" t="inlineStr">
        <is>
          <t>“还有第五、六类人：在国外藏匿实质进行各种独的反动分子；以及对他们进行包庇、支持的国外敌对势力代理人”</t>
        </is>
      </c>
      <c r="I501" t="inlineStr">
        <is>
          <t>https://www.xiaohongshu.com/discovery/item/6a4b9edb000000002200b578?source=webshare&amp;xhsshare=pc_web&amp;xsec_token=ABXr3yYnMIx8IKWKr5_bYmuXRrWhN8Zfen81U64gbDxNk=&amp;xsec_source=pc_share</t>
        </is>
      </c>
      <c r="J501" t="inlineStr">
        <is>
          <t>全国</t>
        </is>
      </c>
      <c r="O501" t="inlineStr">
        <is>
          <t>中文</t>
        </is>
      </c>
      <c r="P501" t="inlineStr">
        <is>
          <t>否</t>
        </is>
      </c>
      <c r="Q501" t="inlineStr">
        <is>
          <t>支持认可</t>
        </is>
      </c>
      <c r="R501" t="inlineStr">
        <is>
          <t>第63条域外适用与跨境影响</t>
        </is>
      </c>
      <c r="S501" t="n">
        <v>71</v>
      </c>
      <c r="T501" t="n">
        <v>0</v>
      </c>
      <c r="U501" t="n">
        <v>0</v>
      </c>
      <c r="V501" t="inlineStr">
        <is>
          <t>否</t>
        </is>
      </c>
      <c r="W501" t="inlineStr">
        <is>
          <t>是</t>
        </is>
      </c>
      <c r="X501" t="inlineStr">
        <is>
          <t>历史导入:新疆地区及全国性平台补充_民族团结进步促进法舆情监测_最终修正版.xlsx；来源类型:用户评论或留言；重复:否；待核实:否</t>
        </is>
      </c>
    </row>
    <row r="502">
      <c r="A502" t="inlineStr">
        <is>
          <t>hist-f586004eddaba4d5</t>
        </is>
      </c>
      <c r="B502" s="82" t="n">
        <v>46252.9403587963</v>
      </c>
      <c r="D502" t="inlineStr">
        <is>
          <t>小红书</t>
        </is>
      </c>
      <c r="E502" t="inlineStr">
        <is>
          <t>小红书/豆瓣等平台</t>
        </is>
      </c>
      <c r="F502" t="inlineStr">
        <is>
          <t>原始网页</t>
        </is>
      </c>
      <c r="G502" t="inlineStr">
        <is>
          <t>momo</t>
        </is>
      </c>
      <c r="H502" t="inlineStr">
        <is>
          <t>“因为现在政府真的能执行这个法律了。”</t>
        </is>
      </c>
      <c r="I502" t="inlineStr">
        <is>
          <t>https://www.xiaohongshu.com/discovery/item/6a4b9edb000000002200b578?source=webshare&amp;xhsshare=pc_web&amp;xsec_token=ABXr3yYnMIx8IKWKr5_bYmuXRrWhN8Zfen81U64gbDxNk=&amp;xsec_source=pc_share</t>
        </is>
      </c>
      <c r="J502" t="inlineStr">
        <is>
          <t>全国</t>
        </is>
      </c>
      <c r="O502" t="inlineStr">
        <is>
          <t>中文</t>
        </is>
      </c>
      <c r="P502" t="inlineStr">
        <is>
          <t>否</t>
        </is>
      </c>
      <c r="Q502" t="inlineStr">
        <is>
          <t>支持认可</t>
        </is>
      </c>
      <c r="R502" t="inlineStr">
        <is>
          <t>法律施行与总体解读</t>
        </is>
      </c>
      <c r="S502" t="n">
        <v>23</v>
      </c>
      <c r="T502" t="n">
        <v>0</v>
      </c>
      <c r="U502" t="n">
        <v>0</v>
      </c>
      <c r="V502" t="inlineStr">
        <is>
          <t>否</t>
        </is>
      </c>
      <c r="W502" t="inlineStr">
        <is>
          <t>是</t>
        </is>
      </c>
      <c r="X502" t="inlineStr">
        <is>
          <t>历史导入:新疆地区及全国性平台补充_民族团结进步促进法舆情监测_最终修正版.xlsx；来源类型:用户评论或留言；重复:否；待核实:否</t>
        </is>
      </c>
    </row>
    <row r="503">
      <c r="A503" t="inlineStr">
        <is>
          <t>hist-0402aeab5dca2e33</t>
        </is>
      </c>
      <c r="B503" s="82" t="n">
        <v>46252.9403587963</v>
      </c>
      <c r="D503" t="inlineStr">
        <is>
          <t>小红书</t>
        </is>
      </c>
      <c r="E503" t="inlineStr">
        <is>
          <t>小红书/豆瓣等平台</t>
        </is>
      </c>
      <c r="F503" t="inlineStr">
        <is>
          <t>原始网页</t>
        </is>
      </c>
      <c r="G503" t="inlineStr">
        <is>
          <t>小扒</t>
        </is>
      </c>
      <c r="H503" t="inlineStr">
        <is>
          <t>“越反对就更说明法律的必要性和紧迫性”</t>
        </is>
      </c>
      <c r="I503" t="inlineStr">
        <is>
          <t>https://www.xiaohongshu.com/discovery/item/6a4b9edb000000002200b578?source=webshare&amp;xhsshare=pc_web&amp;xsec_token=ABXr3yYnMIx8IKWKr5_bYmuXRrWhN8Zfen81U64gbDxNk=&amp;xsec_source=pc_share</t>
        </is>
      </c>
      <c r="J503" t="inlineStr">
        <is>
          <t>全国</t>
        </is>
      </c>
      <c r="O503" t="inlineStr">
        <is>
          <t>中文</t>
        </is>
      </c>
      <c r="P503" t="inlineStr">
        <is>
          <t>否</t>
        </is>
      </c>
      <c r="Q503" t="inlineStr">
        <is>
          <t>支持认可</t>
        </is>
      </c>
      <c r="R503" t="inlineStr">
        <is>
          <t>法律施行与总体解读</t>
        </is>
      </c>
      <c r="S503" t="n">
        <v>37</v>
      </c>
      <c r="T503" t="n">
        <v>0</v>
      </c>
      <c r="U503" t="n">
        <v>0</v>
      </c>
      <c r="V503" t="inlineStr">
        <is>
          <t>否</t>
        </is>
      </c>
      <c r="W503" t="inlineStr">
        <is>
          <t>是</t>
        </is>
      </c>
      <c r="X503" t="inlineStr">
        <is>
          <t>历史导入:新疆地区及全国性平台补充_民族团结进步促进法舆情监测_最终修正版.xlsx；来源类型:用户评论或留言；重复:否；待核实:否</t>
        </is>
      </c>
    </row>
    <row r="504">
      <c r="A504" t="inlineStr">
        <is>
          <t>hist-ec9d155fd9639af8</t>
        </is>
      </c>
      <c r="B504" s="82" t="n">
        <v>46252.9403587963</v>
      </c>
      <c r="D504" t="inlineStr">
        <is>
          <t>小红书</t>
        </is>
      </c>
      <c r="E504" t="inlineStr">
        <is>
          <t>小红书/豆瓣等平台</t>
        </is>
      </c>
      <c r="F504" t="inlineStr">
        <is>
          <t>原始网页</t>
        </is>
      </c>
      <c r="G504" t="inlineStr">
        <is>
          <t>小红薯609C9718</t>
        </is>
      </c>
      <c r="H504" t="inlineStr">
        <is>
          <t>“与其以后到处是恐怖袭击搞对立，我支持这个法律。”</t>
        </is>
      </c>
      <c r="I504" t="inlineStr">
        <is>
          <t>https://www.xiaohongshu.com/discovery/item/6a4b9edb000000002200b578?source=webshare&amp;xhsshare=pc_web&amp;xsec_token=ABXr3yYnMIx8IKWKr5_bYmuXRrWhN8Zfen81U64gbDxNk=&amp;xsec_source=pc_share</t>
        </is>
      </c>
      <c r="J504" t="inlineStr">
        <is>
          <t>全国</t>
        </is>
      </c>
      <c r="O504" t="inlineStr">
        <is>
          <t>中文</t>
        </is>
      </c>
      <c r="P504" t="inlineStr">
        <is>
          <t>否</t>
        </is>
      </c>
      <c r="Q504" t="inlineStr">
        <is>
          <t>支持认可</t>
        </is>
      </c>
      <c r="R504" t="inlineStr">
        <is>
          <t>法律施行与总体解读</t>
        </is>
      </c>
      <c r="S504" t="n">
        <v>27</v>
      </c>
      <c r="T504" t="n">
        <v>0</v>
      </c>
      <c r="U504" t="n">
        <v>0</v>
      </c>
      <c r="V504" t="inlineStr">
        <is>
          <t>否</t>
        </is>
      </c>
      <c r="W504" t="inlineStr">
        <is>
          <t>是</t>
        </is>
      </c>
      <c r="X504" t="inlineStr">
        <is>
          <t>历史导入:新疆地区及全国性平台补充_民族团结进步促进法舆情监测_最终修正版.xlsx；来源类型:用户评论或留言；重复:否；待核实:否</t>
        </is>
      </c>
    </row>
    <row r="505">
      <c r="A505" t="inlineStr">
        <is>
          <t>hist-501933e47758c80c</t>
        </is>
      </c>
      <c r="B505" s="82" t="n">
        <v>46252.9403587963</v>
      </c>
      <c r="D505" t="inlineStr">
        <is>
          <t>小红书</t>
        </is>
      </c>
      <c r="E505" t="inlineStr">
        <is>
          <t>小红书/豆瓣等平台</t>
        </is>
      </c>
      <c r="F505" t="inlineStr">
        <is>
          <t>原始网页</t>
        </is>
      </c>
      <c r="G505" t="inlineStr">
        <is>
          <t>小红薯6A6C9593</t>
        </is>
      </c>
      <c r="H505" t="inlineStr">
        <is>
          <t>“坚决支持该法的实施！”</t>
        </is>
      </c>
      <c r="I505" t="inlineStr">
        <is>
          <t>https://www.xiaohongshu.com/discovery/item/6a4b9edb000000002200b578?source=webshare&amp;xhsshare=pc_web&amp;xsec_token=ABXr3yYnMIx8IKWKr5_bYmuXRrWhN8Zfen81U64gbDxNk=&amp;xsec_source=pc_share</t>
        </is>
      </c>
      <c r="J505" t="inlineStr">
        <is>
          <t>全国</t>
        </is>
      </c>
      <c r="O505" t="inlineStr">
        <is>
          <t>中文</t>
        </is>
      </c>
      <c r="P505" t="inlineStr">
        <is>
          <t>否</t>
        </is>
      </c>
      <c r="Q505" t="inlineStr">
        <is>
          <t>支持认可</t>
        </is>
      </c>
      <c r="R505" t="inlineStr">
        <is>
          <t>法律施行与总体解读</t>
        </is>
      </c>
      <c r="S505" t="n">
        <v>1</v>
      </c>
      <c r="T505" t="n">
        <v>0</v>
      </c>
      <c r="U505" t="n">
        <v>0</v>
      </c>
      <c r="V505" t="inlineStr">
        <is>
          <t>否</t>
        </is>
      </c>
      <c r="W505" t="inlineStr">
        <is>
          <t>是</t>
        </is>
      </c>
      <c r="X505" t="inlineStr">
        <is>
          <t>历史导入:新疆地区及全国性平台补充_民族团结进步促进法舆情监测_最终修正版.xlsx；来源类型:用户评论或留言；重复:否；待核实:否</t>
        </is>
      </c>
    </row>
    <row r="506">
      <c r="A506" t="inlineStr">
        <is>
          <t>hist-b6d3d711f4f23954</t>
        </is>
      </c>
      <c r="B506" s="82" t="n">
        <v>46252.9403587963</v>
      </c>
      <c r="D506" t="inlineStr">
        <is>
          <t>小红书</t>
        </is>
      </c>
      <c r="E506" t="inlineStr">
        <is>
          <t>小红书/豆瓣等平台</t>
        </is>
      </c>
      <c r="F506" t="inlineStr">
        <is>
          <t>原始网页</t>
        </is>
      </c>
      <c r="G506" t="inlineStr">
        <is>
          <t>太和麦田</t>
        </is>
      </c>
      <c r="H506" t="inlineStr">
        <is>
          <t>“我国如今的综合国力，当然要有配得上的法律相映衬。”</t>
        </is>
      </c>
      <c r="I506" t="inlineStr">
        <is>
          <t>https://www.xiaohongshu.com/discovery/item/6a4b9edb000000002200b578?source=webshare&amp;xhsshare=pc_web&amp;xsec_token=ABXr3yYnMIx8IKWKr5_bYmuXRrWhN8Zfen81U64gbDxNk=&amp;xsec_source=pc_share</t>
        </is>
      </c>
      <c r="J506" t="inlineStr">
        <is>
          <t>全国</t>
        </is>
      </c>
      <c r="O506" t="inlineStr">
        <is>
          <t>中文</t>
        </is>
      </c>
      <c r="P506" t="inlineStr">
        <is>
          <t>否</t>
        </is>
      </c>
      <c r="Q506" t="inlineStr">
        <is>
          <t>支持认可</t>
        </is>
      </c>
      <c r="R506" t="inlineStr">
        <is>
          <t>法律施行与总体解读</t>
        </is>
      </c>
      <c r="S506" t="n">
        <v>0</v>
      </c>
      <c r="T506" t="n">
        <v>0</v>
      </c>
      <c r="U506" t="n">
        <v>0</v>
      </c>
      <c r="V506" t="inlineStr">
        <is>
          <t>否</t>
        </is>
      </c>
      <c r="W506" t="inlineStr">
        <is>
          <t>是</t>
        </is>
      </c>
      <c r="X506" t="inlineStr">
        <is>
          <t>历史导入:新疆地区及全国性平台补充_民族团结进步促进法舆情监测_最终修正版.xlsx；来源类型:用户评论或留言；重复:否；待核实:否</t>
        </is>
      </c>
    </row>
    <row r="507">
      <c r="A507" t="inlineStr">
        <is>
          <t>hist-1ff1e125771c9443</t>
        </is>
      </c>
      <c r="B507" s="82" t="n">
        <v>46252.9403587963</v>
      </c>
      <c r="D507" t="inlineStr">
        <is>
          <t>小红书</t>
        </is>
      </c>
      <c r="E507" t="inlineStr">
        <is>
          <t>小红书/豆瓣等平台</t>
        </is>
      </c>
      <c r="F507" t="inlineStr">
        <is>
          <t>原始网页</t>
        </is>
      </c>
      <c r="G507" t="inlineStr">
        <is>
          <t>kaola</t>
        </is>
      </c>
      <c r="H507" t="inlineStr">
        <is>
          <t>“反对推广使用普通话的也是违反该法第十五条的违法行为。”</t>
        </is>
      </c>
      <c r="I507" t="inlineStr">
        <is>
          <t>https://www.xiaohongshu.com/discovery/item/6a4b9edb000000002200b578?source=webshare&amp;xhsshare=pc_web&amp;xsec_token=ABXr3yYnMIx8IKWKr5_bYmuXRrWhN8Zfen81U64gbDxNk=&amp;xsec_source=pc_share</t>
        </is>
      </c>
      <c r="J507" t="inlineStr">
        <is>
          <t>全国</t>
        </is>
      </c>
      <c r="O507" t="inlineStr">
        <is>
          <t>中文</t>
        </is>
      </c>
      <c r="P507" t="inlineStr">
        <is>
          <t>否</t>
        </is>
      </c>
      <c r="Q507" t="inlineStr">
        <is>
          <t>支持认可</t>
        </is>
      </c>
      <c r="R507" t="inlineStr">
        <is>
          <t>国家通用语言文字与少数民族语言保障</t>
        </is>
      </c>
      <c r="S507" t="n">
        <v>0</v>
      </c>
      <c r="T507" t="n">
        <v>0</v>
      </c>
      <c r="U507" t="n">
        <v>0</v>
      </c>
      <c r="V507" t="inlineStr">
        <is>
          <t>否</t>
        </is>
      </c>
      <c r="W507" t="inlineStr">
        <is>
          <t>是</t>
        </is>
      </c>
      <c r="X507" t="inlineStr">
        <is>
          <t>历史导入:新疆地区及全国性平台补充_民族团结进步促进法舆情监测_最终修正版.xlsx；来源类型:用户评论或留言；重复:否；待核实:否</t>
        </is>
      </c>
    </row>
    <row r="508">
      <c r="A508" t="inlineStr">
        <is>
          <t>hist-93c86695acf0c15d</t>
        </is>
      </c>
      <c r="B508" s="82" t="n">
        <v>46252.9403587963</v>
      </c>
      <c r="D508" t="inlineStr">
        <is>
          <t>小红书</t>
        </is>
      </c>
      <c r="E508" t="inlineStr">
        <is>
          <t>小红书/豆瓣等平台</t>
        </is>
      </c>
      <c r="F508" t="inlineStr">
        <is>
          <t>原始网页</t>
        </is>
      </c>
      <c r="G508" t="inlineStr">
        <is>
          <t>阿拉丁神灯</t>
        </is>
      </c>
      <c r="H508" t="inlineStr">
        <is>
          <t>“强烈支持民族团结促进法。这半年以来，新媒体上不知道哪里来的煽动民族对立的，重提明朝更替、满汉矛盾、清朝割让领土与列强等问题，煽动族群对立。国家宪法明确说明了，中国是五十六个民族组成的大家庭，各民族平等。”</t>
        </is>
      </c>
      <c r="I508" t="inlineStr">
        <is>
          <t>https://www.xiaohongshu.com/discovery/item/6a4b9edb000000002200b578?source=webshare&amp;xhsshare=pc_web&amp;xsec_token=ABXr3yYnMIx8IKWKr5_bYmuXRrWhN8Zfen81U64gbDxNk=&amp;xsec_source=pc_share</t>
        </is>
      </c>
      <c r="J508" t="inlineStr">
        <is>
          <t>全国</t>
        </is>
      </c>
      <c r="O508" t="inlineStr">
        <is>
          <t>中文</t>
        </is>
      </c>
      <c r="P508" t="inlineStr">
        <is>
          <t>否</t>
        </is>
      </c>
      <c r="Q508" t="inlineStr">
        <is>
          <t>支持认可</t>
        </is>
      </c>
      <c r="R508" t="inlineStr">
        <is>
          <t>法律施行与总体解读</t>
        </is>
      </c>
      <c r="S508" t="n">
        <v>10</v>
      </c>
      <c r="T508" t="n">
        <v>2</v>
      </c>
      <c r="U508" t="n">
        <v>0</v>
      </c>
      <c r="V508" t="inlineStr">
        <is>
          <t>否</t>
        </is>
      </c>
      <c r="W508" t="inlineStr">
        <is>
          <t>是</t>
        </is>
      </c>
      <c r="X508" t="inlineStr">
        <is>
          <t>历史导入:新疆地区及全国性平台补充_民族团结进步促进法舆情监测_最终修正版.xlsx；来源类型:用户评论或留言；重复:否；待核实:否</t>
        </is>
      </c>
    </row>
    <row r="509">
      <c r="A509" t="inlineStr">
        <is>
          <t>hist-e26cf2cc49c2c799</t>
        </is>
      </c>
      <c r="B509" s="82" t="n">
        <v>46252.9403587963</v>
      </c>
      <c r="D509" t="inlineStr">
        <is>
          <t>小红书</t>
        </is>
      </c>
      <c r="E509" t="inlineStr">
        <is>
          <t>小红书/豆瓣等平台</t>
        </is>
      </c>
      <c r="F509" t="inlineStr">
        <is>
          <t>原始网页</t>
        </is>
      </c>
      <c r="G509" t="inlineStr">
        <is>
          <t>贺州社会科学</t>
        </is>
      </c>
      <c r="H509" t="inlineStr">
        <is>
          <t>“《中华人民共和国民族团结进步促进法》……本视频部分内容由AI生成，部分素材来源于网络”</t>
        </is>
      </c>
      <c r="I509" t="inlineStr">
        <is>
          <t>https://www.xiaohongshu.com/discovery/item/6a4782000000000016024a03?source=webshare&amp;xhsshare=pc_web&amp;xsec_token=ABtGmuECHkN9ujF6XkZEUa41saM6hNHjOXrJbYgSCFTTo=&amp;xsec_source=pc_share</t>
        </is>
      </c>
      <c r="J509" t="inlineStr">
        <is>
          <t>全国</t>
        </is>
      </c>
      <c r="O509" t="inlineStr">
        <is>
          <t>中文</t>
        </is>
      </c>
      <c r="P509" t="inlineStr">
        <is>
          <t>否</t>
        </is>
      </c>
      <c r="Q509" t="inlineStr">
        <is>
          <t>中性信息</t>
        </is>
      </c>
      <c r="R509" t="inlineStr">
        <is>
          <t>法律施行与总体解读</t>
        </is>
      </c>
      <c r="S509" t="n">
        <v>1</v>
      </c>
      <c r="T509" t="n">
        <v>0</v>
      </c>
      <c r="U509" t="n">
        <v>0</v>
      </c>
      <c r="V509" t="inlineStr">
        <is>
          <t>否</t>
        </is>
      </c>
      <c r="W509" t="inlineStr">
        <is>
          <t>否</t>
        </is>
      </c>
      <c r="X509" t="inlineStr">
        <is>
          <t>历史导入:新疆地区及全国性平台补充_民族团结进步促进法舆情监测_最终修正版.xlsx；来源类型:个人原创观点；重复:否；待核实:否</t>
        </is>
      </c>
    </row>
    <row r="510">
      <c r="A510" t="inlineStr">
        <is>
          <t>hist-6642561aad8fb2c4</t>
        </is>
      </c>
      <c r="B510" s="82" t="n">
        <v>46252.9403587963</v>
      </c>
      <c r="D510" t="inlineStr">
        <is>
          <t>小红书</t>
        </is>
      </c>
      <c r="E510" t="inlineStr">
        <is>
          <t>小红书/豆瓣等平台</t>
        </is>
      </c>
      <c r="F510" t="inlineStr">
        <is>
          <t>原始网页</t>
        </is>
      </c>
      <c r="G510" t="inlineStr">
        <is>
          <t>山观正师妹</t>
        </is>
      </c>
      <c r="H510" t="inlineStr">
        <is>
          <t>“民族团结进步促进法能境外管辖吗？ #为强大的祖国点赞”</t>
        </is>
      </c>
      <c r="I510" t="inlineStr">
        <is>
          <t>https://www.xiaohongshu.com/discovery/item/6a46f7ba00000000060235e2?source=webshare&amp;xhsshare=pc_web&amp;xsec_token=ABU1QxvftNJbjC0lo2p7Ad7o3Bze_9yGo4_A4i2DRflNs=&amp;xsec_source=pc_share</t>
        </is>
      </c>
      <c r="J510" t="inlineStr">
        <is>
          <t>全国</t>
        </is>
      </c>
      <c r="O510" t="inlineStr">
        <is>
          <t>中文</t>
        </is>
      </c>
      <c r="P510" t="inlineStr">
        <is>
          <t>否</t>
        </is>
      </c>
      <c r="Q510" t="inlineStr">
        <is>
          <t>中性信息</t>
        </is>
      </c>
      <c r="R510" t="inlineStr">
        <is>
          <t>第63条域外适用与跨境影响</t>
        </is>
      </c>
      <c r="S510" t="n">
        <v>0</v>
      </c>
      <c r="T510" t="n">
        <v>1</v>
      </c>
      <c r="U510" t="n">
        <v>0</v>
      </c>
      <c r="V510" t="inlineStr">
        <is>
          <t>否</t>
        </is>
      </c>
      <c r="W510" t="inlineStr">
        <is>
          <t>是</t>
        </is>
      </c>
      <c r="X510" t="inlineStr">
        <is>
          <t>历史导入:新疆地区及全国性平台补充_民族团结进步促进法舆情监测_最终修正版.xlsx；来源类型:个人原创观点；重复:否；待核实:否</t>
        </is>
      </c>
    </row>
    <row r="511">
      <c r="A511" t="inlineStr">
        <is>
          <t>hist-0104348a6888d8d5</t>
        </is>
      </c>
      <c r="B511" s="82" t="n">
        <v>46252.9403587963</v>
      </c>
      <c r="D511" t="inlineStr">
        <is>
          <t>小红书</t>
        </is>
      </c>
      <c r="E511" t="inlineStr">
        <is>
          <t>小红书/豆瓣等平台</t>
        </is>
      </c>
      <c r="F511" t="inlineStr">
        <is>
          <t>原始网页</t>
        </is>
      </c>
      <c r="G511" t="inlineStr">
        <is>
          <t>深宝朗律所</t>
        </is>
      </c>
      <c r="H511" t="inlineStr">
        <is>
          <t>“《中华人民共和国民族团结进步促进法》于今天7月1日正式实施 #民族团结#民族团结进步#法治#民族一家亲#西藏律师#普法宣传#法律人#团结的力量#中国人团结起来#林芝律师”</t>
        </is>
      </c>
      <c r="I511" t="inlineStr">
        <is>
          <t>https://www.xiaohongshu.com/discovery/item/6a45269c0000000007027d44?source=webshare&amp;xhsshare=pc_web&amp;xsec_token=ABK2jGlFGg-0SjGY4_VQsY9xs5DuP7eHcuSjF5PYK1YSU=&amp;xsec_source=pc_share</t>
        </is>
      </c>
      <c r="J511" t="inlineStr">
        <is>
          <t>全国</t>
        </is>
      </c>
      <c r="O511" t="inlineStr">
        <is>
          <t>中文</t>
        </is>
      </c>
      <c r="P511" t="inlineStr">
        <is>
          <t>否</t>
        </is>
      </c>
      <c r="Q511" t="inlineStr">
        <is>
          <t>中性信息</t>
        </is>
      </c>
      <c r="R511" t="inlineStr">
        <is>
          <t>法律施行与总体解读</t>
        </is>
      </c>
      <c r="S511" t="n">
        <v>7</v>
      </c>
      <c r="T511" t="n">
        <v>0</v>
      </c>
      <c r="U511" t="n">
        <v>0</v>
      </c>
      <c r="V511" t="inlineStr">
        <is>
          <t>否</t>
        </is>
      </c>
      <c r="W511" t="inlineStr">
        <is>
          <t>否</t>
        </is>
      </c>
      <c r="X511" t="inlineStr">
        <is>
          <t>历史导入:新疆地区及全国性平台补充_民族团结进步促进法舆情监测_最终修正版.xlsx；来源类型:个人原创观点；重复:否；待核实:否</t>
        </is>
      </c>
    </row>
    <row r="512">
      <c r="A512" t="inlineStr">
        <is>
          <t>hist-80db94ff68011b83</t>
        </is>
      </c>
      <c r="B512" s="82" t="n">
        <v>46252.9403587963</v>
      </c>
      <c r="D512" t="inlineStr">
        <is>
          <t>小红书</t>
        </is>
      </c>
      <c r="E512" t="inlineStr">
        <is>
          <t>小红书/豆瓣等平台</t>
        </is>
      </c>
      <c r="F512" t="inlineStr">
        <is>
          <t>原始网页</t>
        </is>
      </c>
      <c r="G512" t="inlineStr">
        <is>
          <t>白蛇</t>
        </is>
      </c>
      <c r="H512" t="inlineStr">
        <is>
          <t>“太棒啦，侮辱、贬低传统文化的人要受罚。内容截取自中国人大网 #中华人民共和国民族团结进步促进法 #潮汕英歌舞 #传统文化 #非物质文化遗产”</t>
        </is>
      </c>
      <c r="I512" t="inlineStr">
        <is>
          <t>https://www.xiaohongshu.com/discovery/item/6a44eee50000000016027d76?source=webshare&amp;xhsshare=pc_web&amp;xsec_token=ABexNlsVrPhT7PdOnjovbZdlzQ0JXz5ggwxkB4RhugzFk=&amp;xsec_source=pc_share</t>
        </is>
      </c>
      <c r="J512" t="inlineStr">
        <is>
          <t>全国</t>
        </is>
      </c>
      <c r="O512" t="inlineStr">
        <is>
          <t>中文</t>
        </is>
      </c>
      <c r="P512" t="inlineStr">
        <is>
          <t>否</t>
        </is>
      </c>
      <c r="Q512" t="inlineStr">
        <is>
          <t>支持认可</t>
        </is>
      </c>
      <c r="R512" t="inlineStr">
        <is>
          <t>法律施行与总体解读</t>
        </is>
      </c>
      <c r="S512" t="n">
        <v>138</v>
      </c>
      <c r="T512" t="n">
        <v>0</v>
      </c>
      <c r="U512" t="n">
        <v>0</v>
      </c>
      <c r="V512" t="inlineStr">
        <is>
          <t>否</t>
        </is>
      </c>
      <c r="W512" t="inlineStr">
        <is>
          <t>是</t>
        </is>
      </c>
      <c r="X512" t="inlineStr">
        <is>
          <t>历史导入:新疆地区及全国性平台补充_民族团结进步促进法舆情监测_最终修正版.xlsx；来源类型:个人原创观点；重复:否；待核实:否</t>
        </is>
      </c>
    </row>
    <row r="513">
      <c r="A513" t="inlineStr">
        <is>
          <t>hist-bf2777b08e176d19</t>
        </is>
      </c>
      <c r="B513" s="82" t="n">
        <v>46252.9403587963</v>
      </c>
      <c r="D513" t="inlineStr">
        <is>
          <t>豆瓣</t>
        </is>
      </c>
      <c r="E513" t="inlineStr">
        <is>
          <t>小红书/豆瓣等平台</t>
        </is>
      </c>
      <c r="F513" t="inlineStr">
        <is>
          <t>原始网页</t>
        </is>
      </c>
      <c r="G513" t="inlineStr">
        <is>
          <t>Augustin</t>
        </is>
      </c>
      <c r="H513" t="inlineStr">
        <is>
          <t>民族团结促进法 有点厉害啊</t>
        </is>
      </c>
      <c r="I513" t="inlineStr">
        <is>
          <t>https://www.douban.com/doubanapp/dispatch?uri=%2Ftopic%2F493125078%3F_spm_id%3DMjc3MjU1NzM&amp;_i=8592145465635f0</t>
        </is>
      </c>
      <c r="J513" t="inlineStr">
        <is>
          <t>全国</t>
        </is>
      </c>
      <c r="O513" t="inlineStr">
        <is>
          <t>中文</t>
        </is>
      </c>
      <c r="P513" t="inlineStr">
        <is>
          <t>否</t>
        </is>
      </c>
      <c r="Q513" t="inlineStr">
        <is>
          <t>支持认可</t>
        </is>
      </c>
      <c r="R513" t="inlineStr">
        <is>
          <t>法律施行与总体解读</t>
        </is>
      </c>
      <c r="S513" t="n">
        <v>1</v>
      </c>
      <c r="T513" t="n">
        <v>1</v>
      </c>
      <c r="U513" t="n">
        <v>1</v>
      </c>
      <c r="V513" t="inlineStr">
        <is>
          <t>否</t>
        </is>
      </c>
      <c r="W513" t="inlineStr">
        <is>
          <t>是</t>
        </is>
      </c>
      <c r="X513" t="inlineStr">
        <is>
          <t>历史导入:新疆地区及全国性平台补充_民族团结进步促进法舆情监测_最终修正版.xlsx；来源类型:个人原创观点；重复:否；待核实:否</t>
        </is>
      </c>
    </row>
    <row r="514">
      <c r="A514" t="inlineStr">
        <is>
          <t>hist-069b8419079a20e5</t>
        </is>
      </c>
      <c r="B514" s="82" t="n">
        <v>46252.9403587963</v>
      </c>
      <c r="D514" t="inlineStr">
        <is>
          <t>豆瓣</t>
        </is>
      </c>
      <c r="E514" t="inlineStr">
        <is>
          <t>小红书/豆瓣等平台</t>
        </is>
      </c>
      <c r="F514" t="inlineStr">
        <is>
          <t>原始网页</t>
        </is>
      </c>
      <c r="G514" t="inlineStr">
        <is>
          <t>最后的web3人</t>
        </is>
      </c>
      <c r="H514" t="inlineStr">
        <is>
          <t>“团结个锤子，我们需要的是少数民族权利保护法”</t>
        </is>
      </c>
      <c r="I514" t="inlineStr">
        <is>
          <t>https://www.douban.com/people/1314003/status/9220165024/?_spm_id=MTMxNDAwMw&amp;_i=6065580UJXMsY6</t>
        </is>
      </c>
      <c r="J514" t="inlineStr">
        <is>
          <t>全国</t>
        </is>
      </c>
      <c r="O514" t="inlineStr">
        <is>
          <t>中文</t>
        </is>
      </c>
      <c r="P514" t="inlineStr">
        <is>
          <t>否</t>
        </is>
      </c>
      <c r="Q514" t="inlineStr">
        <is>
          <t>明确批评</t>
        </is>
      </c>
      <c r="R514" t="inlineStr">
        <is>
          <t>权利保障与公平正义</t>
        </is>
      </c>
      <c r="S514" t="n">
        <v>0</v>
      </c>
      <c r="T514" t="n">
        <v>0</v>
      </c>
      <c r="U514" t="n">
        <v>0</v>
      </c>
      <c r="V514" t="inlineStr">
        <is>
          <t>否</t>
        </is>
      </c>
      <c r="W514" t="inlineStr">
        <is>
          <t>是</t>
        </is>
      </c>
      <c r="X514" t="inlineStr">
        <is>
          <t>历史导入:新疆地区及全国性平台补充_民族团结进步促进法舆情监测_最终修正版.xlsx；来源类型:用户评论或留言；复核:已核实；重复:否；待核实:否</t>
        </is>
      </c>
    </row>
    <row r="515">
      <c r="A515" t="inlineStr">
        <is>
          <t>hist-6a15e7c8b24bf016</t>
        </is>
      </c>
      <c r="B515" s="82" t="n">
        <v>46252.9403587963</v>
      </c>
      <c r="C515" s="82" t="n">
        <v>46206</v>
      </c>
      <c r="D515" t="inlineStr">
        <is>
          <t>小红书</t>
        </is>
      </c>
      <c r="E515" t="inlineStr">
        <is>
          <t>小红书/豆瓣等平台</t>
        </is>
      </c>
      <c r="F515" t="inlineStr">
        <is>
          <t>原始网页</t>
        </is>
      </c>
      <c r="G515" t="inlineStr">
        <is>
          <t>batur</t>
        </is>
      </c>
      <c r="H515" t="inlineStr">
        <is>
          <t>中华人民共和国民族团结进步促进法</t>
        </is>
      </c>
      <c r="I515" t="inlineStr">
        <is>
          <t>https://www.xiaohongshu.com/explore/6a474dfa0000000008000c3d</t>
        </is>
      </c>
      <c r="J515" t="inlineStr">
        <is>
          <t>新疆特克斯</t>
        </is>
      </c>
      <c r="L515" t="inlineStr">
        <is>
          <t>新疆</t>
        </is>
      </c>
      <c r="O515" t="inlineStr">
        <is>
          <t>中文</t>
        </is>
      </c>
      <c r="P515" t="inlineStr">
        <is>
          <t>否</t>
        </is>
      </c>
      <c r="Q515" t="inlineStr">
        <is>
          <t>支持认可</t>
        </is>
      </c>
      <c r="R515" t="inlineStr">
        <is>
          <t>法律总体解读与评价</t>
        </is>
      </c>
      <c r="S515" t="n">
        <v>9</v>
      </c>
      <c r="T515" t="n">
        <v>0</v>
      </c>
      <c r="U515" t="n">
        <v>376</v>
      </c>
      <c r="V515" t="inlineStr">
        <is>
          <t>否</t>
        </is>
      </c>
      <c r="W515" t="inlineStr">
        <is>
          <t>是</t>
        </is>
      </c>
      <c r="X515" t="inlineStr">
        <is>
          <t>历史导入:新疆地区及全国性平台补充_民族团结进步促进法舆情监测_最终修正版.xlsx；来源类型:个人原创观点；复核:小红书互动数据为页面可见值，精选留言、折叠评论需人工复核；评论区显示"这是一片荒地"，可能无公开评论或需登录查看。；重复:否；待核实:否</t>
        </is>
      </c>
    </row>
    <row r="516">
      <c r="A516" t="inlineStr">
        <is>
          <t>hist-55c5154d6eabd2bf</t>
        </is>
      </c>
      <c r="B516" s="82" t="n">
        <v>46252.9403587963</v>
      </c>
      <c r="C516" s="82" t="n">
        <v>46204</v>
      </c>
      <c r="D516" t="inlineStr">
        <is>
          <t>今日头条</t>
        </is>
      </c>
      <c r="E516" t="inlineStr">
        <is>
          <t>贴吧/头条/新闻评论</t>
        </is>
      </c>
      <c r="F516" t="inlineStr">
        <is>
          <t>原始网页（头条）</t>
        </is>
      </c>
      <c r="G516" t="inlineStr">
        <is>
          <t>中国网（新华社通稿）</t>
        </is>
      </c>
      <c r="H516" t="inlineStr">
        <is>
          <t>2026年3月12日，十四届全国人大四次会议表决通过……自7月1日起施行。</t>
        </is>
      </c>
      <c r="I516" t="inlineStr">
        <is>
          <t>https://www.toutiao.com/article/7657344467409650191/</t>
        </is>
      </c>
      <c r="J516" t="inlineStr">
        <is>
          <t>全国（含新疆）</t>
        </is>
      </c>
      <c r="L516" t="inlineStr">
        <is>
          <t>新疆</t>
        </is>
      </c>
      <c r="O516" t="inlineStr">
        <is>
          <t>中文</t>
        </is>
      </c>
      <c r="P516" t="inlineStr">
        <is>
          <t>否</t>
        </is>
      </c>
      <c r="Q516" t="inlineStr">
        <is>
          <t>中性信息</t>
        </is>
      </c>
      <c r="R516" t="inlineStr">
        <is>
          <t>法律施行与总体解读</t>
        </is>
      </c>
      <c r="S516" t="n">
        <v>0</v>
      </c>
      <c r="T516" t="n">
        <v>0</v>
      </c>
      <c r="U516" t="n">
        <v>0</v>
      </c>
      <c r="V516" t="inlineStr">
        <is>
          <t>否</t>
        </is>
      </c>
      <c r="W516" t="inlineStr">
        <is>
          <t>否</t>
        </is>
      </c>
      <c r="X516" t="inlineStr">
        <is>
          <t>历史导入:新疆民族团结进步促进法_18平台舆情监测_最终去重修正版.xlsx；来源类型:媒体报道；复核:头条平台分发的新华社通稿</t>
        </is>
      </c>
    </row>
    <row r="517">
      <c r="A517" t="inlineStr">
        <is>
          <t>hist-c3b2b2dc8e7bbb41</t>
        </is>
      </c>
      <c r="B517" s="82" t="n">
        <v>46252.9403587963</v>
      </c>
      <c r="C517" s="82" t="n">
        <v>46216</v>
      </c>
      <c r="D517" t="inlineStr">
        <is>
          <t>今日头条</t>
        </is>
      </c>
      <c r="E517" t="inlineStr">
        <is>
          <t>贴吧/头条/新闻评论</t>
        </is>
      </c>
      <c r="F517" t="inlineStr">
        <is>
          <t>原始网页（头条）</t>
        </is>
      </c>
      <c r="G517" t="inlineStr">
        <is>
          <t>阿克苏市零距离</t>
        </is>
      </c>
      <c r="H517" t="inlineStr">
        <is>
          <t>自《中华人民共和国民族团结进步促进法》正式实施以来，阿克苏市……迅速掀起学习宣传贯彻的热潮。</t>
        </is>
      </c>
      <c r="I517" t="inlineStr">
        <is>
          <t>https://www.toutiao.com/article/7661844265596699162</t>
        </is>
      </c>
      <c r="J517" t="inlineStr">
        <is>
          <t>阿克苏市</t>
        </is>
      </c>
      <c r="L517" t="inlineStr">
        <is>
          <t>新疆</t>
        </is>
      </c>
      <c r="O517" t="inlineStr">
        <is>
          <t>中文</t>
        </is>
      </c>
      <c r="P517" t="inlineStr">
        <is>
          <t>否</t>
        </is>
      </c>
      <c r="Q517" t="inlineStr">
        <is>
          <t>官方政策信息</t>
        </is>
      </c>
      <c r="R517" t="inlineStr">
        <is>
          <t>基层落实与宣传覆盖</t>
        </is>
      </c>
      <c r="S517" t="n">
        <v>0</v>
      </c>
      <c r="T517" t="n">
        <v>0</v>
      </c>
      <c r="U517" t="n">
        <v>0</v>
      </c>
      <c r="V517" t="inlineStr">
        <is>
          <t>否</t>
        </is>
      </c>
      <c r="W517" t="inlineStr">
        <is>
          <t>否</t>
        </is>
      </c>
      <c r="X517" t="inlineStr">
        <is>
          <t>历史导入:新疆民族团结进步促进法_18平台舆情监测_最终去重修正版.xlsx；来源类型:官方实施信息</t>
        </is>
      </c>
    </row>
    <row r="518">
      <c r="A518" t="inlineStr">
        <is>
          <t>hist-787db1e8e7f4a5ae</t>
        </is>
      </c>
      <c r="B518" s="82" t="n">
        <v>46252.9403587963</v>
      </c>
      <c r="C518" s="82" t="n">
        <v>46221</v>
      </c>
      <c r="D518" t="inlineStr">
        <is>
          <t>今日头条</t>
        </is>
      </c>
      <c r="E518" t="inlineStr">
        <is>
          <t>贴吧/头条/新闻评论</t>
        </is>
      </c>
      <c r="F518" t="inlineStr">
        <is>
          <t>原始网页（头条）</t>
        </is>
      </c>
      <c r="G518" t="inlineStr">
        <is>
          <t>南方都市报</t>
        </is>
      </c>
      <c r="H518" t="inlineStr">
        <is>
          <t>喀什巴楚县童梦幼儿园园长艾米拉古丽·阿不都……讲述两个'阿达西'小朋友的故事。</t>
        </is>
      </c>
      <c r="I518" t="inlineStr">
        <is>
          <t>https://www.toutiao.com/article/7663703304760787490</t>
        </is>
      </c>
      <c r="J518" t="inlineStr">
        <is>
          <t>喀什地区巴楚县</t>
        </is>
      </c>
      <c r="L518" t="inlineStr">
        <is>
          <t>新疆</t>
        </is>
      </c>
      <c r="O518" t="inlineStr">
        <is>
          <t>中文</t>
        </is>
      </c>
      <c r="P518" t="inlineStr">
        <is>
          <t>否</t>
        </is>
      </c>
      <c r="Q518" t="inlineStr">
        <is>
          <t>支持认可</t>
        </is>
      </c>
      <c r="R518" t="inlineStr">
        <is>
          <t>教育与青少年培养</t>
        </is>
      </c>
      <c r="S518" t="n">
        <v>0</v>
      </c>
      <c r="T518" t="n">
        <v>0</v>
      </c>
      <c r="U518" t="n">
        <v>0</v>
      </c>
      <c r="V518" t="inlineStr">
        <is>
          <t>否</t>
        </is>
      </c>
      <c r="W518" t="inlineStr">
        <is>
          <t>是</t>
        </is>
      </c>
      <c r="X518" t="inlineStr">
        <is>
          <t>历史导入:新疆民族团结进步促进法_18平台舆情监测_最终去重修正版.xlsx；来源类型:媒体报道；复核:基层干部群众代表在国新办见面会的发言</t>
        </is>
      </c>
    </row>
    <row r="519">
      <c r="A519" t="inlineStr">
        <is>
          <t>hist-2bbe2b8dfd36ee20</t>
        </is>
      </c>
      <c r="B519" s="82" t="n">
        <v>46252.9403587963</v>
      </c>
      <c r="C519" s="82" t="n">
        <v>46225</v>
      </c>
      <c r="D519" t="inlineStr">
        <is>
          <t>今日头条</t>
        </is>
      </c>
      <c r="E519" t="inlineStr">
        <is>
          <t>贴吧/头条/新闻评论</t>
        </is>
      </c>
      <c r="F519" t="inlineStr">
        <is>
          <t>原始网页（头条）</t>
        </is>
      </c>
      <c r="G519" t="inlineStr">
        <is>
          <t>双河融媒</t>
        </is>
      </c>
      <c r="H519" t="inlineStr">
        <is>
          <t>第五师双河市各部门认真展开学习并立足本职谈体会……</t>
        </is>
      </c>
      <c r="I519" t="inlineStr">
        <is>
          <t>https://www.toutiao.com/article/7665205153649263138</t>
        </is>
      </c>
      <c r="J519" t="inlineStr">
        <is>
          <t>第五师双河市（兵团）</t>
        </is>
      </c>
      <c r="L519" t="inlineStr">
        <is>
          <t>新疆</t>
        </is>
      </c>
      <c r="O519" t="inlineStr">
        <is>
          <t>中文</t>
        </is>
      </c>
      <c r="P519" t="inlineStr">
        <is>
          <t>否</t>
        </is>
      </c>
      <c r="Q519" t="inlineStr">
        <is>
          <t>官方政策信息</t>
        </is>
      </c>
      <c r="R519" t="inlineStr">
        <is>
          <t>基层落实与宣传覆盖</t>
        </is>
      </c>
      <c r="S519" t="n">
        <v>0</v>
      </c>
      <c r="T519" t="n">
        <v>0</v>
      </c>
      <c r="U519" t="n">
        <v>0</v>
      </c>
      <c r="V519" t="inlineStr">
        <is>
          <t>否</t>
        </is>
      </c>
      <c r="W519" t="inlineStr">
        <is>
          <t>否</t>
        </is>
      </c>
      <c r="X519" t="inlineStr">
        <is>
          <t>历史导入:新疆民族团结进步促进法_18平台舆情监测_最终去重修正版.xlsx；来源类型:官方实施信息；复核:兵团系统实施信息</t>
        </is>
      </c>
    </row>
    <row r="520">
      <c r="A520" t="inlineStr">
        <is>
          <t>hist-49d701c039feea68</t>
        </is>
      </c>
      <c r="B520" s="82" t="n">
        <v>46252.9403587963</v>
      </c>
      <c r="C520" s="82" t="n">
        <v>46232</v>
      </c>
      <c r="D520" t="inlineStr">
        <is>
          <t>今日头条</t>
        </is>
      </c>
      <c r="E520" t="inlineStr">
        <is>
          <t>贴吧/头条/新闻评论</t>
        </is>
      </c>
      <c r="F520" t="inlineStr">
        <is>
          <t>原始网页（头条）</t>
        </is>
      </c>
      <c r="G520" t="inlineStr">
        <is>
          <t>且末融媒</t>
        </is>
      </c>
      <c r="H520" t="inlineStr">
        <is>
          <t>志愿者们将《中华人民共和国民族团结进步促进法》带到了田间地头……村干部就地开设'田间微课堂'。</t>
        </is>
      </c>
      <c r="I520" t="inlineStr">
        <is>
          <t>https://www.toutiao.com/article/7667888434802917940</t>
        </is>
      </c>
      <c r="J520" t="inlineStr">
        <is>
          <t>巴州且末县</t>
        </is>
      </c>
      <c r="L520" t="inlineStr">
        <is>
          <t>新疆</t>
        </is>
      </c>
      <c r="O520" t="inlineStr">
        <is>
          <t>中文</t>
        </is>
      </c>
      <c r="P520" t="inlineStr">
        <is>
          <t>否</t>
        </is>
      </c>
      <c r="Q520" t="inlineStr">
        <is>
          <t>官方政策信息</t>
        </is>
      </c>
      <c r="R520" t="inlineStr">
        <is>
          <t>基层落实与宣传覆盖</t>
        </is>
      </c>
      <c r="S520" t="n">
        <v>0</v>
      </c>
      <c r="T520" t="n">
        <v>0</v>
      </c>
      <c r="U520" t="n">
        <v>0</v>
      </c>
      <c r="V520" t="inlineStr">
        <is>
          <t>否</t>
        </is>
      </c>
      <c r="W520" t="inlineStr">
        <is>
          <t>否</t>
        </is>
      </c>
      <c r="X520" t="inlineStr">
        <is>
          <t>历史导入:新疆民族团结进步促进法_18平台舆情监测_最终去重修正版.xlsx；来源类型:官方实施信息</t>
        </is>
      </c>
    </row>
    <row r="521">
      <c r="A521" t="inlineStr">
        <is>
          <t>hist-483c64458ba34b1f</t>
        </is>
      </c>
      <c r="B521" s="82" t="n">
        <v>46252.9403587963</v>
      </c>
      <c r="C521" s="82" t="n">
        <v>46204</v>
      </c>
      <c r="D521" t="inlineStr">
        <is>
          <t>今日头条</t>
        </is>
      </c>
      <c r="E521" t="inlineStr">
        <is>
          <t>贴吧/头条/新闻评论</t>
        </is>
      </c>
      <c r="F521" t="inlineStr">
        <is>
          <t>原始网页（头条）</t>
        </is>
      </c>
      <c r="G521" t="inlineStr">
        <is>
          <t>温宿县依希来木其乡统战办</t>
        </is>
      </c>
      <c r="H521" t="inlineStr">
        <is>
          <t>近日，新疆温宿县依希来木其乡组织全体机关干部集中学习……</t>
        </is>
      </c>
      <c r="I521" t="inlineStr">
        <is>
          <t>https://m.toutiao.com/article/7628128394407871039</t>
        </is>
      </c>
      <c r="J521" t="inlineStr">
        <is>
          <t>阿克苏地区温宿县</t>
        </is>
      </c>
      <c r="L521" t="inlineStr">
        <is>
          <t>新疆</t>
        </is>
      </c>
      <c r="O521" t="inlineStr">
        <is>
          <t>中文</t>
        </is>
      </c>
      <c r="P521" t="inlineStr">
        <is>
          <t>否</t>
        </is>
      </c>
      <c r="Q521" t="inlineStr">
        <is>
          <t>官方政策信息</t>
        </is>
      </c>
      <c r="R521" t="inlineStr">
        <is>
          <t>基层落实与宣传覆盖</t>
        </is>
      </c>
      <c r="S521" t="n">
        <v>0</v>
      </c>
      <c r="T521" t="n">
        <v>0</v>
      </c>
      <c r="U521" t="n">
        <v>0</v>
      </c>
      <c r="V521" t="inlineStr">
        <is>
          <t>否</t>
        </is>
      </c>
      <c r="W521" t="inlineStr">
        <is>
          <t>否</t>
        </is>
      </c>
      <c r="X521" t="inlineStr">
        <is>
          <t>历史导入:新疆民族团结进步促进法_18平台舆情监测_最终去重修正版.xlsx；来源类型:官方实施信息</t>
        </is>
      </c>
    </row>
    <row r="522">
      <c r="A522" t="inlineStr">
        <is>
          <t>hist-0ad2680f63c52ae8</t>
        </is>
      </c>
      <c r="B522" s="82" t="n">
        <v>46252.9403587963</v>
      </c>
      <c r="C522" s="82" t="n">
        <v>46204</v>
      </c>
      <c r="D522" t="inlineStr">
        <is>
          <t>今日头条</t>
        </is>
      </c>
      <c r="E522" t="inlineStr">
        <is>
          <t>贴吧/头条/新闻评论</t>
        </is>
      </c>
      <c r="F522" t="inlineStr">
        <is>
          <t>原始网页（头条）</t>
        </is>
      </c>
      <c r="G522" t="inlineStr">
        <is>
          <t>侠客岛（人民日报海外版）</t>
        </is>
      </c>
      <c r="H522" t="inlineStr">
        <is>
          <t>7月1日，《中华人民共和国民族团结进步促进法》正式施行……引来一些西方媒体和政客的攻击。</t>
        </is>
      </c>
      <c r="I522" t="inlineStr">
        <is>
          <t>https://www.toutiao.com/article/7659368942082818566</t>
        </is>
      </c>
      <c r="J522" t="inlineStr">
        <is>
          <t>全国（含新疆内容）</t>
        </is>
      </c>
      <c r="L522" t="inlineStr">
        <is>
          <t>新疆</t>
        </is>
      </c>
      <c r="O522" t="inlineStr">
        <is>
          <t>中文</t>
        </is>
      </c>
      <c r="P522" t="inlineStr">
        <is>
          <t>否</t>
        </is>
      </c>
      <c r="Q522" t="inlineStr">
        <is>
          <t>中性信息</t>
        </is>
      </c>
      <c r="R522" t="inlineStr">
        <is>
          <t>国际传播与回应外部质疑</t>
        </is>
      </c>
      <c r="S522" t="n">
        <v>0</v>
      </c>
      <c r="T522" t="n">
        <v>0</v>
      </c>
      <c r="U522" t="n">
        <v>0</v>
      </c>
      <c r="V522" t="inlineStr">
        <is>
          <t>否</t>
        </is>
      </c>
      <c r="W522" t="inlineStr">
        <is>
          <t>否</t>
        </is>
      </c>
      <c r="X522" t="inlineStr">
        <is>
          <t>历史导入:新疆民族团结进步促进法_18平台舆情监测_最终去重修正版.xlsx；来源类型:媒体报道</t>
        </is>
      </c>
    </row>
    <row r="523">
      <c r="A523" t="inlineStr">
        <is>
          <t>hist-616c8b28ec0697a9</t>
        </is>
      </c>
      <c r="B523" s="82" t="n">
        <v>46252.9403587963</v>
      </c>
      <c r="C523" s="82" t="n">
        <v>46206</v>
      </c>
      <c r="D523" t="inlineStr">
        <is>
          <t>今日头条</t>
        </is>
      </c>
      <c r="E523" t="inlineStr">
        <is>
          <t>贴吧/头条/新闻评论</t>
        </is>
      </c>
      <c r="F523" t="inlineStr">
        <is>
          <t>原始网页（头条）</t>
        </is>
      </c>
      <c r="G523" t="inlineStr">
        <is>
          <t>在新疆，理解民族团结进步促进法</t>
        </is>
      </c>
      <c r="H523" t="inlineStr">
        <is>
          <t>透过新疆的历史与现实，既能看到中华民族共同体形成发展的深厚根基……</t>
        </is>
      </c>
      <c r="I523" t="inlineStr">
        <is>
          <t>https://m.toutiao.com/article/7638906057988833818</t>
        </is>
      </c>
      <c r="J523" t="inlineStr">
        <is>
          <t>新疆全区</t>
        </is>
      </c>
      <c r="L523" t="inlineStr">
        <is>
          <t>新疆</t>
        </is>
      </c>
      <c r="O523" t="inlineStr">
        <is>
          <t>中文</t>
        </is>
      </c>
      <c r="P523" t="inlineStr">
        <is>
          <t>否</t>
        </is>
      </c>
      <c r="Q523" t="inlineStr">
        <is>
          <t>中性信息</t>
        </is>
      </c>
      <c r="R523" t="inlineStr">
        <is>
          <t>法律施行与总体解读</t>
        </is>
      </c>
      <c r="S523" t="n">
        <v>0</v>
      </c>
      <c r="T523" t="n">
        <v>0</v>
      </c>
      <c r="U523" t="n">
        <v>0</v>
      </c>
      <c r="V523" t="inlineStr">
        <is>
          <t>否</t>
        </is>
      </c>
      <c r="W523" t="inlineStr">
        <is>
          <t>否</t>
        </is>
      </c>
      <c r="X523" t="inlineStr">
        <is>
          <t>历史导入:新疆民族团结进步促进法_18平台舆情监测_最终去重修正版.xlsx；来源类型:媒体报道；复核:转载自统战新语</t>
        </is>
      </c>
    </row>
    <row r="524">
      <c r="A524" t="inlineStr">
        <is>
          <t>hist-bc066ba542add5e2</t>
        </is>
      </c>
      <c r="B524" s="82" t="n">
        <v>46252.9403587963</v>
      </c>
      <c r="C524" s="82" t="n">
        <v>46230</v>
      </c>
      <c r="D524" t="inlineStr">
        <is>
          <t>腾讯新闻（头条渠道）</t>
        </is>
      </c>
      <c r="E524" t="inlineStr">
        <is>
          <t>贴吧/头条/新闻评论</t>
        </is>
      </c>
      <c r="F524" t="inlineStr">
        <is>
          <t>原始网页（头条分发）</t>
        </is>
      </c>
      <c r="G524" t="inlineStr">
        <is>
          <t>道中华/汪习根</t>
        </is>
      </c>
      <c r="H524" t="inlineStr">
        <is>
          <t>2026年7月正式实施的《中华人民共和国民族团结进步促进法》……把党在民族工作取得的重大理论和实践成果转化为国家意志。</t>
        </is>
      </c>
      <c r="I524" t="inlineStr">
        <is>
          <t>https://new.qq.com/rain/a/20260727A038DK00</t>
        </is>
      </c>
      <c r="J524" t="inlineStr">
        <is>
          <t>新疆（棉花议题）</t>
        </is>
      </c>
      <c r="L524" t="inlineStr">
        <is>
          <t>新疆</t>
        </is>
      </c>
      <c r="O524" t="inlineStr">
        <is>
          <t>中文</t>
        </is>
      </c>
      <c r="P524" t="inlineStr">
        <is>
          <t>否</t>
        </is>
      </c>
      <c r="Q524" t="inlineStr">
        <is>
          <t>支持认可</t>
        </is>
      </c>
      <c r="R524" t="inlineStr">
        <is>
          <t>国际传播与回应外部质疑</t>
        </is>
      </c>
      <c r="S524" t="n">
        <v>0</v>
      </c>
      <c r="T524" t="n">
        <v>0</v>
      </c>
      <c r="U524" t="n">
        <v>0</v>
      </c>
      <c r="V524" t="inlineStr">
        <is>
          <t>否</t>
        </is>
      </c>
      <c r="W524" t="inlineStr">
        <is>
          <t>否</t>
        </is>
      </c>
      <c r="X524" t="inlineStr">
        <is>
          <t>历史导入:新疆民族团结进步促进法_18平台舆情监测_最终去重修正版.xlsx；来源类型:媒体报道</t>
        </is>
      </c>
    </row>
    <row r="525">
      <c r="A525" t="inlineStr">
        <is>
          <t>hist-3ab00c111ffaab27</t>
        </is>
      </c>
      <c r="B525" s="82" t="n">
        <v>46252.9403587963</v>
      </c>
      <c r="C525" s="82" t="n">
        <v>46227</v>
      </c>
      <c r="D525" t="inlineStr">
        <is>
          <t>腾讯新闻（头条渠道）</t>
        </is>
      </c>
      <c r="E525" t="inlineStr">
        <is>
          <t>贴吧/头条/新闻评论</t>
        </is>
      </c>
      <c r="F525" t="inlineStr">
        <is>
          <t>原始网页（头条分发）</t>
        </is>
      </c>
      <c r="G525" t="inlineStr">
        <is>
          <t>奎屯市新时代文明实践中心</t>
        </is>
      </c>
      <c r="H525" t="inlineStr">
        <is>
          <t>奎屯市……创新宣讲载体、拓宽宣传覆盖范围……开展接地气、全覆盖的主题宣讲活动。</t>
        </is>
      </c>
      <c r="I525" t="inlineStr">
        <is>
          <t>https://new.qq.com/rain/a/20260724A0CY2900</t>
        </is>
      </c>
      <c r="J525" t="inlineStr">
        <is>
          <t>伊犁州奎屯市</t>
        </is>
      </c>
      <c r="L525" t="inlineStr">
        <is>
          <t>新疆</t>
        </is>
      </c>
      <c r="O525" t="inlineStr">
        <is>
          <t>中文</t>
        </is>
      </c>
      <c r="P525" t="inlineStr">
        <is>
          <t>否</t>
        </is>
      </c>
      <c r="Q525" t="inlineStr">
        <is>
          <t>官方政策信息</t>
        </is>
      </c>
      <c r="R525" t="inlineStr">
        <is>
          <t>基层落实与宣传覆盖</t>
        </is>
      </c>
      <c r="S525" t="n">
        <v>0</v>
      </c>
      <c r="T525" t="n">
        <v>0</v>
      </c>
      <c r="U525" t="n">
        <v>0</v>
      </c>
      <c r="V525" t="inlineStr">
        <is>
          <t>否</t>
        </is>
      </c>
      <c r="W525" t="inlineStr">
        <is>
          <t>否</t>
        </is>
      </c>
      <c r="X525" t="inlineStr">
        <is>
          <t>历史导入:新疆民族团结进步促进法_18平台舆情监测_最终去重修正版.xlsx；来源类型:官方实施信息</t>
        </is>
      </c>
    </row>
    <row r="526">
      <c r="A526" t="inlineStr">
        <is>
          <t>hist-2633a99c717f2abf</t>
        </is>
      </c>
      <c r="B526" s="82" t="n">
        <v>46252.9403587963</v>
      </c>
      <c r="C526" s="82" t="n">
        <v>46233</v>
      </c>
      <c r="D526" t="inlineStr">
        <is>
          <t>腾讯新闻（头条渠道）</t>
        </is>
      </c>
      <c r="E526" t="inlineStr">
        <is>
          <t>贴吧/头条/新闻评论</t>
        </is>
      </c>
      <c r="F526" t="inlineStr">
        <is>
          <t>原始网页（头条分发）</t>
        </is>
      </c>
      <c r="G526" t="inlineStr">
        <is>
          <t>新和县融媒体中心</t>
        </is>
      </c>
      <c r="H526" t="inlineStr">
        <is>
          <t>宣讲队员深入辖区集市开展普法宣传活动……累计发放宣传资料200余份，覆盖群众300余人。</t>
        </is>
      </c>
      <c r="I526" t="inlineStr">
        <is>
          <t>https://new.qq.com/rain/a/20260730A0BAZD00</t>
        </is>
      </c>
      <c r="J526" t="inlineStr">
        <is>
          <t>阿克苏地区新和县</t>
        </is>
      </c>
      <c r="L526" t="inlineStr">
        <is>
          <t>新疆</t>
        </is>
      </c>
      <c r="O526" t="inlineStr">
        <is>
          <t>中文</t>
        </is>
      </c>
      <c r="P526" t="inlineStr">
        <is>
          <t>否</t>
        </is>
      </c>
      <c r="Q526" t="inlineStr">
        <is>
          <t>官方政策信息</t>
        </is>
      </c>
      <c r="R526" t="inlineStr">
        <is>
          <t>基层落实与宣传覆盖</t>
        </is>
      </c>
      <c r="S526" t="n">
        <v>0</v>
      </c>
      <c r="T526" t="n">
        <v>0</v>
      </c>
      <c r="U526" t="n">
        <v>0</v>
      </c>
      <c r="V526" t="inlineStr">
        <is>
          <t>否</t>
        </is>
      </c>
      <c r="W526" t="inlineStr">
        <is>
          <t>否</t>
        </is>
      </c>
      <c r="X526" t="inlineStr">
        <is>
          <t>历史导入:新疆民族团结进步促进法_18平台舆情监测_最终去重修正版.xlsx；来源类型:官方实施信息</t>
        </is>
      </c>
    </row>
    <row r="527">
      <c r="A527" t="inlineStr">
        <is>
          <t>hist-ec74403961be6c42</t>
        </is>
      </c>
      <c r="B527" s="82" t="n">
        <v>46252.9403587963</v>
      </c>
      <c r="C527" s="82" t="n">
        <v>46221</v>
      </c>
      <c r="D527" t="inlineStr">
        <is>
          <t>腾讯新闻（头条渠道）</t>
        </is>
      </c>
      <c r="E527" t="inlineStr">
        <is>
          <t>贴吧/头条/新闻评论</t>
        </is>
      </c>
      <c r="F527" t="inlineStr">
        <is>
          <t>原始网页（头条分发）</t>
        </is>
      </c>
      <c r="G527" t="inlineStr">
        <is>
          <t>五家渠市人大</t>
        </is>
      </c>
      <c r="H527" t="inlineStr">
        <is>
          <t>7月15日，五家渠市人大常委会举办专题辅导讲座……实现从政策引导向法治保障的历史性转变。</t>
        </is>
      </c>
      <c r="I527" t="inlineStr">
        <is>
          <t>https://new.qq.com/rain/a/20260718A02OW600</t>
        </is>
      </c>
      <c r="J527" t="inlineStr">
        <is>
          <t>五家渠市（兵团第六师）</t>
        </is>
      </c>
      <c r="L527" t="inlineStr">
        <is>
          <t>新疆</t>
        </is>
      </c>
      <c r="O527" t="inlineStr">
        <is>
          <t>中文</t>
        </is>
      </c>
      <c r="P527" t="inlineStr">
        <is>
          <t>否</t>
        </is>
      </c>
      <c r="Q527" t="inlineStr">
        <is>
          <t>官方政策信息</t>
        </is>
      </c>
      <c r="R527" t="inlineStr">
        <is>
          <t>学习培训与宣传覆盖</t>
        </is>
      </c>
      <c r="S527" t="n">
        <v>0</v>
      </c>
      <c r="T527" t="n">
        <v>0</v>
      </c>
      <c r="U527" t="n">
        <v>0</v>
      </c>
      <c r="V527" t="inlineStr">
        <is>
          <t>否</t>
        </is>
      </c>
      <c r="W527" t="inlineStr">
        <is>
          <t>否</t>
        </is>
      </c>
      <c r="X527" t="inlineStr">
        <is>
          <t>历史导入:新疆民族团结进步促进法_18平台舆情监测_最终去重修正版.xlsx；来源类型:官方实施信息；复核:兵团系统实施信息</t>
        </is>
      </c>
    </row>
    <row r="528">
      <c r="A528" t="inlineStr">
        <is>
          <t>hist-0735fe0315becbbd</t>
        </is>
      </c>
      <c r="B528" s="82" t="n">
        <v>46252.9403587963</v>
      </c>
      <c r="C528" s="82" t="n">
        <v>46204</v>
      </c>
      <c r="D528" t="inlineStr">
        <is>
          <t>今日头条</t>
        </is>
      </c>
      <c r="E528" t="inlineStr">
        <is>
          <t>贴吧/头条/新闻评论</t>
        </is>
      </c>
      <c r="F528" t="inlineStr">
        <is>
          <t>原始网页（头条）</t>
        </is>
      </c>
      <c r="G528" t="inlineStr">
        <is>
          <t>新疆：立法直通车也是团结连心桥</t>
        </is>
      </c>
      <c r="H528" t="inlineStr">
        <is>
          <t>库车市人民检察院书记员建议增加'支持'二字……如今翻看法律第四十七条，'支持'已被吸纳。</t>
        </is>
      </c>
      <c r="I528" t="inlineStr">
        <is>
          <t>https://www.toutiao.com/article/7657751523329376831</t>
        </is>
      </c>
      <c r="J528" t="inlineStr">
        <is>
          <t>伊犁州/库车市</t>
        </is>
      </c>
      <c r="L528" t="inlineStr">
        <is>
          <t>新疆</t>
        </is>
      </c>
      <c r="O528" t="inlineStr">
        <is>
          <t>中文</t>
        </is>
      </c>
      <c r="P528" t="inlineStr">
        <is>
          <t>否</t>
        </is>
      </c>
      <c r="Q528" t="inlineStr">
        <is>
          <t>支持认可</t>
        </is>
      </c>
      <c r="R528" t="inlineStr">
        <is>
          <t>立法过程与基层参与</t>
        </is>
      </c>
      <c r="S528" t="n">
        <v>0</v>
      </c>
      <c r="T528" t="n">
        <v>0</v>
      </c>
      <c r="U528" t="n">
        <v>0</v>
      </c>
      <c r="V528" t="inlineStr">
        <is>
          <t>否</t>
        </is>
      </c>
      <c r="W528" t="inlineStr">
        <is>
          <t>否</t>
        </is>
      </c>
      <c r="X528" t="inlineStr">
        <is>
          <t>历史导入:新疆民族团结进步促进法_18平台舆情监测_最终去重修正版.xlsx；来源类型:媒体报道</t>
        </is>
      </c>
    </row>
    <row r="529">
      <c r="A529" t="inlineStr">
        <is>
          <t>hist-89357eb61dca11f3</t>
        </is>
      </c>
      <c r="B529" s="82" t="n">
        <v>46252.9403587963</v>
      </c>
      <c r="C529" s="82" t="n">
        <v>46204</v>
      </c>
      <c r="D529" t="inlineStr">
        <is>
          <t>今日头条</t>
        </is>
      </c>
      <c r="E529" t="inlineStr">
        <is>
          <t>贴吧/头条/新闻评论</t>
        </is>
      </c>
      <c r="F529" t="inlineStr">
        <is>
          <t>原始网页（头条）</t>
        </is>
      </c>
      <c r="G529" t="inlineStr">
        <is>
          <t>在新疆，理解民族团结进步促进法</t>
        </is>
      </c>
      <c r="H529" t="inlineStr">
        <is>
          <t>新疆地处祖国西北边陲……自古以来就是中国历史不可分割的重要组成部分。</t>
        </is>
      </c>
      <c r="I529" t="inlineStr">
        <is>
          <t>https://m.toutiao.com/article/7638906057988833818</t>
        </is>
      </c>
      <c r="J529" t="inlineStr">
        <is>
          <t>新疆全区</t>
        </is>
      </c>
      <c r="L529" t="inlineStr">
        <is>
          <t>新疆</t>
        </is>
      </c>
      <c r="O529" t="inlineStr">
        <is>
          <t>中文</t>
        </is>
      </c>
      <c r="P529" t="inlineStr">
        <is>
          <t>否</t>
        </is>
      </c>
      <c r="Q529" t="inlineStr">
        <is>
          <t>中性信息</t>
        </is>
      </c>
      <c r="R529" t="inlineStr">
        <is>
          <t>法律施行与总体解读</t>
        </is>
      </c>
      <c r="S529" t="n">
        <v>0</v>
      </c>
      <c r="T529" t="n">
        <v>0</v>
      </c>
      <c r="U529" t="n">
        <v>0</v>
      </c>
      <c r="V529" t="inlineStr">
        <is>
          <t>否</t>
        </is>
      </c>
      <c r="W529" t="inlineStr">
        <is>
          <t>否</t>
        </is>
      </c>
      <c r="X529" t="inlineStr">
        <is>
          <t>历史导入:新疆民族团结进步促进法_18平台舆情监测_最终去重修正版.xlsx；来源类型:媒体报道；复核:深度版文章</t>
        </is>
      </c>
    </row>
    <row r="530">
      <c r="A530" t="inlineStr">
        <is>
          <t>hist-3b486def73b2379c</t>
        </is>
      </c>
      <c r="B530" s="82" t="n">
        <v>46252.9403587963</v>
      </c>
      <c r="C530" s="82" t="n">
        <v>46204</v>
      </c>
      <c r="D530" t="inlineStr">
        <is>
          <t>今日头条</t>
        </is>
      </c>
      <c r="E530" t="inlineStr">
        <is>
          <t>贴吧/头条/新闻评论</t>
        </is>
      </c>
      <c r="F530" t="inlineStr">
        <is>
          <t>原始网页（头条）</t>
        </is>
      </c>
      <c r="G530" t="inlineStr">
        <is>
          <t>中国日报新疆记者站（曹音）</t>
        </is>
      </c>
      <c r="H530" t="inlineStr">
        <is>
          <t>伊宁县胡地亚于孜镇基层立法联系点是新疆首个'国字号'基层立法联系点。</t>
        </is>
      </c>
      <c r="I530" t="inlineStr">
        <is>
          <t>https://www.toutiao.com/article/7654484070914736649</t>
        </is>
      </c>
      <c r="J530" t="inlineStr">
        <is>
          <t>伊犁州伊宁县</t>
        </is>
      </c>
      <c r="L530" t="inlineStr">
        <is>
          <t>新疆</t>
        </is>
      </c>
      <c r="O530" t="inlineStr">
        <is>
          <t>中文</t>
        </is>
      </c>
      <c r="P530" t="inlineStr">
        <is>
          <t>否</t>
        </is>
      </c>
      <c r="Q530" t="inlineStr">
        <is>
          <t>中性信息</t>
        </is>
      </c>
      <c r="R530" t="inlineStr">
        <is>
          <t>立法过程与基层参与</t>
        </is>
      </c>
      <c r="S530" t="n">
        <v>0</v>
      </c>
      <c r="T530" t="n">
        <v>0</v>
      </c>
      <c r="U530" t="n">
        <v>0</v>
      </c>
      <c r="V530" t="inlineStr">
        <is>
          <t>否</t>
        </is>
      </c>
      <c r="W530" t="inlineStr">
        <is>
          <t>否</t>
        </is>
      </c>
      <c r="X530" t="inlineStr">
        <is>
          <t>历史导入:新疆民族团结进步促进法_18平台舆情监测_最终去重修正版.xlsx；来源类型:媒体报道</t>
        </is>
      </c>
    </row>
    <row r="531">
      <c r="A531" t="inlineStr">
        <is>
          <t>hist-ee809eca5792f361</t>
        </is>
      </c>
      <c r="B531" s="82" t="n">
        <v>46252.9403587963</v>
      </c>
      <c r="C531" s="82" t="n">
        <v>46204</v>
      </c>
      <c r="D531" t="inlineStr">
        <is>
          <t>今日头条</t>
        </is>
      </c>
      <c r="E531" t="inlineStr">
        <is>
          <t>贴吧/头条/新闻评论</t>
        </is>
      </c>
      <c r="F531" t="inlineStr">
        <is>
          <t>原始网页（头条）</t>
        </is>
      </c>
      <c r="G531" t="inlineStr">
        <is>
          <t>中国部分法律刚刚施行，西方又坐不住了……</t>
        </is>
      </c>
      <c r="H531" t="inlineStr">
        <is>
          <t>近日，《中华人民共和国民族团结进步促进法》正式施行……被强行贴上'同化少数民族'的标签。</t>
        </is>
      </c>
      <c r="I531" t="inlineStr">
        <is>
          <t>https://www.toutiao.com/article/7659622681440010771</t>
        </is>
      </c>
      <c r="J531" t="inlineStr">
        <is>
          <t>全国（含新疆）</t>
        </is>
      </c>
      <c r="L531" t="inlineStr">
        <is>
          <t>新疆</t>
        </is>
      </c>
      <c r="O531" t="inlineStr">
        <is>
          <t>中文</t>
        </is>
      </c>
      <c r="P531" t="inlineStr">
        <is>
          <t>否</t>
        </is>
      </c>
      <c r="Q531" t="inlineStr">
        <is>
          <t>中性信息</t>
        </is>
      </c>
      <c r="R531" t="inlineStr">
        <is>
          <t>国际传播与回应外部质疑</t>
        </is>
      </c>
      <c r="S531" t="n">
        <v>0</v>
      </c>
      <c r="T531" t="n">
        <v>0</v>
      </c>
      <c r="U531" t="n">
        <v>0</v>
      </c>
      <c r="V531" t="inlineStr">
        <is>
          <t>否</t>
        </is>
      </c>
      <c r="W531" t="inlineStr">
        <is>
          <t>否</t>
        </is>
      </c>
      <c r="X531" t="inlineStr">
        <is>
          <t>历史导入:新疆民族团结进步促进法_18平台舆情监测_最终去重修正版.xlsx；来源类型:媒体报道</t>
        </is>
      </c>
    </row>
    <row r="532">
      <c r="A532" t="inlineStr">
        <is>
          <t>hist-7b1f2885bda7d00e</t>
        </is>
      </c>
      <c r="B532" s="82" t="n">
        <v>46252.9403587963</v>
      </c>
      <c r="C532" s="82" t="n">
        <v>46204</v>
      </c>
      <c r="D532" t="inlineStr">
        <is>
          <t>今日头条</t>
        </is>
      </c>
      <c r="E532" t="inlineStr">
        <is>
          <t>贴吧/头条/新闻评论</t>
        </is>
      </c>
      <c r="F532" t="inlineStr">
        <is>
          <t>原始网页（头条）</t>
        </is>
      </c>
      <c r="G532" t="inlineStr">
        <is>
          <t>求是网</t>
        </is>
      </c>
      <c r="H532" t="inlineStr">
        <is>
          <t>系统总结民族团结进步事业发展的规律性认识，将新时代党的民族工作理论创新与实践经验制度化、法律化。</t>
        </is>
      </c>
      <c r="I532" t="inlineStr">
        <is>
          <t>https://www.toutiao.com/article/7661290165423309375</t>
        </is>
      </c>
      <c r="J532" t="inlineStr">
        <is>
          <t>全国（含新疆内容）</t>
        </is>
      </c>
      <c r="L532" t="inlineStr">
        <is>
          <t>新疆</t>
        </is>
      </c>
      <c r="O532" t="inlineStr">
        <is>
          <t>中文</t>
        </is>
      </c>
      <c r="P532" t="inlineStr">
        <is>
          <t>否</t>
        </is>
      </c>
      <c r="Q532" t="inlineStr">
        <is>
          <t>中性信息</t>
        </is>
      </c>
      <c r="R532" t="inlineStr">
        <is>
          <t>法律施行与总体解读</t>
        </is>
      </c>
      <c r="S532" t="n">
        <v>0</v>
      </c>
      <c r="T532" t="n">
        <v>0</v>
      </c>
      <c r="U532" t="n">
        <v>0</v>
      </c>
      <c r="V532" t="inlineStr">
        <is>
          <t>否</t>
        </is>
      </c>
      <c r="W532" t="inlineStr">
        <is>
          <t>否</t>
        </is>
      </c>
      <c r="X532" t="inlineStr">
        <is>
          <t>历史导入:新疆民族团结进步促进法_18平台舆情监测_最终去重修正版.xlsx；来源类型:媒体报道</t>
        </is>
      </c>
    </row>
    <row r="533">
      <c r="A533" t="inlineStr">
        <is>
          <t>hist-d58a71c1d4e128e9</t>
        </is>
      </c>
      <c r="B533" s="82" t="n">
        <v>46252.9403587963</v>
      </c>
      <c r="D533" t="inlineStr">
        <is>
          <t>平台/网站</t>
        </is>
      </c>
      <c r="E533" t="inlineStr">
        <is>
          <t>其他</t>
        </is>
      </c>
      <c r="F533" t="inlineStr">
        <is>
          <t>采集来源</t>
        </is>
      </c>
      <c r="G533" t="inlineStr">
        <is>
          <t>账号/栏目</t>
        </is>
      </c>
      <c r="H533" t="inlineStr">
        <is>
          <t>原文证据摘录</t>
        </is>
      </c>
      <c r="I533" t="inlineStr">
        <is>
          <t>原始链接</t>
        </is>
      </c>
      <c r="J533" t="inlineStr">
        <is>
          <t>涉及地区</t>
        </is>
      </c>
      <c r="O533" t="inlineStr">
        <is>
          <t>中文</t>
        </is>
      </c>
      <c r="P533" t="inlineStr">
        <is>
          <t>否</t>
        </is>
      </c>
      <c r="Q533" t="inlineStr">
        <is>
          <t>意见类型</t>
        </is>
      </c>
      <c r="R533" t="inlineStr">
        <is>
          <t>具体议题</t>
        </is>
      </c>
      <c r="S533" t="n">
        <v>0</v>
      </c>
      <c r="T533" t="n">
        <v>0</v>
      </c>
      <c r="U533" t="n">
        <v>0</v>
      </c>
      <c r="V533" t="inlineStr">
        <is>
          <t>否</t>
        </is>
      </c>
      <c r="W533" t="inlineStr">
        <is>
          <t>是</t>
        </is>
      </c>
      <c r="X533" t="inlineStr">
        <is>
          <t>历史导入:新疆民族团结进步促进法_18平台舆情监测_最终去重修正版.xlsx；来源类型:来源类型；复核:人工复核说明</t>
        </is>
      </c>
    </row>
    <row r="534">
      <c r="A534" t="inlineStr">
        <is>
          <t>hist-dc9d284d5eb8ddaa</t>
        </is>
      </c>
      <c r="B534" s="82" t="n">
        <v>46252.9403587963</v>
      </c>
      <c r="C534" s="82" t="n">
        <v>46230</v>
      </c>
      <c r="D534" t="inlineStr">
        <is>
          <t>腾讯新闻/企鹅号</t>
        </is>
      </c>
      <c r="E534" t="inlineStr">
        <is>
          <t>贴吧/头条/新闻评论</t>
        </is>
      </c>
      <c r="F534" t="inlineStr">
        <is>
          <t>原始网页（腾讯）</t>
        </is>
      </c>
      <c r="G534" t="inlineStr">
        <is>
          <t>奎屯市融媒体中心</t>
        </is>
      </c>
      <c r="H534" t="inlineStr">
        <is>
          <t>民族团结进步促进法实施以来，北京西路街道牢牢锚定铸牢中华民族共同体意识主线，精准推动法律要求融入基层治理各环节。</t>
        </is>
      </c>
      <c r="I534" t="inlineStr">
        <is>
          <t>https://new.qq.com/rain/a/20260727A06YMB00</t>
        </is>
      </c>
      <c r="J534" t="inlineStr">
        <is>
          <t>伊犁州奎屯市</t>
        </is>
      </c>
      <c r="L534" t="inlineStr">
        <is>
          <t>新疆</t>
        </is>
      </c>
      <c r="O534" t="inlineStr">
        <is>
          <t>中文</t>
        </is>
      </c>
      <c r="P534" t="inlineStr">
        <is>
          <t>否</t>
        </is>
      </c>
      <c r="Q534" t="inlineStr">
        <is>
          <t>支持认可</t>
        </is>
      </c>
      <c r="R534" t="inlineStr">
        <is>
          <t>基层执行与依法履职</t>
        </is>
      </c>
      <c r="S534" t="n">
        <v>0</v>
      </c>
      <c r="T534" t="n">
        <v>0</v>
      </c>
      <c r="U534" t="n">
        <v>0</v>
      </c>
      <c r="V534" t="inlineStr">
        <is>
          <t>否</t>
        </is>
      </c>
      <c r="W534" t="inlineStr">
        <is>
          <t>是</t>
        </is>
      </c>
      <c r="X534" t="inlineStr">
        <is>
          <t>历史导入:新疆民族团结进步促进法_18平台舆情监测_最终去重修正版.xlsx；来源类型:个人观点（具名引语）；复核:公开具名引语；不推断其民族、宗教或其他个人属性。</t>
        </is>
      </c>
    </row>
    <row r="535">
      <c r="A535" t="inlineStr">
        <is>
          <t>hist-82f6bb51f9bf8ea0</t>
        </is>
      </c>
      <c r="B535" s="82" t="n">
        <v>46252.9403587963</v>
      </c>
      <c r="C535" s="82" t="n">
        <v>46230</v>
      </c>
      <c r="D535" t="inlineStr">
        <is>
          <t>腾讯新闻/企鹅号</t>
        </is>
      </c>
      <c r="E535" t="inlineStr">
        <is>
          <t>贴吧/头条/新闻评论</t>
        </is>
      </c>
      <c r="F535" t="inlineStr">
        <is>
          <t>原始网页（腾讯）</t>
        </is>
      </c>
      <c r="G535" t="inlineStr">
        <is>
          <t>奎屯市融媒体中心</t>
        </is>
      </c>
      <c r="H535" t="inlineStr">
        <is>
          <t>将民族团结进步促进法纳入干部日常学习与专题培训，吃透法律要义，树牢法治思维。</t>
        </is>
      </c>
      <c r="I535" t="inlineStr">
        <is>
          <t>https://new.qq.com/rain/a/20260727A06YMB00</t>
        </is>
      </c>
      <c r="J535" t="inlineStr">
        <is>
          <t>伊犁州奎屯市</t>
        </is>
      </c>
      <c r="L535" t="inlineStr">
        <is>
          <t>新疆</t>
        </is>
      </c>
      <c r="O535" t="inlineStr">
        <is>
          <t>中文</t>
        </is>
      </c>
      <c r="P535" t="inlineStr">
        <is>
          <t>否</t>
        </is>
      </c>
      <c r="Q535" t="inlineStr">
        <is>
          <t>支持认可</t>
        </is>
      </c>
      <c r="R535" t="inlineStr">
        <is>
          <t>基层执行与依法履职</t>
        </is>
      </c>
      <c r="S535" t="n">
        <v>0</v>
      </c>
      <c r="T535" t="n">
        <v>0</v>
      </c>
      <c r="U535" t="n">
        <v>0</v>
      </c>
      <c r="V535" t="inlineStr">
        <is>
          <t>否</t>
        </is>
      </c>
      <c r="W535" t="inlineStr">
        <is>
          <t>是</t>
        </is>
      </c>
      <c r="X535" t="inlineStr">
        <is>
          <t>历史导入:新疆民族团结进步促进法_18平台舆情监测_最终去重修正版.xlsx；来源类型:个人观点（具名引语）；复核:同上；同文不同引语，独立计入。</t>
        </is>
      </c>
    </row>
    <row r="536">
      <c r="A536" t="inlineStr">
        <is>
          <t>hist-430c930909a6f3dc</t>
        </is>
      </c>
      <c r="B536" s="82" t="n">
        <v>46252.9403587963</v>
      </c>
      <c r="C536" s="82" t="n">
        <v>46230</v>
      </c>
      <c r="D536" t="inlineStr">
        <is>
          <t>腾讯新闻/企鹅号</t>
        </is>
      </c>
      <c r="E536" t="inlineStr">
        <is>
          <t>贴吧/头条/新闻评论</t>
        </is>
      </c>
      <c r="F536" t="inlineStr">
        <is>
          <t>原始网页（腾讯）</t>
        </is>
      </c>
      <c r="G536" t="inlineStr">
        <is>
          <t>奎屯市融媒体中心</t>
        </is>
      </c>
      <c r="H536" t="inlineStr">
        <is>
          <t>街道紧扣基层治理实际，分层分类推进民族团结进步促进法落地落实。</t>
        </is>
      </c>
      <c r="I536" t="inlineStr">
        <is>
          <t>https://new.qq.com/rain/a/20260727A06YMB00</t>
        </is>
      </c>
      <c r="J536" t="inlineStr">
        <is>
          <t>伊犁州奎屯市</t>
        </is>
      </c>
      <c r="L536" t="inlineStr">
        <is>
          <t>新疆</t>
        </is>
      </c>
      <c r="O536" t="inlineStr">
        <is>
          <t>中文</t>
        </is>
      </c>
      <c r="P536" t="inlineStr">
        <is>
          <t>否</t>
        </is>
      </c>
      <c r="Q536" t="inlineStr">
        <is>
          <t>支持认可</t>
        </is>
      </c>
      <c r="R536" t="inlineStr">
        <is>
          <t>基层执行与依法履职</t>
        </is>
      </c>
      <c r="S536" t="n">
        <v>0</v>
      </c>
      <c r="T536" t="n">
        <v>0</v>
      </c>
      <c r="U536" t="n">
        <v>0</v>
      </c>
      <c r="V536" t="inlineStr">
        <is>
          <t>否</t>
        </is>
      </c>
      <c r="W536" t="inlineStr">
        <is>
          <t>是</t>
        </is>
      </c>
      <c r="X536" t="inlineStr">
        <is>
          <t>历史导入:新疆民族团结进步促进法_18平台舆情监测_最终去重修正版.xlsx；来源类型:个人观点（具名引语）；复核:同上；同文不同引语，独立计入。</t>
        </is>
      </c>
    </row>
    <row r="537">
      <c r="A537" t="inlineStr">
        <is>
          <t>hist-2baf3fc744f9aaf7</t>
        </is>
      </c>
      <c r="B537" s="82" t="n">
        <v>46252.9403587963</v>
      </c>
      <c r="C537" s="82" t="n">
        <v>46230</v>
      </c>
      <c r="D537" t="inlineStr">
        <is>
          <t>腾讯新闻/企鹅号</t>
        </is>
      </c>
      <c r="E537" t="inlineStr">
        <is>
          <t>贴吧/头条/新闻评论</t>
        </is>
      </c>
      <c r="F537" t="inlineStr">
        <is>
          <t>原始网页（腾讯）</t>
        </is>
      </c>
      <c r="G537" t="inlineStr">
        <is>
          <t>奎屯市融媒体中心</t>
        </is>
      </c>
      <c r="H537" t="inlineStr">
        <is>
          <t>从'学、讲、用'三个维度推动法律落地见效……推动组建国家通用语言文字互助小组。</t>
        </is>
      </c>
      <c r="I537" t="inlineStr">
        <is>
          <t>https://new.qq.com/rain/a/20260727A06YMB00</t>
        </is>
      </c>
      <c r="J537" t="inlineStr">
        <is>
          <t>伊犁州奎屯市</t>
        </is>
      </c>
      <c r="L537" t="inlineStr">
        <is>
          <t>新疆</t>
        </is>
      </c>
      <c r="O537" t="inlineStr">
        <is>
          <t>中文</t>
        </is>
      </c>
      <c r="P537" t="inlineStr">
        <is>
          <t>否</t>
        </is>
      </c>
      <c r="Q537" t="inlineStr">
        <is>
          <t>支持认可</t>
        </is>
      </c>
      <c r="R537" t="inlineStr">
        <is>
          <t>基层执行与依法履职</t>
        </is>
      </c>
      <c r="S537" t="n">
        <v>0</v>
      </c>
      <c r="T537" t="n">
        <v>0</v>
      </c>
      <c r="U537" t="n">
        <v>0</v>
      </c>
      <c r="V537" t="inlineStr">
        <is>
          <t>否</t>
        </is>
      </c>
      <c r="W537" t="inlineStr">
        <is>
          <t>是</t>
        </is>
      </c>
      <c r="X537" t="inlineStr">
        <is>
          <t>历史导入:新疆民族团结进步促进法_18平台舆情监测_最终去重修正版.xlsx；来源类型:个人观点（具名引语）；复核:同上；同文不同引语，独立计入。</t>
        </is>
      </c>
    </row>
    <row r="538">
      <c r="A538" t="inlineStr">
        <is>
          <t>hist-a2ed9449f7758160</t>
        </is>
      </c>
      <c r="B538" s="82" t="n">
        <v>46252.9403587963</v>
      </c>
      <c r="C538" s="82" t="n">
        <v>46216</v>
      </c>
      <c r="D538" t="inlineStr">
        <is>
          <t>腾讯新闻</t>
        </is>
      </c>
      <c r="E538" t="inlineStr">
        <is>
          <t>贴吧/头条/新闻评论</t>
        </is>
      </c>
      <c r="F538" t="inlineStr">
        <is>
          <t>原始网页（腾讯）</t>
        </is>
      </c>
      <c r="G538" t="inlineStr">
        <is>
          <t>法治日报/青海司法厅账号</t>
        </is>
      </c>
      <c r="H538" t="inlineStr">
        <is>
          <t>制定出台民族团结进步促进法，是我国民族工作的一件大事。</t>
        </is>
      </c>
      <c r="I538" t="inlineStr">
        <is>
          <t>https://news.qq.com/rain/a/20260713A041CE00</t>
        </is>
      </c>
      <c r="J538" t="inlineStr">
        <is>
          <t>全国</t>
        </is>
      </c>
      <c r="O538" t="inlineStr">
        <is>
          <t>中文</t>
        </is>
      </c>
      <c r="P538" t="inlineStr">
        <is>
          <t>否</t>
        </is>
      </c>
      <c r="Q538" t="inlineStr">
        <is>
          <t>中性信息</t>
        </is>
      </c>
      <c r="R538" t="inlineStr">
        <is>
          <t>法律施行与总体解读</t>
        </is>
      </c>
      <c r="S538" t="n">
        <v>0</v>
      </c>
      <c r="T538" t="n">
        <v>0</v>
      </c>
      <c r="U538" t="n">
        <v>0</v>
      </c>
      <c r="V538" t="inlineStr">
        <is>
          <t>否</t>
        </is>
      </c>
      <c r="W538" t="inlineStr">
        <is>
          <t>否</t>
        </is>
      </c>
      <c r="X538" t="inlineStr">
        <is>
          <t>历史导入:新疆民族团结进步促进法_18平台舆情监测_最终去重修正版.xlsx；来源类型:媒体报道；复核:权威媒体对国家立法者的采访；发布于青海司法厅账号但内容全国性。</t>
        </is>
      </c>
    </row>
    <row r="539">
      <c r="A539" t="inlineStr">
        <is>
          <t>hist-7c12c900413c591c</t>
        </is>
      </c>
      <c r="B539" s="82" t="n">
        <v>46252.9403587963</v>
      </c>
      <c r="C539" s="82" t="n">
        <v>46204</v>
      </c>
      <c r="D539" t="inlineStr">
        <is>
          <t>腾讯新闻</t>
        </is>
      </c>
      <c r="E539" t="inlineStr">
        <is>
          <t>贴吧/头条/新闻评论</t>
        </is>
      </c>
      <c r="F539" t="inlineStr">
        <is>
          <t>原始网页（腾讯）</t>
        </is>
      </c>
      <c r="G539" t="inlineStr">
        <is>
          <t>吐尔孙·艾拜（个人署名）</t>
        </is>
      </c>
      <c r="H539" t="inlineStr">
        <is>
          <t>该法采用了'序言+7章'的体例……足见意义重大。</t>
        </is>
      </c>
      <c r="I539" t="inlineStr">
        <is>
          <t>https://so.html5.qq.com/page/real/search_news?docid=70000021_79069b2881e34252</t>
        </is>
      </c>
      <c r="J539" t="inlineStr">
        <is>
          <t>新疆全区</t>
        </is>
      </c>
      <c r="L539" t="inlineStr">
        <is>
          <t>新疆</t>
        </is>
      </c>
      <c r="O539" t="inlineStr">
        <is>
          <t>中文</t>
        </is>
      </c>
      <c r="P539" t="inlineStr">
        <is>
          <t>否</t>
        </is>
      </c>
      <c r="Q539" t="inlineStr">
        <is>
          <t>支持认可</t>
        </is>
      </c>
      <c r="R539" t="inlineStr">
        <is>
          <t>法律施行与总体解读</t>
        </is>
      </c>
      <c r="S539" t="n">
        <v>0</v>
      </c>
      <c r="T539" t="n">
        <v>0</v>
      </c>
      <c r="U539" t="n">
        <v>0</v>
      </c>
      <c r="V539" t="inlineStr">
        <is>
          <t>否</t>
        </is>
      </c>
      <c r="W539" t="inlineStr">
        <is>
          <t>是</t>
        </is>
      </c>
      <c r="X539" t="inlineStr">
        <is>
          <t>历史导入:新疆民族团结进步促进法_18平台舆情监测_最终去重修正版.xlsx；来源类型:个人原创观点；复核:个人署名文章；不推断作者民族、宗教或其他个人属性。</t>
        </is>
      </c>
    </row>
    <row r="540">
      <c r="A540" t="inlineStr">
        <is>
          <t>hist-4bcb218b187974ae</t>
        </is>
      </c>
      <c r="B540" s="82" t="n">
        <v>46252.9403587963</v>
      </c>
      <c r="C540" s="82" t="n">
        <v>46204</v>
      </c>
      <c r="D540" t="inlineStr">
        <is>
          <t>腾讯新闻</t>
        </is>
      </c>
      <c r="E540" t="inlineStr">
        <is>
          <t>贴吧/头条/新闻评论</t>
        </is>
      </c>
      <c r="F540" t="inlineStr">
        <is>
          <t>原始网页（腾讯）</t>
        </is>
      </c>
      <c r="G540" t="inlineStr">
        <is>
          <t>7月起这些新规影响你我生活</t>
        </is>
      </c>
      <c r="H540" t="inlineStr">
        <is>
          <t>《中华人民共和国民族团结进步促进法》自2026年7月1日起施行。</t>
        </is>
      </c>
      <c r="I540" t="inlineStr">
        <is>
          <t>https://view.inews.qq.com/a/20260701A05AK800</t>
        </is>
      </c>
      <c r="J540" t="inlineStr">
        <is>
          <t>全国（含新疆）</t>
        </is>
      </c>
      <c r="L540" t="inlineStr">
        <is>
          <t>新疆</t>
        </is>
      </c>
      <c r="O540" t="inlineStr">
        <is>
          <t>中文</t>
        </is>
      </c>
      <c r="P540" t="inlineStr">
        <is>
          <t>否</t>
        </is>
      </c>
      <c r="Q540" t="inlineStr">
        <is>
          <t>中性信息</t>
        </is>
      </c>
      <c r="R540" t="inlineStr">
        <is>
          <t>法律施行与总体解读</t>
        </is>
      </c>
      <c r="S540" t="n">
        <v>0</v>
      </c>
      <c r="T540" t="n">
        <v>0</v>
      </c>
      <c r="U540" t="n">
        <v>0</v>
      </c>
      <c r="V540" t="inlineStr">
        <is>
          <t>否</t>
        </is>
      </c>
      <c r="W540" t="inlineStr">
        <is>
          <t>否</t>
        </is>
      </c>
      <c r="X540" t="inlineStr">
        <is>
          <t>历史导入:新疆民族团结进步促进法_18平台舆情监测_最终去重修正版.xlsx；来源类型:媒体报道；复核:简讯类，信息量有限。</t>
        </is>
      </c>
    </row>
    <row r="541">
      <c r="A541" t="inlineStr">
        <is>
          <t>hist-404b806aaa6b715e</t>
        </is>
      </c>
      <c r="B541" s="82" t="n">
        <v>46252.9403587963</v>
      </c>
      <c r="C541" s="82" t="n">
        <v>46221</v>
      </c>
      <c r="D541" t="inlineStr">
        <is>
          <t>腾讯新闻/企鹅号</t>
        </is>
      </c>
      <c r="E541" t="inlineStr">
        <is>
          <t>贴吧/头条/新闻评论</t>
        </is>
      </c>
      <c r="F541" t="inlineStr">
        <is>
          <t>原始网页（腾讯）</t>
        </is>
      </c>
      <c r="G541" t="inlineStr">
        <is>
          <t>五家渠市全媒体记者</t>
        </is>
      </c>
      <c r="H541" t="inlineStr">
        <is>
          <t>7月15日，五家渠市人大常委会举办专题辅导讲座……实现了从政策引导向法治保障的历史性转变。</t>
        </is>
      </c>
      <c r="I541" t="inlineStr">
        <is>
          <t>https://new.qq.com/rain/a/20260718A02OW600</t>
        </is>
      </c>
      <c r="J541" t="inlineStr">
        <is>
          <t>五家渠市（兵团第六师）</t>
        </is>
      </c>
      <c r="L541" t="inlineStr">
        <is>
          <t>新疆</t>
        </is>
      </c>
      <c r="O541" t="inlineStr">
        <is>
          <t>中文</t>
        </is>
      </c>
      <c r="P541" t="inlineStr">
        <is>
          <t>否</t>
        </is>
      </c>
      <c r="Q541" t="inlineStr">
        <is>
          <t>官方政策信息</t>
        </is>
      </c>
      <c r="R541" t="inlineStr">
        <is>
          <t>学习培训与宣传覆盖</t>
        </is>
      </c>
      <c r="S541" t="n">
        <v>0</v>
      </c>
      <c r="T541" t="n">
        <v>0</v>
      </c>
      <c r="U541" t="n">
        <v>0</v>
      </c>
      <c r="V541" t="inlineStr">
        <is>
          <t>否</t>
        </is>
      </c>
      <c r="W541" t="inlineStr">
        <is>
          <t>否</t>
        </is>
      </c>
      <c r="X541" t="inlineStr">
        <is>
          <t>历史导入:新疆民族团结进步促进法_18平台舆情监测_最终去重修正版.xlsx；来源类型:官方实施信息；复核:已计入头条；腾讯仅列出供交叉参照。</t>
        </is>
      </c>
    </row>
    <row r="542">
      <c r="A542" t="inlineStr">
        <is>
          <t>hist-a41df7837a2d37d8</t>
        </is>
      </c>
      <c r="B542" s="82" t="n">
        <v>46252.9403587963</v>
      </c>
      <c r="C542" s="82" t="n">
        <v>46217</v>
      </c>
      <c r="D542" t="inlineStr">
        <is>
          <t>腾讯新闻/企鹅号</t>
        </is>
      </c>
      <c r="E542" t="inlineStr">
        <is>
          <t>贴吧/头条/新闻评论</t>
        </is>
      </c>
      <c r="F542" t="inlineStr">
        <is>
          <t>原始网页（腾讯）</t>
        </is>
      </c>
      <c r="G542" t="inlineStr">
        <is>
          <t>新疆日报/民族团结一家亲</t>
        </is>
      </c>
      <c r="H542" t="inlineStr">
        <is>
          <t>全疆14个州（地、市）全部创建成为全国民族团结进步示范州……动员全区7.4万多名各级人大代表。</t>
        </is>
      </c>
      <c r="I542" t="inlineStr">
        <is>
          <t>https://new.qq.com/rain/a/20260714A0AQ6000</t>
        </is>
      </c>
      <c r="J542" t="inlineStr">
        <is>
          <t>新疆全区</t>
        </is>
      </c>
      <c r="L542" t="inlineStr">
        <is>
          <t>新疆</t>
        </is>
      </c>
      <c r="O542" t="inlineStr">
        <is>
          <t>中文</t>
        </is>
      </c>
      <c r="P542" t="inlineStr">
        <is>
          <t>否</t>
        </is>
      </c>
      <c r="Q542" t="inlineStr">
        <is>
          <t>中性信息</t>
        </is>
      </c>
      <c r="R542" t="inlineStr">
        <is>
          <t>法律施行与总体解读</t>
        </is>
      </c>
      <c r="S542" t="n">
        <v>0</v>
      </c>
      <c r="T542" t="n">
        <v>0</v>
      </c>
      <c r="U542" t="n">
        <v>0</v>
      </c>
      <c r="V542" t="inlineStr">
        <is>
          <t>否</t>
        </is>
      </c>
      <c r="W542" t="inlineStr">
        <is>
          <t>否</t>
        </is>
      </c>
      <c r="X542" t="inlineStr">
        <is>
          <t>历史导入:新疆民族团结进步促进法_18平台舆情监测_最终去重修正版.xlsx；来源类型:媒体报道；复核:已计入头条。</t>
        </is>
      </c>
    </row>
    <row r="543">
      <c r="A543" t="inlineStr">
        <is>
          <t>hist-773961de91b9914a</t>
        </is>
      </c>
      <c r="B543" s="82" t="n">
        <v>46252.9403587963</v>
      </c>
      <c r="C543" s="82" t="n">
        <v>46230</v>
      </c>
      <c r="D543" t="inlineStr">
        <is>
          <t>腾讯新闻/企鹅号</t>
        </is>
      </c>
      <c r="E543" t="inlineStr">
        <is>
          <t>贴吧/头条/新闻评论</t>
        </is>
      </c>
      <c r="F543" t="inlineStr">
        <is>
          <t>原始网页（腾讯）</t>
        </is>
      </c>
      <c r="G543" t="inlineStr">
        <is>
          <t>道中华/汪习根</t>
        </is>
      </c>
      <c r="H543" t="inlineStr">
        <is>
          <t>2026年7月正式实施的《中华人民共和国民族团结进步促进法》……把党在民族工作中取得的重大理论和实践成果转化为国家意志。</t>
        </is>
      </c>
      <c r="I543" t="inlineStr">
        <is>
          <t>https://new.qq.com/rain/a/20260727A038DK00</t>
        </is>
      </c>
      <c r="J543" t="inlineStr">
        <is>
          <t>全国（新疆棉花议题）</t>
        </is>
      </c>
      <c r="L543" t="inlineStr">
        <is>
          <t>新疆</t>
        </is>
      </c>
      <c r="O543" t="inlineStr">
        <is>
          <t>中文</t>
        </is>
      </c>
      <c r="P543" t="inlineStr">
        <is>
          <t>否</t>
        </is>
      </c>
      <c r="Q543" t="inlineStr">
        <is>
          <t>支持认可</t>
        </is>
      </c>
      <c r="R543" t="inlineStr">
        <is>
          <t>国际传播与回应外部质疑</t>
        </is>
      </c>
      <c r="S543" t="n">
        <v>0</v>
      </c>
      <c r="T543" t="n">
        <v>0</v>
      </c>
      <c r="U543" t="n">
        <v>0</v>
      </c>
      <c r="V543" t="inlineStr">
        <is>
          <t>否</t>
        </is>
      </c>
      <c r="W543" t="inlineStr">
        <is>
          <t>否</t>
        </is>
      </c>
      <c r="X543" t="inlineStr">
        <is>
          <t>历史导入:新疆民族团结进步促进法_18平台舆情监测_最终去重修正版.xlsx；来源类型:媒体报道；复核:已计入头条。</t>
        </is>
      </c>
    </row>
    <row r="544">
      <c r="A544" t="inlineStr">
        <is>
          <t>hist-b2af4e39c98b38c0</t>
        </is>
      </c>
      <c r="B544" s="82" t="n">
        <v>46252.9403587963</v>
      </c>
      <c r="C544" s="82" t="n">
        <v>46238</v>
      </c>
      <c r="D544" t="inlineStr">
        <is>
          <t>腾讯新闻/企鹅号</t>
        </is>
      </c>
      <c r="E544" t="inlineStr">
        <is>
          <t>贴吧/头条/新闻评论</t>
        </is>
      </c>
      <c r="F544" t="inlineStr">
        <is>
          <t>原始网页（腾讯）</t>
        </is>
      </c>
      <c r="G544" t="inlineStr">
        <is>
          <t>极目新闻/驻印度大使</t>
        </is>
      </c>
      <c r="H544" t="inlineStr">
        <is>
          <t>2026年8月3日，驻印度大使徐飞洪在印媒发表署名文章。</t>
        </is>
      </c>
      <c r="I544" t="inlineStr">
        <is>
          <t>https://new.qq.com/rain/a/20260804A0E4ZW00</t>
        </is>
      </c>
      <c r="J544" t="inlineStr">
        <is>
          <t>国际（涉疆）</t>
        </is>
      </c>
      <c r="O544" t="inlineStr">
        <is>
          <t>中文</t>
        </is>
      </c>
      <c r="P544" t="inlineStr">
        <is>
          <t>否</t>
        </is>
      </c>
      <c r="Q544" t="inlineStr">
        <is>
          <t>中性信息</t>
        </is>
      </c>
      <c r="R544" t="inlineStr">
        <is>
          <t>国际传播与回应外部质疑</t>
        </is>
      </c>
      <c r="S544" t="n">
        <v>0</v>
      </c>
      <c r="T544" t="n">
        <v>0</v>
      </c>
      <c r="U544" t="n">
        <v>0</v>
      </c>
      <c r="V544" t="inlineStr">
        <is>
          <t>否</t>
        </is>
      </c>
      <c r="W544" t="inlineStr">
        <is>
          <t>否</t>
        </is>
      </c>
      <c r="X544" t="inlineStr">
        <is>
          <t>历史导入:新疆民族团结进步促进法_18平台舆情监测_最终去重修正版.xlsx；来源类型:媒体报道；复核:已计入头条。</t>
        </is>
      </c>
    </row>
    <row r="545">
      <c r="A545" t="inlineStr">
        <is>
          <t>hist-2c921961c211dda4</t>
        </is>
      </c>
      <c r="B545" s="82" t="n">
        <v>46252.9403587963</v>
      </c>
      <c r="D545" t="inlineStr">
        <is>
          <t>账号/栏目</t>
        </is>
      </c>
      <c r="E545" t="inlineStr">
        <is>
          <t>其他</t>
        </is>
      </c>
      <c r="F545" t="inlineStr">
        <is>
          <t>平台/网站</t>
        </is>
      </c>
      <c r="G545" t="inlineStr">
        <is>
          <t>来源类型</t>
        </is>
      </c>
      <c r="H545" t="inlineStr">
        <is>
          <t>客观摘要</t>
        </is>
      </c>
      <c r="I545" t="inlineStr">
        <is>
          <t>关联度</t>
        </is>
      </c>
      <c r="J545" t="inlineStr">
        <is>
          <t>行政层级</t>
        </is>
      </c>
      <c r="O545" t="inlineStr">
        <is>
          <t>中文</t>
        </is>
      </c>
      <c r="P545" t="inlineStr">
        <is>
          <t>否</t>
        </is>
      </c>
      <c r="Q545" t="inlineStr">
        <is>
          <t>具体议题</t>
        </is>
      </c>
      <c r="R545" t="inlineStr">
        <is>
          <t>是否计入公众统计</t>
        </is>
      </c>
      <c r="S545" t="n">
        <v>0</v>
      </c>
      <c r="T545" t="n">
        <v>0</v>
      </c>
      <c r="U545" t="n">
        <v>0</v>
      </c>
      <c r="V545" t="inlineStr">
        <is>
          <t>否</t>
        </is>
      </c>
      <c r="W545" t="inlineStr">
        <is>
          <t>是</t>
        </is>
      </c>
      <c r="X545" t="inlineStr">
        <is>
          <t>历史导入:新疆民族团结进步促进法_18平台舆情监测_最终去重修正版.xlsx；来源类型:涉及地区</t>
        </is>
      </c>
    </row>
    <row r="546">
      <c r="A546" t="inlineStr">
        <is>
          <t>hist-592200fa13be70bb</t>
        </is>
      </c>
      <c r="B546" s="82" t="n">
        <v>46252.9403587963</v>
      </c>
      <c r="D546" t="inlineStr">
        <is>
          <t>雪都视野（阿勒泰市官方网易号）</t>
        </is>
      </c>
      <c r="E546" t="inlineStr">
        <is>
          <t>其他</t>
        </is>
      </c>
      <c r="F546" t="inlineStr">
        <is>
          <t>网易新闻/网易号</t>
        </is>
      </c>
      <c r="G546" t="inlineStr">
        <is>
          <t>个人观点（具名引语）</t>
        </is>
      </c>
      <c r="H546" t="inlineStr">
        <is>
          <t>阿勒泰市市人民法院党组成员、政治部主任许焦兰在网易号文章中发表对法律施行后市人民法院党组成员、政治部主任领域落实举措的公开表态。</t>
        </is>
      </c>
      <c r="I546" t="inlineStr">
        <is>
          <t>A</t>
        </is>
      </c>
      <c r="J546" t="inlineStr">
        <is>
          <t>县级市</t>
        </is>
      </c>
      <c r="O546" t="inlineStr">
        <is>
          <t>中文</t>
        </is>
      </c>
      <c r="P546" t="inlineStr">
        <is>
          <t>否</t>
        </is>
      </c>
      <c r="Q546" t="inlineStr">
        <is>
          <t>基层执行与依法履职</t>
        </is>
      </c>
      <c r="R546" t="inlineStr">
        <is>
          <t>是</t>
        </is>
      </c>
      <c r="S546" t="n">
        <v>0</v>
      </c>
      <c r="T546" t="n">
        <v>0</v>
      </c>
      <c r="U546" t="n">
        <v>0</v>
      </c>
      <c r="V546" t="inlineStr">
        <is>
          <t>否</t>
        </is>
      </c>
      <c r="W546" t="inlineStr">
        <is>
          <t>是</t>
        </is>
      </c>
      <c r="X546" t="inlineStr">
        <is>
          <t>历史导入:新疆民族团结进步促进法_18平台舆情监测_最终去重修正版.xlsx；来源类型:阿勒泰地区阿勒泰市</t>
        </is>
      </c>
    </row>
    <row r="547">
      <c r="A547" t="inlineStr">
        <is>
          <t>hist-a24800c201195447</t>
        </is>
      </c>
      <c r="B547" s="82" t="n">
        <v>46252.9403587963</v>
      </c>
      <c r="D547" t="inlineStr">
        <is>
          <t>雪都视野（阿勒泰市官方网易号）</t>
        </is>
      </c>
      <c r="E547" t="inlineStr">
        <is>
          <t>其他</t>
        </is>
      </c>
      <c r="F547" t="inlineStr">
        <is>
          <t>网易新闻/网易号</t>
        </is>
      </c>
      <c r="G547" t="inlineStr">
        <is>
          <t>个人观点（具名引语）</t>
        </is>
      </c>
      <c r="H547" t="inlineStr">
        <is>
          <t>阿勒泰市市人大常委会党组成员、副主任红沙·索龙格在网易号文章中发表对法律施行后市人大常委会党组成员、副主任领域落实举措的公开表态。</t>
        </is>
      </c>
      <c r="I547" t="inlineStr">
        <is>
          <t>A</t>
        </is>
      </c>
      <c r="J547" t="inlineStr">
        <is>
          <t>县级市</t>
        </is>
      </c>
      <c r="O547" t="inlineStr">
        <is>
          <t>中文</t>
        </is>
      </c>
      <c r="P547" t="inlineStr">
        <is>
          <t>否</t>
        </is>
      </c>
      <c r="Q547" t="inlineStr">
        <is>
          <t>基层执行与依法履职</t>
        </is>
      </c>
      <c r="R547" t="inlineStr">
        <is>
          <t>是</t>
        </is>
      </c>
      <c r="S547" t="n">
        <v>0</v>
      </c>
      <c r="T547" t="n">
        <v>0</v>
      </c>
      <c r="U547" t="n">
        <v>0</v>
      </c>
      <c r="V547" t="inlineStr">
        <is>
          <t>否</t>
        </is>
      </c>
      <c r="W547" t="inlineStr">
        <is>
          <t>是</t>
        </is>
      </c>
      <c r="X547" t="inlineStr">
        <is>
          <t>历史导入:新疆民族团结进步促进法_18平台舆情监测_最终去重修正版.xlsx；来源类型:阿勒泰地区阿勒泰市</t>
        </is>
      </c>
    </row>
    <row r="548">
      <c r="A548" t="inlineStr">
        <is>
          <t>hist-b6f29f03af1e5218</t>
        </is>
      </c>
      <c r="B548" s="82" t="n">
        <v>46252.9403587963</v>
      </c>
      <c r="D548" t="inlineStr">
        <is>
          <t>雪都视野（阿勒泰市官方网易号）</t>
        </is>
      </c>
      <c r="E548" t="inlineStr">
        <is>
          <t>其他</t>
        </is>
      </c>
      <c r="F548" t="inlineStr">
        <is>
          <t>网易新闻/网易号</t>
        </is>
      </c>
      <c r="G548" t="inlineStr">
        <is>
          <t>个人观点（具名引语）</t>
        </is>
      </c>
      <c r="H548" t="inlineStr">
        <is>
          <t>阿勒泰市自治区民族团结进步模范、户儿家文化大院负责人李红秀在网易号文章中发表对法律施行后自治区民族团结进步模范、户儿家文化大院负责人领域落实举措的公开表态。</t>
        </is>
      </c>
      <c r="I548" t="inlineStr">
        <is>
          <t>A</t>
        </is>
      </c>
      <c r="J548" t="inlineStr">
        <is>
          <t>县级市</t>
        </is>
      </c>
      <c r="O548" t="inlineStr">
        <is>
          <t>中文</t>
        </is>
      </c>
      <c r="P548" t="inlineStr">
        <is>
          <t>否</t>
        </is>
      </c>
      <c r="Q548" t="inlineStr">
        <is>
          <t>基层执行与依法履职</t>
        </is>
      </c>
      <c r="R548" t="inlineStr">
        <is>
          <t>是</t>
        </is>
      </c>
      <c r="S548" t="n">
        <v>0</v>
      </c>
      <c r="T548" t="n">
        <v>0</v>
      </c>
      <c r="U548" t="n">
        <v>0</v>
      </c>
      <c r="V548" t="inlineStr">
        <is>
          <t>否</t>
        </is>
      </c>
      <c r="W548" t="inlineStr">
        <is>
          <t>是</t>
        </is>
      </c>
      <c r="X548" t="inlineStr">
        <is>
          <t>历史导入:新疆民族团结进步促进法_18平台舆情监测_最终去重修正版.xlsx；来源类型:阿勒泰地区阿勒泰市</t>
        </is>
      </c>
    </row>
    <row r="549">
      <c r="A549" t="inlineStr">
        <is>
          <t>hist-531ecc3eccdc3f5a</t>
        </is>
      </c>
      <c r="B549" s="82" t="n">
        <v>46252.9403587963</v>
      </c>
      <c r="D549" t="inlineStr">
        <is>
          <t>雪都视野（阿勒泰市官方网易号）</t>
        </is>
      </c>
      <c r="E549" t="inlineStr">
        <is>
          <t>其他</t>
        </is>
      </c>
      <c r="F549" t="inlineStr">
        <is>
          <t>网易新闻/网易号</t>
        </is>
      </c>
      <c r="G549" t="inlineStr">
        <is>
          <t>个人观点（具名引语）</t>
        </is>
      </c>
      <c r="H549" t="inlineStr">
        <is>
          <t>阿勒泰市市新的社会阶层人士联合会会长王化琛在网易号文章中发表对法律施行后市新的社会阶层人士联合会会长领域落实举措的公开表态。</t>
        </is>
      </c>
      <c r="I549" t="inlineStr">
        <is>
          <t>A</t>
        </is>
      </c>
      <c r="J549" t="inlineStr">
        <is>
          <t>县级市</t>
        </is>
      </c>
      <c r="O549" t="inlineStr">
        <is>
          <t>中文</t>
        </is>
      </c>
      <c r="P549" t="inlineStr">
        <is>
          <t>否</t>
        </is>
      </c>
      <c r="Q549" t="inlineStr">
        <is>
          <t>基层执行与依法履职</t>
        </is>
      </c>
      <c r="R549" t="inlineStr">
        <is>
          <t>是</t>
        </is>
      </c>
      <c r="S549" t="n">
        <v>0</v>
      </c>
      <c r="T549" t="n">
        <v>0</v>
      </c>
      <c r="U549" t="n">
        <v>0</v>
      </c>
      <c r="V549" t="inlineStr">
        <is>
          <t>否</t>
        </is>
      </c>
      <c r="W549" t="inlineStr">
        <is>
          <t>是</t>
        </is>
      </c>
      <c r="X549" t="inlineStr">
        <is>
          <t>历史导入:新疆民族团结进步促进法_18平台舆情监测_最终去重修正版.xlsx；来源类型:阿勒泰地区阿勒泰市</t>
        </is>
      </c>
    </row>
    <row r="550">
      <c r="A550" t="inlineStr">
        <is>
          <t>hist-fd0adbbbf6404b49</t>
        </is>
      </c>
      <c r="B550" s="82" t="n">
        <v>46252.9403587963</v>
      </c>
      <c r="D550" t="inlineStr">
        <is>
          <t>雪都视野（阿勒泰市官方网易号）</t>
        </is>
      </c>
      <c r="E550" t="inlineStr">
        <is>
          <t>其他</t>
        </is>
      </c>
      <c r="F550" t="inlineStr">
        <is>
          <t>网易新闻/网易号</t>
        </is>
      </c>
      <c r="G550" t="inlineStr">
        <is>
          <t>个人观点（具名引语）</t>
        </is>
      </c>
      <c r="H550" t="inlineStr">
        <is>
          <t>阿勒泰市恰秀路街道党工委书记刘淑洁在网易号文章中发表对法律施行后恰秀路街道党工委书记领域落实举措的公开表态。</t>
        </is>
      </c>
      <c r="I550" t="inlineStr">
        <is>
          <t>A</t>
        </is>
      </c>
      <c r="J550" t="inlineStr">
        <is>
          <t>县级市</t>
        </is>
      </c>
      <c r="O550" t="inlineStr">
        <is>
          <t>中文</t>
        </is>
      </c>
      <c r="P550" t="inlineStr">
        <is>
          <t>否</t>
        </is>
      </c>
      <c r="Q550" t="inlineStr">
        <is>
          <t>基层执行与依法履职</t>
        </is>
      </c>
      <c r="R550" t="inlineStr">
        <is>
          <t>是</t>
        </is>
      </c>
      <c r="S550" t="n">
        <v>0</v>
      </c>
      <c r="T550" t="n">
        <v>0</v>
      </c>
      <c r="U550" t="n">
        <v>0</v>
      </c>
      <c r="V550" t="inlineStr">
        <is>
          <t>否</t>
        </is>
      </c>
      <c r="W550" t="inlineStr">
        <is>
          <t>是</t>
        </is>
      </c>
      <c r="X550" t="inlineStr">
        <is>
          <t>历史导入:新疆民族团结进步促进法_18平台舆情监测_最终去重修正版.xlsx；来源类型:阿勒泰地区阿勒泰市</t>
        </is>
      </c>
    </row>
    <row r="551">
      <c r="A551" t="inlineStr">
        <is>
          <t>hist-6cb3efa3791b122c</t>
        </is>
      </c>
      <c r="B551" s="82" t="n">
        <v>46252.9403587963</v>
      </c>
      <c r="D551" t="inlineStr">
        <is>
          <t>雪都视野（阿勒泰市官方网易号）</t>
        </is>
      </c>
      <c r="E551" t="inlineStr">
        <is>
          <t>其他</t>
        </is>
      </c>
      <c r="F551" t="inlineStr">
        <is>
          <t>网易新闻/网易号</t>
        </is>
      </c>
      <c r="G551" t="inlineStr">
        <is>
          <t>个人观点（具名引语）</t>
        </is>
      </c>
      <c r="H551" t="inlineStr">
        <is>
          <t>阿勒泰市市委党校教研室主任周宏英在网易号文章中发表对法律施行后市委党校教研室主任领域落实举措的公开表态。</t>
        </is>
      </c>
      <c r="I551" t="inlineStr">
        <is>
          <t>A</t>
        </is>
      </c>
      <c r="J551" t="inlineStr">
        <is>
          <t>县级市</t>
        </is>
      </c>
      <c r="O551" t="inlineStr">
        <is>
          <t>中文</t>
        </is>
      </c>
      <c r="P551" t="inlineStr">
        <is>
          <t>否</t>
        </is>
      </c>
      <c r="Q551" t="inlineStr">
        <is>
          <t>基层执行与依法履职</t>
        </is>
      </c>
      <c r="R551" t="inlineStr">
        <is>
          <t>是</t>
        </is>
      </c>
      <c r="S551" t="n">
        <v>0</v>
      </c>
      <c r="T551" t="n">
        <v>0</v>
      </c>
      <c r="U551" t="n">
        <v>0</v>
      </c>
      <c r="V551" t="inlineStr">
        <is>
          <t>否</t>
        </is>
      </c>
      <c r="W551" t="inlineStr">
        <is>
          <t>是</t>
        </is>
      </c>
      <c r="X551" t="inlineStr">
        <is>
          <t>历史导入:新疆民族团结进步促进法_18平台舆情监测_最终去重修正版.xlsx；来源类型:阿勒泰地区阿勒泰市</t>
        </is>
      </c>
    </row>
    <row r="552">
      <c r="A552" t="inlineStr">
        <is>
          <t>hist-69a486cd067ed427</t>
        </is>
      </c>
      <c r="B552" s="82" t="n">
        <v>46252.9403587963</v>
      </c>
      <c r="D552" t="inlineStr">
        <is>
          <t>雪都视野（阿勒泰市官方网易号）</t>
        </is>
      </c>
      <c r="E552" t="inlineStr">
        <is>
          <t>其他</t>
        </is>
      </c>
      <c r="F552" t="inlineStr">
        <is>
          <t>网易新闻/网易号</t>
        </is>
      </c>
      <c r="G552" t="inlineStr">
        <is>
          <t>个人观点（具名引语）</t>
        </is>
      </c>
      <c r="H552" t="inlineStr">
        <is>
          <t>阿勒泰市市教育局七级职员、思政工作负责人谢泽仁在网易号文章中发表对法律施行后市教育局七级职员、思政工作负责人领域落实举措的公开表态。</t>
        </is>
      </c>
      <c r="I552" t="inlineStr">
        <is>
          <t>A</t>
        </is>
      </c>
      <c r="J552" t="inlineStr">
        <is>
          <t>县级市</t>
        </is>
      </c>
      <c r="O552" t="inlineStr">
        <is>
          <t>中文</t>
        </is>
      </c>
      <c r="P552" t="inlineStr">
        <is>
          <t>否</t>
        </is>
      </c>
      <c r="Q552" t="inlineStr">
        <is>
          <t>基层执行与依法履职</t>
        </is>
      </c>
      <c r="R552" t="inlineStr">
        <is>
          <t>是</t>
        </is>
      </c>
      <c r="S552" t="n">
        <v>0</v>
      </c>
      <c r="T552" t="n">
        <v>0</v>
      </c>
      <c r="U552" t="n">
        <v>0</v>
      </c>
      <c r="V552" t="inlineStr">
        <is>
          <t>否</t>
        </is>
      </c>
      <c r="W552" t="inlineStr">
        <is>
          <t>是</t>
        </is>
      </c>
      <c r="X552" t="inlineStr">
        <is>
          <t>历史导入:新疆民族团结进步促进法_18平台舆情监测_最终去重修正版.xlsx；来源类型:阿勒泰地区阿勒泰市</t>
        </is>
      </c>
    </row>
    <row r="553">
      <c r="A553" t="inlineStr">
        <is>
          <t>hist-51206adab2c4c161</t>
        </is>
      </c>
      <c r="B553" s="82" t="n">
        <v>46252.9403587963</v>
      </c>
      <c r="D553" t="inlineStr">
        <is>
          <t>雪都视野（阿勒泰市官方网易号）</t>
        </is>
      </c>
      <c r="E553" t="inlineStr">
        <is>
          <t>其他</t>
        </is>
      </c>
      <c r="F553" t="inlineStr">
        <is>
          <t>网易新闻/网易号</t>
        </is>
      </c>
      <c r="G553" t="inlineStr">
        <is>
          <t>个人观点（具名引语）</t>
        </is>
      </c>
      <c r="H553" t="inlineStr">
        <is>
          <t>阿勒泰市市委统战部副部长陈丽花在网易号文章中发表对法律施行后市委统战部副部长领域落实举措的公开表态。</t>
        </is>
      </c>
      <c r="I553" t="inlineStr">
        <is>
          <t>A</t>
        </is>
      </c>
      <c r="J553" t="inlineStr">
        <is>
          <t>县级市</t>
        </is>
      </c>
      <c r="O553" t="inlineStr">
        <is>
          <t>中文</t>
        </is>
      </c>
      <c r="P553" t="inlineStr">
        <is>
          <t>否</t>
        </is>
      </c>
      <c r="Q553" t="inlineStr">
        <is>
          <t>基层执行与依法履职</t>
        </is>
      </c>
      <c r="R553" t="inlineStr">
        <is>
          <t>是</t>
        </is>
      </c>
      <c r="S553" t="n">
        <v>0</v>
      </c>
      <c r="T553" t="n">
        <v>0</v>
      </c>
      <c r="U553" t="n">
        <v>0</v>
      </c>
      <c r="V553" t="inlineStr">
        <is>
          <t>否</t>
        </is>
      </c>
      <c r="W553" t="inlineStr">
        <is>
          <t>是</t>
        </is>
      </c>
      <c r="X553" t="inlineStr">
        <is>
          <t>历史导入:新疆民族团结进步促进法_18平台舆情监测_最终去重修正版.xlsx；来源类型:阿勒泰地区阿勒泰市</t>
        </is>
      </c>
    </row>
    <row r="554">
      <c r="A554" t="inlineStr">
        <is>
          <t>hist-33d84924c70c705c</t>
        </is>
      </c>
      <c r="B554" s="82" t="n">
        <v>46252.9403587963</v>
      </c>
      <c r="D554" t="inlineStr">
        <is>
          <t>雪都视野（阿勒泰市官方网易号）</t>
        </is>
      </c>
      <c r="E554" t="inlineStr">
        <is>
          <t>其他</t>
        </is>
      </c>
      <c r="F554" t="inlineStr">
        <is>
          <t>网易新闻/网易号</t>
        </is>
      </c>
      <c r="G554" t="inlineStr">
        <is>
          <t>个人观点（具名引语）</t>
        </is>
      </c>
      <c r="H554" t="inlineStr">
        <is>
          <t>阿勒泰市泰合投资集团副总经理/泰淼水务总经理马圣鑫在网易号文章中发表对法律施行后泰合投资集团副总经理/泰淼水务总经理领域落实举措的公开表态。</t>
        </is>
      </c>
      <c r="I554" t="inlineStr">
        <is>
          <t>A</t>
        </is>
      </c>
      <c r="J554" t="inlineStr">
        <is>
          <t>县级市</t>
        </is>
      </c>
      <c r="O554" t="inlineStr">
        <is>
          <t>中文</t>
        </is>
      </c>
      <c r="P554" t="inlineStr">
        <is>
          <t>否</t>
        </is>
      </c>
      <c r="Q554" t="inlineStr">
        <is>
          <t>基层执行与依法履职</t>
        </is>
      </c>
      <c r="R554" t="inlineStr">
        <is>
          <t>是</t>
        </is>
      </c>
      <c r="S554" t="n">
        <v>0</v>
      </c>
      <c r="T554" t="n">
        <v>0</v>
      </c>
      <c r="U554" t="n">
        <v>0</v>
      </c>
      <c r="V554" t="inlineStr">
        <is>
          <t>否</t>
        </is>
      </c>
      <c r="W554" t="inlineStr">
        <is>
          <t>是</t>
        </is>
      </c>
      <c r="X554" t="inlineStr">
        <is>
          <t>历史导入:新疆民族团结进步促进法_18平台舆情监测_最终去重修正版.xlsx；来源类型:阿勒泰地区阿勒泰市</t>
        </is>
      </c>
    </row>
    <row r="555">
      <c r="A555" t="inlineStr">
        <is>
          <t>hist-2af87afacdbf9478</t>
        </is>
      </c>
      <c r="B555" s="82" t="n">
        <v>46252.9403587963</v>
      </c>
      <c r="D555" t="inlineStr">
        <is>
          <t>雪都视野（阿勒泰市官方网易号）</t>
        </is>
      </c>
      <c r="E555" t="inlineStr">
        <is>
          <t>其他</t>
        </is>
      </c>
      <c r="F555" t="inlineStr">
        <is>
          <t>网易新闻/网易号</t>
        </is>
      </c>
      <c r="G555" t="inlineStr">
        <is>
          <t>个人观点（具名引语）</t>
        </is>
      </c>
      <c r="H555" t="inlineStr">
        <is>
          <t>阿勒泰市市伊斯兰教协会副会长吾拉尔·对山在网易号文章中发表对法律施行后市伊斯兰教协会副会长领域落实举措的公开表态。</t>
        </is>
      </c>
      <c r="I555" t="inlineStr">
        <is>
          <t>A</t>
        </is>
      </c>
      <c r="J555" t="inlineStr">
        <is>
          <t>县级市</t>
        </is>
      </c>
      <c r="O555" t="inlineStr">
        <is>
          <t>中文</t>
        </is>
      </c>
      <c r="P555" t="inlineStr">
        <is>
          <t>否</t>
        </is>
      </c>
      <c r="Q555" t="inlineStr">
        <is>
          <t>基层执行与依法履职</t>
        </is>
      </c>
      <c r="R555" t="inlineStr">
        <is>
          <t>是</t>
        </is>
      </c>
      <c r="S555" t="n">
        <v>0</v>
      </c>
      <c r="T555" t="n">
        <v>0</v>
      </c>
      <c r="U555" t="n">
        <v>0</v>
      </c>
      <c r="V555" t="inlineStr">
        <is>
          <t>否</t>
        </is>
      </c>
      <c r="W555" t="inlineStr">
        <is>
          <t>是</t>
        </is>
      </c>
      <c r="X555" t="inlineStr">
        <is>
          <t>历史导入:新疆民族团结进步促进法_18平台舆情监测_最终去重修正版.xlsx；来源类型:阿勒泰地区阿勒泰市</t>
        </is>
      </c>
    </row>
    <row r="556">
      <c r="A556" t="inlineStr">
        <is>
          <t>hist-8d2090fb9e20d6b2</t>
        </is>
      </c>
      <c r="B556" s="82" t="n">
        <v>46252.9403587963</v>
      </c>
      <c r="D556" t="inlineStr">
        <is>
          <t>雪都视野（阿勒泰市官方网易号）</t>
        </is>
      </c>
      <c r="E556" t="inlineStr">
        <is>
          <t>其他</t>
        </is>
      </c>
      <c r="F556" t="inlineStr">
        <is>
          <t>网易新闻/网易号</t>
        </is>
      </c>
      <c r="G556" t="inlineStr">
        <is>
          <t>个人观点（具名引语）</t>
        </is>
      </c>
      <c r="H556" t="inlineStr">
        <is>
          <t>阿勒泰市萨尔胡松乡喀拉铁热克村党支部书记胡安哈孜·包拉提在网易号文章中发表对法律施行后萨尔胡松乡喀拉铁热克村党支部书记领域落实举措的公开表态。</t>
        </is>
      </c>
      <c r="I556" t="inlineStr">
        <is>
          <t>A</t>
        </is>
      </c>
      <c r="J556" t="inlineStr">
        <is>
          <t>县级市</t>
        </is>
      </c>
      <c r="O556" t="inlineStr">
        <is>
          <t>中文</t>
        </is>
      </c>
      <c r="P556" t="inlineStr">
        <is>
          <t>否</t>
        </is>
      </c>
      <c r="Q556" t="inlineStr">
        <is>
          <t>基层执行与依法履职</t>
        </is>
      </c>
      <c r="R556" t="inlineStr">
        <is>
          <t>是</t>
        </is>
      </c>
      <c r="S556" t="n">
        <v>0</v>
      </c>
      <c r="T556" t="n">
        <v>0</v>
      </c>
      <c r="U556" t="n">
        <v>0</v>
      </c>
      <c r="V556" t="inlineStr">
        <is>
          <t>否</t>
        </is>
      </c>
      <c r="W556" t="inlineStr">
        <is>
          <t>是</t>
        </is>
      </c>
      <c r="X556" t="inlineStr">
        <is>
          <t>历史导入:新疆民族团结进步促进法_18平台舆情监测_最终去重修正版.xlsx；来源类型:阿勒泰地区阿勒泰市</t>
        </is>
      </c>
    </row>
    <row r="557">
      <c r="A557" t="inlineStr">
        <is>
          <t>hist-6809777796583391</t>
        </is>
      </c>
      <c r="B557" s="82" t="n">
        <v>46252.9403587963</v>
      </c>
      <c r="D557" t="inlineStr">
        <is>
          <t>雪都视野（阿勒泰市官方网易号）</t>
        </is>
      </c>
      <c r="E557" t="inlineStr">
        <is>
          <t>其他</t>
        </is>
      </c>
      <c r="F557" t="inlineStr">
        <is>
          <t>网易新闻/网易号</t>
        </is>
      </c>
      <c r="G557" t="inlineStr">
        <is>
          <t>个人观点（具名引语）</t>
        </is>
      </c>
      <c r="H557" t="inlineStr">
        <is>
          <t>阿勒泰市（集体）走进夏牧场宣讲切木尔切克镇在网易号文章中发表对法律施行后（集体）走进夏牧场宣讲领域落实举措的公开表态。</t>
        </is>
      </c>
      <c r="I557" t="inlineStr">
        <is>
          <t>A</t>
        </is>
      </c>
      <c r="J557" t="inlineStr">
        <is>
          <t>县级市</t>
        </is>
      </c>
      <c r="O557" t="inlineStr">
        <is>
          <t>中文</t>
        </is>
      </c>
      <c r="P557" t="inlineStr">
        <is>
          <t>否</t>
        </is>
      </c>
      <c r="Q557" t="inlineStr">
        <is>
          <t>基层执行与依法履职</t>
        </is>
      </c>
      <c r="R557" t="inlineStr">
        <is>
          <t>否</t>
        </is>
      </c>
      <c r="S557" t="n">
        <v>0</v>
      </c>
      <c r="T557" t="n">
        <v>0</v>
      </c>
      <c r="U557" t="n">
        <v>0</v>
      </c>
      <c r="V557" t="inlineStr">
        <is>
          <t>否</t>
        </is>
      </c>
      <c r="W557" t="inlineStr">
        <is>
          <t>是</t>
        </is>
      </c>
      <c r="X557" t="inlineStr">
        <is>
          <t>历史导入:新疆民族团结进步促进法_18平台舆情监测_最终去重修正版.xlsx；来源类型:阿勒泰地区阿勒泰市</t>
        </is>
      </c>
    </row>
    <row r="558">
      <c r="A558" t="inlineStr">
        <is>
          <t>hist-0af64db932fc4179</t>
        </is>
      </c>
      <c r="B558" s="82" t="n">
        <v>46252.9403587963</v>
      </c>
      <c r="D558" t="inlineStr">
        <is>
          <t>平台</t>
        </is>
      </c>
      <c r="E558" t="inlineStr">
        <is>
          <t>其他</t>
        </is>
      </c>
      <c r="F558" t="inlineStr">
        <is>
          <t>采集来源</t>
        </is>
      </c>
      <c r="G558" t="inlineStr">
        <is>
          <t>账号</t>
        </is>
      </c>
      <c r="H558" t="inlineStr">
        <is>
          <t>原文摘录</t>
        </is>
      </c>
      <c r="I558" t="inlineStr">
        <is>
          <t>链接</t>
        </is>
      </c>
      <c r="J558" t="inlineStr">
        <is>
          <t>地区</t>
        </is>
      </c>
      <c r="O558" t="inlineStr">
        <is>
          <t>中文</t>
        </is>
      </c>
      <c r="P558" t="inlineStr">
        <is>
          <t>否</t>
        </is>
      </c>
      <c r="Q558" t="inlineStr">
        <is>
          <t>意见</t>
        </is>
      </c>
      <c r="R558" t="inlineStr">
        <is>
          <t>议题</t>
        </is>
      </c>
      <c r="S558" t="n">
        <v>0</v>
      </c>
      <c r="T558" t="n">
        <v>0</v>
      </c>
      <c r="U558" t="n">
        <v>0</v>
      </c>
      <c r="V558" t="inlineStr">
        <is>
          <t>否</t>
        </is>
      </c>
      <c r="W558" t="inlineStr">
        <is>
          <t>是</t>
        </is>
      </c>
      <c r="X558" t="inlineStr">
        <is>
          <t>历史导入:新疆民族团结进步促进法_18平台舆情监测_最终去重修正版.xlsx；来源类型:来源类型；复核:复核说明</t>
        </is>
      </c>
    </row>
    <row r="559">
      <c r="A559" t="inlineStr">
        <is>
          <t>hist-0a24ab77eb156eaa</t>
        </is>
      </c>
      <c r="B559" s="82" t="n">
        <v>46252.9403587963</v>
      </c>
      <c r="C559" s="82" t="n">
        <v>46206</v>
      </c>
      <c r="D559" t="inlineStr">
        <is>
          <t>搜狐</t>
        </is>
      </c>
      <c r="E559" t="inlineStr">
        <is>
          <t>其他</t>
        </is>
      </c>
      <c r="F559" t="inlineStr">
        <is>
          <t>转载/同源分发</t>
        </is>
      </c>
      <c r="G559" t="inlineStr">
        <is>
          <t>黄欣欣/中新社</t>
        </is>
      </c>
      <c r="H559" t="inlineStr">
        <is>
          <t>纳入法律体系，成为可操作可执行的法治工程</t>
        </is>
      </c>
      <c r="I559" t="inlineStr">
        <is>
          <t>https://roll.sohu.com/a/1045154887_121443915</t>
        </is>
      </c>
      <c r="J559" t="inlineStr">
        <is>
          <t>全国</t>
        </is>
      </c>
      <c r="O559" t="inlineStr">
        <is>
          <t>中文</t>
        </is>
      </c>
      <c r="P559" t="inlineStr">
        <is>
          <t>否</t>
        </is>
      </c>
      <c r="Q559" t="inlineStr">
        <is>
          <t>支持认可</t>
        </is>
      </c>
      <c r="R559" t="inlineStr">
        <is>
          <t>法律施行与总体解读</t>
        </is>
      </c>
      <c r="S559" t="n">
        <v>0</v>
      </c>
      <c r="T559" t="n">
        <v>0</v>
      </c>
      <c r="U559" t="n">
        <v>0</v>
      </c>
      <c r="V559" t="inlineStr">
        <is>
          <t>否</t>
        </is>
      </c>
      <c r="W559" t="inlineStr">
        <is>
          <t>否</t>
        </is>
      </c>
      <c r="X559" t="inlineStr">
        <is>
          <t>历史导入:新疆民族团结进步促进法_18平台舆情监测_最终去重修正版.xlsx；来源类型:个人观点（学者引语）；复核:与中国新闻网2026-07-03中新社专家群访同源重复；中新社原始来源已保留，本条不重复计入最终有效信息及公众意见统计。</t>
        </is>
      </c>
    </row>
    <row r="560">
      <c r="A560" t="inlineStr">
        <is>
          <t>hist-a49ee2b67dde6c20</t>
        </is>
      </c>
      <c r="B560" s="82" t="n">
        <v>46252.9403587963</v>
      </c>
      <c r="C560" s="82" t="n">
        <v>46206</v>
      </c>
      <c r="D560" t="inlineStr">
        <is>
          <t>搜狐</t>
        </is>
      </c>
      <c r="E560" t="inlineStr">
        <is>
          <t>其他</t>
        </is>
      </c>
      <c r="F560" t="inlineStr">
        <is>
          <t>转载/同源分发</t>
        </is>
      </c>
      <c r="G560" t="inlineStr">
        <is>
          <t>黄欣欣/中新社</t>
        </is>
      </c>
      <c r="H560" t="inlineStr">
        <is>
          <t>公共服务将更标准化。向世界展示完全法治化轨道</t>
        </is>
      </c>
      <c r="I560" t="inlineStr">
        <is>
          <t>https://roll.sohu.com/a/1045154887_121443915</t>
        </is>
      </c>
      <c r="J560" t="inlineStr">
        <is>
          <t>全国</t>
        </is>
      </c>
      <c r="O560" t="inlineStr">
        <is>
          <t>中文</t>
        </is>
      </c>
      <c r="P560" t="inlineStr">
        <is>
          <t>否</t>
        </is>
      </c>
      <c r="Q560" t="inlineStr">
        <is>
          <t>支持认可</t>
        </is>
      </c>
      <c r="R560" t="inlineStr">
        <is>
          <t>法律施行与总体解读</t>
        </is>
      </c>
      <c r="S560" t="n">
        <v>0</v>
      </c>
      <c r="T560" t="n">
        <v>0</v>
      </c>
      <c r="U560" t="n">
        <v>0</v>
      </c>
      <c r="V560" t="inlineStr">
        <is>
          <t>否</t>
        </is>
      </c>
      <c r="W560" t="inlineStr">
        <is>
          <t>否</t>
        </is>
      </c>
      <c r="X560" t="inlineStr">
        <is>
          <t>历史导入:新疆民族团结进步促进法_18平台舆情监测_最终去重修正版.xlsx；来源类型:个人观点（学者引语）；复核:与中国新闻网2026-07-03中新社专家群访同源重复；中新社原始来源已保留，本条不重复计入最终有效信息及公众意见统计。</t>
        </is>
      </c>
    </row>
    <row r="561">
      <c r="A561" t="inlineStr">
        <is>
          <t>hist-9fcee3d75b16b24e</t>
        </is>
      </c>
      <c r="B561" s="82" t="n">
        <v>46252.9403587963</v>
      </c>
      <c r="C561" s="82" t="n">
        <v>46206</v>
      </c>
      <c r="D561" t="inlineStr">
        <is>
          <t>搜狐</t>
        </is>
      </c>
      <c r="E561" t="inlineStr">
        <is>
          <t>其他</t>
        </is>
      </c>
      <c r="F561" t="inlineStr">
        <is>
          <t>转载/同源分发</t>
        </is>
      </c>
      <c r="G561" t="inlineStr">
        <is>
          <t>黄欣欣/中新社</t>
        </is>
      </c>
      <c r="H561" t="inlineStr">
        <is>
          <t>推动共同繁荣发展抓住了物质根基。提升自我发展能力是关键</t>
        </is>
      </c>
      <c r="I561" t="inlineStr">
        <is>
          <t>https://roll.sohu.com/a/1045154887_121443915</t>
        </is>
      </c>
      <c r="J561" t="inlineStr">
        <is>
          <t>全国</t>
        </is>
      </c>
      <c r="O561" t="inlineStr">
        <is>
          <t>中文</t>
        </is>
      </c>
      <c r="P561" t="inlineStr">
        <is>
          <t>否</t>
        </is>
      </c>
      <c r="Q561" t="inlineStr">
        <is>
          <t>支持认可</t>
        </is>
      </c>
      <c r="R561" t="inlineStr">
        <is>
          <t>法律施行与总体解读</t>
        </is>
      </c>
      <c r="S561" t="n">
        <v>0</v>
      </c>
      <c r="T561" t="n">
        <v>0</v>
      </c>
      <c r="U561" t="n">
        <v>0</v>
      </c>
      <c r="V561" t="inlineStr">
        <is>
          <t>否</t>
        </is>
      </c>
      <c r="W561" t="inlineStr">
        <is>
          <t>否</t>
        </is>
      </c>
      <c r="X561" t="inlineStr">
        <is>
          <t>历史导入:新疆民族团结进步促进法_18平台舆情监测_最终去重修正版.xlsx；来源类型:个人观点（学者引语）；复核:与中国新闻网2026-07-03中新社专家群访同源重复；中新社原始来源已保留，本条不重复计入最终有效信息及公众意见统计。</t>
        </is>
      </c>
    </row>
    <row r="562">
      <c r="A562" t="inlineStr">
        <is>
          <t>hist-c095ae25667e5613</t>
        </is>
      </c>
      <c r="B562" s="82" t="n">
        <v>46252.9403587963</v>
      </c>
      <c r="D562" t="inlineStr">
        <is>
          <t>平台/子域名</t>
        </is>
      </c>
      <c r="E562" t="inlineStr">
        <is>
          <t>其他</t>
        </is>
      </c>
      <c r="F562" t="inlineStr">
        <is>
          <t>来源</t>
        </is>
      </c>
      <c r="G562" t="inlineStr">
        <is>
          <t>账号/作者</t>
        </is>
      </c>
      <c r="H562" t="inlineStr">
        <is>
          <t>原文证据摘录</t>
        </is>
      </c>
      <c r="I562" t="inlineStr">
        <is>
          <t>原始链接</t>
        </is>
      </c>
      <c r="J562" t="inlineStr">
        <is>
          <t>涉及地区</t>
        </is>
      </c>
      <c r="O562" t="inlineStr">
        <is>
          <t>中文</t>
        </is>
      </c>
      <c r="P562" t="inlineStr">
        <is>
          <t>否</t>
        </is>
      </c>
      <c r="Q562" t="inlineStr">
        <is>
          <t>意见类型</t>
        </is>
      </c>
      <c r="R562" t="inlineStr">
        <is>
          <t>具体议题</t>
        </is>
      </c>
      <c r="S562" t="n">
        <v>0</v>
      </c>
      <c r="T562" t="n">
        <v>0</v>
      </c>
      <c r="U562" t="n">
        <v>0</v>
      </c>
      <c r="V562" t="inlineStr">
        <is>
          <t>否</t>
        </is>
      </c>
      <c r="W562" t="inlineStr">
        <is>
          <t>是</t>
        </is>
      </c>
      <c r="X562" t="inlineStr">
        <is>
          <t>历史导入:新疆民族团结进步促进法_18平台舆情监测_最终去重修正版.xlsx；来源类型:来源类型；复核:人工复核说明</t>
        </is>
      </c>
    </row>
    <row r="563">
      <c r="A563" t="inlineStr">
        <is>
          <t>hist-ff550dd143ecfc36</t>
        </is>
      </c>
      <c r="B563" s="82" t="n">
        <v>46252.9403587963</v>
      </c>
      <c r="C563" s="82" t="n">
        <v>46206</v>
      </c>
      <c r="D563" t="inlineStr">
        <is>
          <t>chinanews.com.cn</t>
        </is>
      </c>
      <c r="E563" t="inlineStr">
        <is>
          <t>其他</t>
        </is>
      </c>
      <c r="F563" t="inlineStr">
        <is>
          <t>原创</t>
        </is>
      </c>
      <c r="G563" t="inlineStr">
        <is>
          <t>黄欣欣/中新社</t>
        </is>
      </c>
      <c r="H563" t="inlineStr">
        <is>
          <t>纳入国家法律体系，成为可操作、可执行的法治工程</t>
        </is>
      </c>
      <c r="I563" t="inlineStr">
        <is>
          <t>https://www.chinanews.com.cn/gn/2026/07-03/10651933.shtml</t>
        </is>
      </c>
      <c r="J563" t="inlineStr">
        <is>
          <t>全国（学术视角）</t>
        </is>
      </c>
      <c r="O563" t="inlineStr">
        <is>
          <t>中文</t>
        </is>
      </c>
      <c r="P563" t="inlineStr">
        <is>
          <t>否</t>
        </is>
      </c>
      <c r="Q563" t="inlineStr">
        <is>
          <t>支持认可</t>
        </is>
      </c>
      <c r="R563" t="inlineStr">
        <is>
          <t>法律施行与总体解读</t>
        </is>
      </c>
      <c r="S563" t="n">
        <v>0</v>
      </c>
      <c r="T563" t="n">
        <v>0</v>
      </c>
      <c r="U563" t="n">
        <v>0</v>
      </c>
      <c r="V563" t="inlineStr">
        <is>
          <t>否</t>
        </is>
      </c>
      <c r="W563" t="inlineStr">
        <is>
          <t>是</t>
        </is>
      </c>
      <c r="X563" t="inlineStr">
        <is>
          <t>历史导入:新疆民族团结进步促进法_18平台舆情监测_最终去重修正版.xlsx；来源类型:个人观点（学者引语）；复核:具名；中新社原创首发，搜狐文章原始来源</t>
        </is>
      </c>
    </row>
    <row r="564">
      <c r="A564" t="inlineStr">
        <is>
          <t>hist-1779ab035e21eeb1</t>
        </is>
      </c>
      <c r="B564" s="82" t="n">
        <v>46252.9403587963</v>
      </c>
      <c r="C564" s="82" t="n">
        <v>46206</v>
      </c>
      <c r="D564" t="inlineStr">
        <is>
          <t>chinanews.com.cn</t>
        </is>
      </c>
      <c r="E564" t="inlineStr">
        <is>
          <t>其他</t>
        </is>
      </c>
      <c r="F564" t="inlineStr">
        <is>
          <t>原创</t>
        </is>
      </c>
      <c r="G564" t="inlineStr">
        <is>
          <t>黄欣欣/中新社</t>
        </is>
      </c>
      <c r="H564" t="inlineStr">
        <is>
          <t>城乡政务大厅、校园等公共服务将更加标准化；文化活动平台持续扩容</t>
        </is>
      </c>
      <c r="I564" t="inlineStr">
        <is>
          <t>https://www.chinanews.com.cn/gn/2026/07-03/10651933.shtml</t>
        </is>
      </c>
      <c r="J564" t="inlineStr">
        <is>
          <t>全国（学术视角）</t>
        </is>
      </c>
      <c r="O564" t="inlineStr">
        <is>
          <t>中文</t>
        </is>
      </c>
      <c r="P564" t="inlineStr">
        <is>
          <t>否</t>
        </is>
      </c>
      <c r="Q564" t="inlineStr">
        <is>
          <t>支持认可</t>
        </is>
      </c>
      <c r="R564" t="inlineStr">
        <is>
          <t>法律施行与总体解读</t>
        </is>
      </c>
      <c r="S564" t="n">
        <v>0</v>
      </c>
      <c r="T564" t="n">
        <v>0</v>
      </c>
      <c r="U564" t="n">
        <v>0</v>
      </c>
      <c r="V564" t="inlineStr">
        <is>
          <t>否</t>
        </is>
      </c>
      <c r="W564" t="inlineStr">
        <is>
          <t>是</t>
        </is>
      </c>
      <c r="X564" t="inlineStr">
        <is>
          <t>历史导入:新疆民族团结进步促进法_18平台舆情监测_最终去重修正版.xlsx；来源类型:个人观点（学者引语）；复核:具名；同文不同引语，独立计入</t>
        </is>
      </c>
    </row>
    <row r="565">
      <c r="A565" t="inlineStr">
        <is>
          <t>hist-fde970e127e0e9bd</t>
        </is>
      </c>
      <c r="B565" s="82" t="n">
        <v>46252.9403587963</v>
      </c>
      <c r="C565" s="82" t="n">
        <v>46206</v>
      </c>
      <c r="D565" t="inlineStr">
        <is>
          <t>chinanews.com.cn</t>
        </is>
      </c>
      <c r="E565" t="inlineStr">
        <is>
          <t>其他</t>
        </is>
      </c>
      <c r="F565" t="inlineStr">
        <is>
          <t>原创</t>
        </is>
      </c>
      <c r="G565" t="inlineStr">
        <is>
          <t>黄欣欣/中新社</t>
        </is>
      </c>
      <c r="H565" t="inlineStr">
        <is>
          <t>推动共同繁荣发展章节抓住了中华民族共同体建设的物质根基</t>
        </is>
      </c>
      <c r="I565" t="inlineStr">
        <is>
          <t>https://www.chinanews.com.cn/gn/2026/07-03/10651933.shtml</t>
        </is>
      </c>
      <c r="J565" t="inlineStr">
        <is>
          <t>全国（学术视角）</t>
        </is>
      </c>
      <c r="O565" t="inlineStr">
        <is>
          <t>中文</t>
        </is>
      </c>
      <c r="P565" t="inlineStr">
        <is>
          <t>否</t>
        </is>
      </c>
      <c r="Q565" t="inlineStr">
        <is>
          <t>支持认可</t>
        </is>
      </c>
      <c r="R565" t="inlineStr">
        <is>
          <t>法律施行与总体解读</t>
        </is>
      </c>
      <c r="S565" t="n">
        <v>0</v>
      </c>
      <c r="T565" t="n">
        <v>0</v>
      </c>
      <c r="U565" t="n">
        <v>0</v>
      </c>
      <c r="V565" t="inlineStr">
        <is>
          <t>否</t>
        </is>
      </c>
      <c r="W565" t="inlineStr">
        <is>
          <t>是</t>
        </is>
      </c>
      <c r="X565" t="inlineStr">
        <is>
          <t>历史导入:新疆民族团结进步促进法_18平台舆情监测_最终去重修正版.xlsx；来源类型:个人观点（学者引语）；复核:具名；同文不同引语，独立计入</t>
        </is>
      </c>
    </row>
    <row r="566">
      <c r="A566" t="inlineStr">
        <is>
          <t>hist-3c7e8c2deade7eac</t>
        </is>
      </c>
      <c r="B566" s="82" t="n">
        <v>46252.9403587963</v>
      </c>
      <c r="C566" s="82" t="n">
        <v>46204</v>
      </c>
      <c r="D566" t="inlineStr">
        <is>
          <t>vs.cns.com.cn</t>
        </is>
      </c>
      <c r="E566" t="inlineStr">
        <is>
          <t>其他</t>
        </is>
      </c>
      <c r="F566" t="inlineStr">
        <is>
          <t>原创</t>
        </is>
      </c>
      <c r="G566" t="inlineStr">
        <is>
          <t>范思忆/李明非（中新视频）</t>
        </is>
      </c>
      <c r="H566" t="inlineStr">
        <is>
          <t>双语法律服务窗口、木卡姆改编下乡宣讲、非遗保护、就业扶持、国际法理主权</t>
        </is>
      </c>
      <c r="I566" t="inlineStr">
        <is>
          <t>https://vs.cns.com.cn/views/details/details.html?id=654387</t>
        </is>
      </c>
      <c r="J566" t="inlineStr">
        <is>
          <t>新疆全区</t>
        </is>
      </c>
      <c r="L566" t="inlineStr">
        <is>
          <t>新疆</t>
        </is>
      </c>
      <c r="O566" t="inlineStr">
        <is>
          <t>中文</t>
        </is>
      </c>
      <c r="P566" t="inlineStr">
        <is>
          <t>否</t>
        </is>
      </c>
      <c r="Q566" t="inlineStr">
        <is>
          <t>支持认可</t>
        </is>
      </c>
      <c r="R566" t="inlineStr">
        <is>
          <t>法律施行与总体解读</t>
        </is>
      </c>
      <c r="S566" t="n">
        <v>0</v>
      </c>
      <c r="T566" t="n">
        <v>0</v>
      </c>
      <c r="U566" t="n">
        <v>0</v>
      </c>
      <c r="V566" t="inlineStr">
        <is>
          <t>否</t>
        </is>
      </c>
      <c r="W566" t="inlineStr">
        <is>
          <t>是</t>
        </is>
      </c>
      <c r="X566" t="inlineStr">
        <is>
          <t>历史导入:新疆民族团结进步促进法_18平台舆情监测_最终去重修正版.xlsx；来源类型:个人观点（视频专访）；复核:18平台唯一视频形式个人深度观点；不推断其民族或其他个人属性</t>
        </is>
      </c>
    </row>
    <row r="567">
      <c r="A567" t="inlineStr">
        <is>
          <t>hist-dcc6809dc4922385</t>
        </is>
      </c>
      <c r="B567" s="82" t="n">
        <v>46252.9403587963</v>
      </c>
      <c r="C567" s="82" t="n">
        <v>46220</v>
      </c>
      <c r="D567" t="inlineStr">
        <is>
          <t>xj.chinanews.com.cn</t>
        </is>
      </c>
      <c r="E567" t="inlineStr">
        <is>
          <t>其他</t>
        </is>
      </c>
      <c r="F567" t="inlineStr">
        <is>
          <t>原创</t>
        </is>
      </c>
      <c r="G567" t="inlineStr">
        <is>
          <t>新疆分社</t>
        </is>
      </c>
      <c r="H567" t="inlineStr">
        <is>
          <t>系统阐释法律里程碑意义、核心工作原则和互嵌式社区建设等重点工作</t>
        </is>
      </c>
      <c r="I567" t="inlineStr">
        <is>
          <t>https://www.xj.chinanews.com.cn/dizhou/2026-07-17/detail-ihfhkain2480904.shtml</t>
        </is>
      </c>
      <c r="J567" t="inlineStr">
        <is>
          <t>昌吉回族自治州</t>
        </is>
      </c>
      <c r="L567" t="inlineStr">
        <is>
          <t>新疆</t>
        </is>
      </c>
      <c r="O567" t="inlineStr">
        <is>
          <t>中文</t>
        </is>
      </c>
      <c r="P567" t="inlineStr">
        <is>
          <t>否</t>
        </is>
      </c>
      <c r="Q567" t="inlineStr">
        <is>
          <t>支持认可</t>
        </is>
      </c>
      <c r="R567" t="inlineStr">
        <is>
          <t>基层执行与依法履职</t>
        </is>
      </c>
      <c r="S567" t="n">
        <v>0</v>
      </c>
      <c r="T567" t="n">
        <v>0</v>
      </c>
      <c r="U567" t="n">
        <v>0</v>
      </c>
      <c r="V567" t="inlineStr">
        <is>
          <t>否</t>
        </is>
      </c>
      <c r="W567" t="inlineStr">
        <is>
          <t>是</t>
        </is>
      </c>
      <c r="X567" t="inlineStr">
        <is>
          <t>历史导入:新疆民族团结进步促进法_18平台舆情监测_最终去重修正版.xlsx；来源类型:个人观点（官员引语）；复核:具名；直播访谈节目中的官员引语</t>
        </is>
      </c>
    </row>
    <row r="568">
      <c r="A568" t="inlineStr">
        <is>
          <t>hist-584e74ad2ac367b3</t>
        </is>
      </c>
      <c r="B568" s="82" t="n">
        <v>46252.9403587963</v>
      </c>
      <c r="C568" s="82" t="n">
        <v>46220</v>
      </c>
      <c r="D568" t="inlineStr">
        <is>
          <t>xj.chinanews.com.cn</t>
        </is>
      </c>
      <c r="E568" t="inlineStr">
        <is>
          <t>其他</t>
        </is>
      </c>
      <c r="F568" t="inlineStr">
        <is>
          <t>原创</t>
        </is>
      </c>
      <c r="G568" t="inlineStr">
        <is>
          <t>新疆分社</t>
        </is>
      </c>
      <c r="H568" t="inlineStr">
        <is>
          <t>48支志愿分队、3000余名各族志愿者、26个爱心小屋、累计133万人次</t>
        </is>
      </c>
      <c r="I568" t="inlineStr">
        <is>
          <t>https://www.xj.chinanews.com.cn/dizhou/2026-07-17/detail-ihfhkain2480904.shtml</t>
        </is>
      </c>
      <c r="J568" t="inlineStr">
        <is>
          <t>昌吉回族自治州</t>
        </is>
      </c>
      <c r="L568" t="inlineStr">
        <is>
          <t>新疆</t>
        </is>
      </c>
      <c r="O568" t="inlineStr">
        <is>
          <t>中文</t>
        </is>
      </c>
      <c r="P568" t="inlineStr">
        <is>
          <t>否</t>
        </is>
      </c>
      <c r="Q568" t="inlineStr">
        <is>
          <t>支持认可</t>
        </is>
      </c>
      <c r="R568" t="inlineStr">
        <is>
          <t>基层执行与依法履职</t>
        </is>
      </c>
      <c r="S568" t="n">
        <v>0</v>
      </c>
      <c r="T568" t="n">
        <v>0</v>
      </c>
      <c r="U568" t="n">
        <v>0</v>
      </c>
      <c r="V568" t="inlineStr">
        <is>
          <t>否</t>
        </is>
      </c>
      <c r="W568" t="inlineStr">
        <is>
          <t>是</t>
        </is>
      </c>
      <c r="X568" t="inlineStr">
        <is>
          <t>历史导入:新疆民族团结进步促进法_18平台舆情监测_最终去重修正版.xlsx；来源类型:个人观点（模范引语）；复核:具名；同直播访谈节目，独立计入</t>
        </is>
      </c>
    </row>
    <row r="569">
      <c r="A569" t="inlineStr">
        <is>
          <t>hist-6a5f8b2acf762ef1</t>
        </is>
      </c>
      <c r="B569" s="82" t="n">
        <v>46252.9403587963</v>
      </c>
      <c r="C569" s="82" t="n">
        <v>46220</v>
      </c>
      <c r="D569" t="inlineStr">
        <is>
          <t>xj.chinanews.com.cn</t>
        </is>
      </c>
      <c r="E569" t="inlineStr">
        <is>
          <t>其他</t>
        </is>
      </c>
      <c r="F569" t="inlineStr">
        <is>
          <t>原创</t>
        </is>
      </c>
      <c r="G569" t="inlineStr">
        <is>
          <t>新疆分社</t>
        </is>
      </c>
      <c r="H569" t="inlineStr">
        <is>
          <t>新法对社区嵌入式养老的政策赋能让基层民族团结的烟火温情更有底气</t>
        </is>
      </c>
      <c r="I569" t="inlineStr">
        <is>
          <t>https://www.xj.chinanews.com.cn/dizhou/2026-07-17/detail-ihfhkain2480904.shtml</t>
        </is>
      </c>
      <c r="J569" t="inlineStr">
        <is>
          <t>昌吉回族自治州</t>
        </is>
      </c>
      <c r="L569" t="inlineStr">
        <is>
          <t>新疆</t>
        </is>
      </c>
      <c r="O569" t="inlineStr">
        <is>
          <t>中文</t>
        </is>
      </c>
      <c r="P569" t="inlineStr">
        <is>
          <t>否</t>
        </is>
      </c>
      <c r="Q569" t="inlineStr">
        <is>
          <t>支持认可</t>
        </is>
      </c>
      <c r="R569" t="inlineStr">
        <is>
          <t>基层执行与依法履职</t>
        </is>
      </c>
      <c r="S569" t="n">
        <v>0</v>
      </c>
      <c r="T569" t="n">
        <v>0</v>
      </c>
      <c r="U569" t="n">
        <v>0</v>
      </c>
      <c r="V569" t="inlineStr">
        <is>
          <t>否</t>
        </is>
      </c>
      <c r="W569" t="inlineStr">
        <is>
          <t>是</t>
        </is>
      </c>
      <c r="X569" t="inlineStr">
        <is>
          <t>历史导入:新疆民族团结进步促进法_18平台舆情监测_最终去重修正版.xlsx；来源类型:个人观点（模范引语）；复核:具名；同直播访谈节目，独立计入</t>
        </is>
      </c>
    </row>
    <row r="570">
      <c r="A570" t="inlineStr">
        <is>
          <t>hist-e98598dca35d55f3</t>
        </is>
      </c>
      <c r="B570" s="82" t="n">
        <v>46252.9403587963</v>
      </c>
      <c r="C570" s="82" t="n">
        <v>46222</v>
      </c>
      <c r="D570" t="inlineStr">
        <is>
          <t>xj.chinanews.com.cn</t>
        </is>
      </c>
      <c r="E570" t="inlineStr">
        <is>
          <t>其他</t>
        </is>
      </c>
      <c r="F570" t="inlineStr">
        <is>
          <t>原创</t>
        </is>
      </c>
      <c r="G570" t="inlineStr">
        <is>
          <t>新疆分社</t>
        </is>
      </c>
      <c r="H570" t="inlineStr">
        <is>
          <t>教育系统法治宣教234场覆盖1.18万学生，实地研学70场7800名师生</t>
        </is>
      </c>
      <c r="I570" t="inlineStr">
        <is>
          <t>https://www.xj.chinanews.com.cn/dizhou/2026-07-19/detail-ihfhkain2482046.shtml</t>
        </is>
      </c>
      <c r="J570" t="inlineStr">
        <is>
          <t>哈密市</t>
        </is>
      </c>
      <c r="L570" t="inlineStr">
        <is>
          <t>新疆</t>
        </is>
      </c>
      <c r="O570" t="inlineStr">
        <is>
          <t>中文</t>
        </is>
      </c>
      <c r="P570" t="inlineStr">
        <is>
          <t>否</t>
        </is>
      </c>
      <c r="Q570" t="inlineStr">
        <is>
          <t>官方政策信息</t>
        </is>
      </c>
      <c r="R570" t="inlineStr">
        <is>
          <t>基层落实与宣传覆盖</t>
        </is>
      </c>
      <c r="S570" t="n">
        <v>0</v>
      </c>
      <c r="T570" t="n">
        <v>0</v>
      </c>
      <c r="U570" t="n">
        <v>0</v>
      </c>
      <c r="V570" t="inlineStr">
        <is>
          <t>否</t>
        </is>
      </c>
      <c r="W570" t="inlineStr">
        <is>
          <t>否</t>
        </is>
      </c>
      <c r="X570" t="inlineStr">
        <is>
          <t>历史导入:新疆民族团结进步促进法_18平台舆情监测_最终去重修正版.xlsx；来源类型:官方实施信息；复核:无具名个人引语；属官方实施信息</t>
        </is>
      </c>
    </row>
    <row r="571">
      <c r="A571" t="inlineStr">
        <is>
          <t>hist-4234f5c2b1fded9f</t>
        </is>
      </c>
      <c r="B571" s="82" t="n">
        <v>46252.9403587963</v>
      </c>
      <c r="C571" s="82" t="n">
        <v>46227</v>
      </c>
      <c r="D571" t="inlineStr">
        <is>
          <t>chinanews.com.cn/txy</t>
        </is>
      </c>
      <c r="E571" t="inlineStr">
        <is>
          <t>其他</t>
        </is>
      </c>
      <c r="F571" t="inlineStr">
        <is>
          <t>转载</t>
        </is>
      </c>
      <c r="G571" t="inlineStr">
        <is>
          <t>巴州统战部/丝路同心圆</t>
        </is>
      </c>
      <c r="H571" t="inlineStr">
        <is>
          <t>5900余名各级人大代表累计宣讲5300余场次覆盖67万余人次</t>
        </is>
      </c>
      <c r="I571" t="inlineStr">
        <is>
          <t>https://www.chinanews.com.cn/txy/2026/07-24/10665588.shtml</t>
        </is>
      </c>
      <c r="J571" t="inlineStr">
        <is>
          <t>巴音郭楞蒙古自治州</t>
        </is>
      </c>
      <c r="L571" t="inlineStr">
        <is>
          <t>新疆</t>
        </is>
      </c>
      <c r="O571" t="inlineStr">
        <is>
          <t>中文</t>
        </is>
      </c>
      <c r="P571" t="inlineStr">
        <is>
          <t>否</t>
        </is>
      </c>
      <c r="Q571" t="inlineStr">
        <is>
          <t>官方政策信息</t>
        </is>
      </c>
      <c r="R571" t="inlineStr">
        <is>
          <t>基层落实与宣传覆盖</t>
        </is>
      </c>
      <c r="S571" t="n">
        <v>0</v>
      </c>
      <c r="T571" t="n">
        <v>0</v>
      </c>
      <c r="U571" t="n">
        <v>0</v>
      </c>
      <c r="V571" t="inlineStr">
        <is>
          <t>否</t>
        </is>
      </c>
      <c r="W571" t="inlineStr">
        <is>
          <t>否</t>
        </is>
      </c>
      <c r="X571" t="inlineStr">
        <is>
          <t>历史导入:新疆民族团结进步促进法_18平台舆情监测_最终去重修正版.xlsx；来源类型:官方实施信息；复核:转载自丝路同心圆微信公众号；已在其他平台统计</t>
        </is>
      </c>
    </row>
    <row r="572">
      <c r="A572" t="inlineStr">
        <is>
          <t>hist-75ab6d5b5e2baf7b</t>
        </is>
      </c>
      <c r="B572" s="82" t="n">
        <v>46252.9403587963</v>
      </c>
      <c r="C572" s="82" t="n">
        <v>46234</v>
      </c>
      <c r="D572" t="inlineStr">
        <is>
          <t>xj.chinanews.com.cn</t>
        </is>
      </c>
      <c r="E572" t="inlineStr">
        <is>
          <t>其他</t>
        </is>
      </c>
      <c r="F572" t="inlineStr">
        <is>
          <t>原创</t>
        </is>
      </c>
      <c r="G572" t="inlineStr">
        <is>
          <t>新疆分社/和田市融媒体中心</t>
        </is>
      </c>
      <c r="H572" t="inlineStr">
        <is>
          <t>会议指出7月1日正式施行的《中华人民共和国民族团结进步促进法》是民族工作重要法治成果</t>
        </is>
      </c>
      <c r="I572" t="inlineStr">
        <is>
          <t>https://www.xj.chinanews.com.cn/dizhou/2026-07-31/detail-ihfhupmv6606625.shtml</t>
        </is>
      </c>
      <c r="J572" t="inlineStr">
        <is>
          <t>和田市</t>
        </is>
      </c>
      <c r="L572" t="inlineStr">
        <is>
          <t>新疆</t>
        </is>
      </c>
      <c r="O572" t="inlineStr">
        <is>
          <t>中文</t>
        </is>
      </c>
      <c r="P572" t="inlineStr">
        <is>
          <t>否</t>
        </is>
      </c>
      <c r="Q572" t="inlineStr">
        <is>
          <t>官方政策信息</t>
        </is>
      </c>
      <c r="R572" t="inlineStr">
        <is>
          <t>基层落实与宣传覆盖</t>
        </is>
      </c>
      <c r="S572" t="n">
        <v>0</v>
      </c>
      <c r="T572" t="n">
        <v>0</v>
      </c>
      <c r="U572" t="n">
        <v>0</v>
      </c>
      <c r="V572" t="inlineStr">
        <is>
          <t>否</t>
        </is>
      </c>
      <c r="W572" t="inlineStr">
        <is>
          <t>否</t>
        </is>
      </c>
      <c r="X572" t="inlineStr">
        <is>
          <t>历史导入:新疆民族团结进步促进法_18平台舆情监测_最终去重修正版.xlsx；来源类型:官方实施信息（B类）；复核:B类：正文提及法律但主要内容为一般性民族团结进步创建活动</t>
        </is>
      </c>
    </row>
    <row r="573">
      <c r="A573" t="inlineStr">
        <is>
          <t>hist-b17735f355117654</t>
        </is>
      </c>
      <c r="B573" s="82" t="n">
        <v>46252.9403587963</v>
      </c>
      <c r="C573" s="82" t="n">
        <v>46204</v>
      </c>
      <c r="D573" t="inlineStr">
        <is>
          <t>中央统战部网站</t>
        </is>
      </c>
      <c r="E573" t="inlineStr">
        <is>
          <t>其他</t>
        </is>
      </c>
      <c r="F573" t="inlineStr">
        <is>
          <t>全网检索（原始页已打开）</t>
        </is>
      </c>
      <c r="G573" t="inlineStr">
        <is>
          <t>时政要闻</t>
        </is>
      </c>
      <c r="H573" t="inlineStr">
        <is>
          <t>“这部法律今天（7月1日）起正式施行。”</t>
        </is>
      </c>
      <c r="I573" t="inlineStr">
        <is>
          <t>https://www.zytzb.gov.cn/zytzb/2026-07/01/article_15367.shtml</t>
        </is>
      </c>
      <c r="J573" t="inlineStr">
        <is>
          <t>全国</t>
        </is>
      </c>
      <c r="O573" t="inlineStr">
        <is>
          <t>中文</t>
        </is>
      </c>
      <c r="P573" t="inlineStr">
        <is>
          <t>否</t>
        </is>
      </c>
      <c r="Q573" t="inlineStr">
        <is>
          <t>中性信息</t>
        </is>
      </c>
      <c r="R573" t="inlineStr">
        <is>
          <t>法律施行与权威解读</t>
        </is>
      </c>
      <c r="S573" t="n">
        <v>0</v>
      </c>
      <c r="T573" t="n">
        <v>0</v>
      </c>
      <c r="U573" t="n">
        <v>0</v>
      </c>
      <c r="V573" t="inlineStr">
        <is>
          <t>否</t>
        </is>
      </c>
      <c r="W573" t="inlineStr">
        <is>
          <t>是</t>
        </is>
      </c>
      <c r="X573" t="inlineStr">
        <is>
          <t>历史导入:民族团结进步促进法_多语言专项复核_最终修正版.xlsx；来源类型:媒体报道；复核:可用性复核通过：HTTP 200；页面标题相符；正文证据摘录命中；正文含法律名称；核验时间 2026-08-05 18:38:45（北京时间）。；重复:否；待核实:否</t>
        </is>
      </c>
    </row>
    <row r="574">
      <c r="A574" t="inlineStr">
        <is>
          <t>hist-0b0ce0e610ee97a5</t>
        </is>
      </c>
      <c r="B574" s="82" t="n">
        <v>46252.9403587963</v>
      </c>
      <c r="C574" s="82" t="n">
        <v>46205</v>
      </c>
      <c r="D574" t="inlineStr">
        <is>
          <t>国家民族事务委员会</t>
        </is>
      </c>
      <c r="E574" t="inlineStr">
        <is>
          <t>其他</t>
        </is>
      </c>
      <c r="F574" t="inlineStr">
        <is>
          <t>全网检索（原始页已打开）</t>
        </is>
      </c>
      <c r="G574" t="inlineStr">
        <is>
          <t>学习宣传贯彻专题/评论综述</t>
        </is>
      </c>
      <c r="H574" t="inlineStr">
        <is>
          <t>“《中华人民共和国民族团结进步促进法》于2026年7月1日起正式施行。”</t>
        </is>
      </c>
      <c r="I574" t="inlineStr">
        <is>
          <t>https://www.neac.gov.cn/seac/c103755/202607/1192237.shtml</t>
        </is>
      </c>
      <c r="J574" t="inlineStr">
        <is>
          <t>全国</t>
        </is>
      </c>
      <c r="O574" t="inlineStr">
        <is>
          <t>中文</t>
        </is>
      </c>
      <c r="P574" t="inlineStr">
        <is>
          <t>否</t>
        </is>
      </c>
      <c r="Q574" t="inlineStr">
        <is>
          <t>官方政策信息</t>
        </is>
      </c>
      <c r="R574" t="inlineStr">
        <is>
          <t>政策解读与法律定位</t>
        </is>
      </c>
      <c r="S574" t="n">
        <v>0</v>
      </c>
      <c r="T574" t="n">
        <v>0</v>
      </c>
      <c r="U574" t="n">
        <v>0</v>
      </c>
      <c r="V574" t="inlineStr">
        <is>
          <t>否</t>
        </is>
      </c>
      <c r="W574" t="inlineStr">
        <is>
          <t>是</t>
        </is>
      </c>
      <c r="X574" t="inlineStr">
        <is>
          <t>历史导入:民族团结进步促进法_多语言专项复核_最终修正版.xlsx；来源类型:官方实施信息；复核:可用性复核通过：HTTP 200；正文证据摘录命中；正文含法律名称；核验时间 2026-08-05 18:38:45（北京时间）。；重复:否；待核实:否</t>
        </is>
      </c>
    </row>
    <row r="575">
      <c r="A575" t="inlineStr">
        <is>
          <t>hist-188ebbdd75edbf2d</t>
        </is>
      </c>
      <c r="B575" s="82" t="n">
        <v>46252.9403587963</v>
      </c>
      <c r="C575" s="82" t="n">
        <v>46213</v>
      </c>
      <c r="D575" t="inlineStr">
        <is>
          <t>国家民族事务委员会</t>
        </is>
      </c>
      <c r="E575" t="inlineStr">
        <is>
          <t>其他</t>
        </is>
      </c>
      <c r="F575" t="inlineStr">
        <is>
          <t>全网检索（原始页已打开）</t>
        </is>
      </c>
      <c r="G575" t="inlineStr">
        <is>
          <t>委属动态</t>
        </is>
      </c>
      <c r="H575" t="inlineStr">
        <is>
          <t>“由国家民委铸牢中华民族共同体意识宣讲团主办……示范宣讲在海淀校区举行。”</t>
        </is>
      </c>
      <c r="I575" t="inlineStr">
        <is>
          <t>https://www.neac.gov.cn/seac/xwzx/202607/1192439.shtml</t>
        </is>
      </c>
      <c r="J575" t="inlineStr">
        <is>
          <t>全国/北京</t>
        </is>
      </c>
      <c r="L575" t="inlineStr">
        <is>
          <t>北京</t>
        </is>
      </c>
      <c r="O575" t="inlineStr">
        <is>
          <t>中文</t>
        </is>
      </c>
      <c r="P575" t="inlineStr">
        <is>
          <t>否</t>
        </is>
      </c>
      <c r="Q575" t="inlineStr">
        <is>
          <t>官方政策信息</t>
        </is>
      </c>
      <c r="R575" t="inlineStr">
        <is>
          <t>高校宣讲与示范普法</t>
        </is>
      </c>
      <c r="S575" t="n">
        <v>0</v>
      </c>
      <c r="T575" t="n">
        <v>0</v>
      </c>
      <c r="U575" t="n">
        <v>0</v>
      </c>
      <c r="V575" t="inlineStr">
        <is>
          <t>否</t>
        </is>
      </c>
      <c r="W575" t="inlineStr">
        <is>
          <t>是</t>
        </is>
      </c>
      <c r="X575"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76">
      <c r="A576" t="inlineStr">
        <is>
          <t>hist-b385dafa6fccbbf7</t>
        </is>
      </c>
      <c r="B576" s="82" t="n">
        <v>46252.9403587963</v>
      </c>
      <c r="C576" s="82" t="n">
        <v>46206</v>
      </c>
      <c r="D576" t="inlineStr">
        <is>
          <t>俄罗斯卫星通讯社中文网</t>
        </is>
      </c>
      <c r="E576" t="inlineStr">
        <is>
          <t>其他</t>
        </is>
      </c>
      <c r="F576" t="inlineStr">
        <is>
          <t>全网检索（原始页已打开）</t>
        </is>
      </c>
      <c r="G576" t="inlineStr">
        <is>
          <t>中国/国际新闻</t>
        </is>
      </c>
      <c r="H576" t="inlineStr">
        <is>
          <t>“担忧该法进一步限制少数民族文化、语言及宗教权利”。</t>
        </is>
      </c>
      <c r="I576" t="inlineStr">
        <is>
          <t>https://sputniknews.cn/20260703/1072164285.html</t>
        </is>
      </c>
      <c r="J576" t="inlineStr">
        <is>
          <t>全国/境外舆论场</t>
        </is>
      </c>
      <c r="O576" t="inlineStr">
        <is>
          <t>中文</t>
        </is>
      </c>
      <c r="P576" t="inlineStr">
        <is>
          <t>否</t>
        </is>
      </c>
      <c r="Q576" t="inlineStr">
        <is>
          <t>担忧影响（媒体转述第三方关切）</t>
        </is>
      </c>
      <c r="R576" t="inlineStr">
        <is>
          <t>第63条域外适用；少数民族语言文化权利；国际回应</t>
        </is>
      </c>
      <c r="S576" t="n">
        <v>0</v>
      </c>
      <c r="T576" t="n">
        <v>0</v>
      </c>
      <c r="U576" t="n">
        <v>0</v>
      </c>
      <c r="V576" t="inlineStr">
        <is>
          <t>否</t>
        </is>
      </c>
      <c r="W576" t="inlineStr">
        <is>
          <t>是</t>
        </is>
      </c>
      <c r="X576" t="inlineStr">
        <is>
          <t>历史导入:民族团结进步促进法_多语言专项复核_最终修正版.xlsx；来源类型:媒体报道；复核:原始页面复核通过（HTTP 200，2026-08-07，北京时间）。该页为中文媒体报道，正文明确转述欧盟、美国及台湾方面的担忧，并同时刊载中方回应；态度类型确认为“担忧影响（媒体转述）”，不作为公众原创意见计数。；重复:否；待核实:否</t>
        </is>
      </c>
    </row>
    <row r="577">
      <c r="A577" t="inlineStr">
        <is>
          <t>hist-9b07a5be69a58dc9</t>
        </is>
      </c>
      <c r="B577" s="82" t="n">
        <v>46252.9403587963</v>
      </c>
      <c r="C577" s="82" t="n">
        <v>46205</v>
      </c>
      <c r="D577" t="inlineStr">
        <is>
          <t>中共中央台办、国务院台办</t>
        </is>
      </c>
      <c r="E577" t="inlineStr">
        <is>
          <t>其他</t>
        </is>
      </c>
      <c r="F577" t="inlineStr">
        <is>
          <t>全网检索（原始页已打开）</t>
        </is>
      </c>
      <c r="G577" t="inlineStr">
        <is>
          <t>要闻</t>
        </is>
      </c>
      <c r="H577" t="inlineStr">
        <is>
          <t>“有民进党政客称……扩大‘跨境镇压’。请问对此有何评论？”</t>
        </is>
      </c>
      <c r="I577" t="inlineStr">
        <is>
          <t>https://www.gwytb.gov.cn/xwdt/xwfb/wyly/202607/t20260702_12774061.htm</t>
        </is>
      </c>
      <c r="J577" t="inlineStr">
        <is>
          <t>全国</t>
        </is>
      </c>
      <c r="O577" t="inlineStr">
        <is>
          <t>中文</t>
        </is>
      </c>
      <c r="P577" t="inlineStr">
        <is>
          <t>否</t>
        </is>
      </c>
      <c r="Q577" t="inlineStr">
        <is>
          <t>已确认误读</t>
        </is>
      </c>
      <c r="R577" t="inlineStr">
        <is>
          <t>官方回应；域外适用争议</t>
        </is>
      </c>
      <c r="S577" t="n">
        <v>0</v>
      </c>
      <c r="T577" t="n">
        <v>0</v>
      </c>
      <c r="U577" t="n">
        <v>0</v>
      </c>
      <c r="V577" t="inlineStr">
        <is>
          <t>否</t>
        </is>
      </c>
      <c r="W577" t="inlineStr">
        <is>
          <t>是</t>
        </is>
      </c>
      <c r="X577" t="inlineStr">
        <is>
          <t>历史导入:民族团结进步促进法_多语言专项复核_最终修正版.xlsx；来源类型:政府公开答复；复核:可用性复核通过：HTTP 200；正文证据摘录命中；正文含法律名称；核验时间 2026-08-05 18:38:45（北京时间）。；重复:否；待核实:否</t>
        </is>
      </c>
    </row>
    <row r="578">
      <c r="A578" t="inlineStr">
        <is>
          <t>hist-166a97202c93f7e0</t>
        </is>
      </c>
      <c r="B578" s="82" t="n">
        <v>46252.9403587963</v>
      </c>
      <c r="C578" s="82" t="n">
        <v>46211</v>
      </c>
      <c r="D578" t="inlineStr">
        <is>
          <t>中共中央台办、国务院台办</t>
        </is>
      </c>
      <c r="E578" t="inlineStr">
        <is>
          <t>其他</t>
        </is>
      </c>
      <c r="F578" t="inlineStr">
        <is>
          <t>全网检索（原始页已打开）</t>
        </is>
      </c>
      <c r="G578" t="inlineStr">
        <is>
          <t>发言人表态</t>
        </is>
      </c>
      <c r="H578" t="inlineStr">
        <is>
          <t>“针对民族团结进步促进法实施……请问对此有何评论？”</t>
        </is>
      </c>
      <c r="I578" t="inlineStr">
        <is>
          <t>https://www.gwytb.gov.cn/m/fyrbt/202607/t20260708_12775119.htm</t>
        </is>
      </c>
      <c r="J578" t="inlineStr">
        <is>
          <t>全国</t>
        </is>
      </c>
      <c r="O578" t="inlineStr">
        <is>
          <t>中文</t>
        </is>
      </c>
      <c r="P578" t="inlineStr">
        <is>
          <t>否</t>
        </is>
      </c>
      <c r="Q578" t="inlineStr">
        <is>
          <t>官方政策信息</t>
        </is>
      </c>
      <c r="R578" t="inlineStr">
        <is>
          <t>政府回应；两岸舆论争议</t>
        </is>
      </c>
      <c r="S578" t="n">
        <v>0</v>
      </c>
      <c r="T578" t="n">
        <v>0</v>
      </c>
      <c r="U578" t="n">
        <v>0</v>
      </c>
      <c r="V578" t="inlineStr">
        <is>
          <t>否</t>
        </is>
      </c>
      <c r="W578" t="inlineStr">
        <is>
          <t>是</t>
        </is>
      </c>
      <c r="X578" t="inlineStr">
        <is>
          <t>历史导入:民族团结进步促进法_多语言专项复核_最终修正版.xlsx；来源类型:政府公开答复；复核:可用性复核通过：HTTP 200；页面标题相符；正文证据摘录命中；正文含法律名称；核验时间 2026-08-05 18:38:45（北京时间）。；重复:否；待核实:否</t>
        </is>
      </c>
    </row>
    <row r="579">
      <c r="A579" t="inlineStr">
        <is>
          <t>hist-1bbf6461d7f03f25</t>
        </is>
      </c>
      <c r="B579" s="82" t="n">
        <v>46252.9403587963</v>
      </c>
      <c r="C579" s="82" t="n">
        <v>46237</v>
      </c>
      <c r="D579" t="inlineStr">
        <is>
          <t>国家民族事务委员会</t>
        </is>
      </c>
      <c r="E579" t="inlineStr">
        <is>
          <t>其他</t>
        </is>
      </c>
      <c r="F579" t="inlineStr">
        <is>
          <t>定向检索（原始页已打开）</t>
        </is>
      </c>
      <c r="G579" t="inlineStr">
        <is>
          <t>地方动态/宁夏民委、宁夏日报供稿</t>
        </is>
      </c>
      <c r="H579" t="inlineStr">
        <is>
          <t>“印发学习宣传贯彻工作方案和专题宣讲方案。”</t>
        </is>
      </c>
      <c r="I579" t="inlineStr">
        <is>
          <t>https://www.neac.gov.cn/seac/xwzx/202608/1193293.shtml</t>
        </is>
      </c>
      <c r="J579" t="inlineStr">
        <is>
          <t>宁夏回族自治区</t>
        </is>
      </c>
      <c r="L579" t="inlineStr">
        <is>
          <t>宁夏</t>
        </is>
      </c>
      <c r="O579" t="inlineStr">
        <is>
          <t>中文</t>
        </is>
      </c>
      <c r="P579" t="inlineStr">
        <is>
          <t>否</t>
        </is>
      </c>
      <c r="Q579" t="inlineStr">
        <is>
          <t>官方政策信息</t>
        </is>
      </c>
      <c r="R579" t="inlineStr">
        <is>
          <t>实施方案；宣传矩阵；宣讲培训；地方配套立法</t>
        </is>
      </c>
      <c r="S579" t="n">
        <v>0</v>
      </c>
      <c r="T579" t="n">
        <v>0</v>
      </c>
      <c r="U579" t="n">
        <v>0</v>
      </c>
      <c r="V579" t="inlineStr">
        <is>
          <t>否</t>
        </is>
      </c>
      <c r="W579" t="inlineStr">
        <is>
          <t>是</t>
        </is>
      </c>
      <c r="X579"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80">
      <c r="A580" t="inlineStr">
        <is>
          <t>hist-4dcda8957d9a9eec</t>
        </is>
      </c>
      <c r="B580" s="82" t="n">
        <v>46252.9403587963</v>
      </c>
      <c r="C580" s="82" t="n">
        <v>46211</v>
      </c>
      <c r="D580" t="inlineStr">
        <is>
          <t>宁夏大学</t>
        </is>
      </c>
      <c r="E580" t="inlineStr">
        <is>
          <t>其他</t>
        </is>
      </c>
      <c r="F580" t="inlineStr">
        <is>
          <t>定向检索（原始页已打开）</t>
        </is>
      </c>
      <c r="G580" t="inlineStr">
        <is>
          <t>宁大要闻</t>
        </is>
      </c>
      <c r="H580" t="inlineStr">
        <is>
          <t>“将法律法规的核心主旨、法治精神、重点条文全面融入人才培养全过程、校园育人各场景。”</t>
        </is>
      </c>
      <c r="I580" t="inlineStr">
        <is>
          <t>https://www.nxu.edu.cn/info/1569/35780.htm</t>
        </is>
      </c>
      <c r="J580" t="inlineStr">
        <is>
          <t>宁夏回族自治区/银川市</t>
        </is>
      </c>
      <c r="L580" t="inlineStr">
        <is>
          <t>宁夏</t>
        </is>
      </c>
      <c r="O580" t="inlineStr">
        <is>
          <t>中文</t>
        </is>
      </c>
      <c r="P580" t="inlineStr">
        <is>
          <t>否</t>
        </is>
      </c>
      <c r="Q580" t="inlineStr">
        <is>
          <t>官方政策信息</t>
        </is>
      </c>
      <c r="R580" t="inlineStr">
        <is>
          <t>高校教育；人才培养；依法治校</t>
        </is>
      </c>
      <c r="S580" t="n">
        <v>0</v>
      </c>
      <c r="T580" t="n">
        <v>0</v>
      </c>
      <c r="U580" t="n">
        <v>0</v>
      </c>
      <c r="V580" t="inlineStr">
        <is>
          <t>否</t>
        </is>
      </c>
      <c r="W580" t="inlineStr">
        <is>
          <t>是</t>
        </is>
      </c>
      <c r="X580" t="inlineStr">
        <is>
          <t>历史导入:民族团结进步促进法_多语言专项复核_最终修正版.xlsx；来源类型:官方实施信息；复核:可用性复核通过：HTTP 200；正文证据摘录命中；正文含法律名称；核验时间 2026-08-05 18:38:45（北京时间）。；重复:否；待核实:否</t>
        </is>
      </c>
    </row>
    <row r="581">
      <c r="A581" t="inlineStr">
        <is>
          <t>hist-23b1dd1903f2d71e</t>
        </is>
      </c>
      <c r="B581" s="82" t="n">
        <v>46252.9403587963</v>
      </c>
      <c r="C581" s="82" t="n">
        <v>46217</v>
      </c>
      <c r="D581" t="inlineStr">
        <is>
          <t>贵州民族报</t>
        </is>
      </c>
      <c r="E581" t="inlineStr">
        <is>
          <t>其他</t>
        </is>
      </c>
      <c r="F581" t="inlineStr">
        <is>
          <t>定向检索（原始页已打开）</t>
        </is>
      </c>
      <c r="G581" t="inlineStr">
        <is>
          <t>贵州民族报全媒体</t>
        </is>
      </c>
      <c r="H581" t="inlineStr">
        <is>
          <t>“全省各族干部群众热议民族团结进步促进法实施（六）。”</t>
        </is>
      </c>
      <c r="I581" t="inlineStr">
        <is>
          <t>https://szb.gzmzb.cn/content/202607/14/content_66850.html</t>
        </is>
      </c>
      <c r="J581" t="inlineStr">
        <is>
          <t>贵州省</t>
        </is>
      </c>
      <c r="L581" t="inlineStr">
        <is>
          <t>贵州</t>
        </is>
      </c>
      <c r="O581" t="inlineStr">
        <is>
          <t>中文</t>
        </is>
      </c>
      <c r="P581" t="inlineStr">
        <is>
          <t>否</t>
        </is>
      </c>
      <c r="Q581" t="inlineStr">
        <is>
          <t>中性信息</t>
        </is>
      </c>
      <c r="R581" t="inlineStr">
        <is>
          <t>社会组织学习贯彻；多语言普法</t>
        </is>
      </c>
      <c r="S581" t="n">
        <v>0</v>
      </c>
      <c r="T581" t="n">
        <v>0</v>
      </c>
      <c r="U581" t="n">
        <v>0</v>
      </c>
      <c r="V581" t="inlineStr">
        <is>
          <t>否</t>
        </is>
      </c>
      <c r="W581" t="inlineStr">
        <is>
          <t>是</t>
        </is>
      </c>
      <c r="X581" t="inlineStr">
        <is>
          <t>历史导入:民族团结进步促进法_多语言专项复核_最终修正版.xlsx；来源类型:媒体报道；复核:可用性复核通过：HTTP 200；正文证据摘录命中；正文含法律名称；核验时间 2026-08-05 18:38:45（北京时间）。；重复:否；待核实:否</t>
        </is>
      </c>
    </row>
    <row r="582">
      <c r="A582" t="inlineStr">
        <is>
          <t>hist-ed8b123a8779f720</t>
        </is>
      </c>
      <c r="B582" s="82" t="n">
        <v>46252.9403587963</v>
      </c>
      <c r="C582" s="82" t="n">
        <v>46217</v>
      </c>
      <c r="D582" t="inlineStr">
        <is>
          <t>贵州民族报</t>
        </is>
      </c>
      <c r="E582" t="inlineStr">
        <is>
          <t>其他</t>
        </is>
      </c>
      <c r="F582" t="inlineStr">
        <is>
          <t>定向检索（原始页已打开）</t>
        </is>
      </c>
      <c r="G582" t="inlineStr">
        <is>
          <t>贵州省民族团结进步协会副秘书长瞿大喜</t>
        </is>
      </c>
      <c r="H582" t="inlineStr">
        <is>
          <t>“民族团结进步促进法在‘十五五’开局之年颁布实施，意义重大。”</t>
        </is>
      </c>
      <c r="I582" t="inlineStr">
        <is>
          <t>https://szb.gzmzb.cn/content/202607/14/content_66850.html</t>
        </is>
      </c>
      <c r="J582" t="inlineStr">
        <is>
          <t>贵州省</t>
        </is>
      </c>
      <c r="L582" t="inlineStr">
        <is>
          <t>贵州</t>
        </is>
      </c>
      <c r="O582" t="inlineStr">
        <is>
          <t>中文</t>
        </is>
      </c>
      <c r="P582" t="inlineStr">
        <is>
          <t>否</t>
        </is>
      </c>
      <c r="Q582" t="inlineStr">
        <is>
          <t>支持认可</t>
        </is>
      </c>
      <c r="R582" t="inlineStr">
        <is>
          <t>社会组织学习贯彻</t>
        </is>
      </c>
      <c r="S582" t="n">
        <v>0</v>
      </c>
      <c r="T582" t="n">
        <v>0</v>
      </c>
      <c r="U582" t="n">
        <v>0</v>
      </c>
      <c r="V582" t="inlineStr">
        <is>
          <t>否</t>
        </is>
      </c>
      <c r="W582" t="inlineStr">
        <is>
          <t>是</t>
        </is>
      </c>
      <c r="X582"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583">
      <c r="A583" t="inlineStr">
        <is>
          <t>hist-414eccf8cd20dcd6</t>
        </is>
      </c>
      <c r="B583" s="82" t="n">
        <v>46252.9403587963</v>
      </c>
      <c r="C583" s="82" t="n">
        <v>46217</v>
      </c>
      <c r="D583" t="inlineStr">
        <is>
          <t>贵州民族报</t>
        </is>
      </c>
      <c r="E583" t="inlineStr">
        <is>
          <t>其他</t>
        </is>
      </c>
      <c r="F583" t="inlineStr">
        <is>
          <t>定向检索（原始页已打开）</t>
        </is>
      </c>
      <c r="G583" t="inlineStr">
        <is>
          <t>贵州省苗学会常务副会长杨政洪</t>
        </is>
      </c>
      <c r="H583" t="inlineStr">
        <is>
          <t>“正式实施，为民族团结进步事业提供了坚实法治保障。”</t>
        </is>
      </c>
      <c r="I583" t="inlineStr">
        <is>
          <t>https://szb.gzmzb.cn/content/202607/14/content_66850.html</t>
        </is>
      </c>
      <c r="J583" t="inlineStr">
        <is>
          <t>贵州省</t>
        </is>
      </c>
      <c r="L583" t="inlineStr">
        <is>
          <t>贵州</t>
        </is>
      </c>
      <c r="O583" t="inlineStr">
        <is>
          <t>中文</t>
        </is>
      </c>
      <c r="P583" t="inlineStr">
        <is>
          <t>否</t>
        </is>
      </c>
      <c r="Q583" t="inlineStr">
        <is>
          <t>支持认可</t>
        </is>
      </c>
      <c r="R583" t="inlineStr">
        <is>
          <t>苗族学术社团；普法学习</t>
        </is>
      </c>
      <c r="S583" t="n">
        <v>0</v>
      </c>
      <c r="T583" t="n">
        <v>0</v>
      </c>
      <c r="U583" t="n">
        <v>0</v>
      </c>
      <c r="V583" t="inlineStr">
        <is>
          <t>否</t>
        </is>
      </c>
      <c r="W583" t="inlineStr">
        <is>
          <t>是</t>
        </is>
      </c>
      <c r="X583"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584">
      <c r="A584" t="inlineStr">
        <is>
          <t>hist-ffa7efcd99ddccfc</t>
        </is>
      </c>
      <c r="B584" s="82" t="n">
        <v>46252.9403587963</v>
      </c>
      <c r="C584" s="82" t="n">
        <v>46217</v>
      </c>
      <c r="D584" t="inlineStr">
        <is>
          <t>贵州民族报</t>
        </is>
      </c>
      <c r="E584" t="inlineStr">
        <is>
          <t>其他</t>
        </is>
      </c>
      <c r="F584" t="inlineStr">
        <is>
          <t>定向检索（原始页已打开）</t>
        </is>
      </c>
      <c r="G584" t="inlineStr">
        <is>
          <t>贵州省侗学研究会副会长、秘书长杨正学</t>
        </is>
      </c>
      <c r="H584" t="inlineStr">
        <is>
          <t>“用‘普通话+侗语’双语宣讲法律要义。”</t>
        </is>
      </c>
      <c r="I584" t="inlineStr">
        <is>
          <t>https://szb.gzmzb.cn/content/202607/14/content_66850.html</t>
        </is>
      </c>
      <c r="J584" t="inlineStr">
        <is>
          <t>贵州省/黔东南等</t>
        </is>
      </c>
      <c r="L584" t="inlineStr">
        <is>
          <t>贵州</t>
        </is>
      </c>
      <c r="O584" t="inlineStr">
        <is>
          <t>中文</t>
        </is>
      </c>
      <c r="P584" t="inlineStr">
        <is>
          <t>否</t>
        </is>
      </c>
      <c r="Q584" t="inlineStr">
        <is>
          <t>支持认可</t>
        </is>
      </c>
      <c r="R584" t="inlineStr">
        <is>
          <t>侗语双语宣讲；文化节庆；合法权益</t>
        </is>
      </c>
      <c r="S584" t="n">
        <v>0</v>
      </c>
      <c r="T584" t="n">
        <v>0</v>
      </c>
      <c r="U584" t="n">
        <v>0</v>
      </c>
      <c r="V584" t="inlineStr">
        <is>
          <t>否</t>
        </is>
      </c>
      <c r="W584" t="inlineStr">
        <is>
          <t>是</t>
        </is>
      </c>
      <c r="X584" t="inlineStr">
        <is>
          <t>历史导入:民族团结进步促进法_多语言专项复核_最终修正版.xlsx；来源类型:个人原创观点（媒体采访）；复核:页面事实已复核：原页为中文报道，明确说明计划采用“普通话+侗语”开展线下宣讲。页面未公开侗语逐字原文，因此不存在可供进一步翻译或逐字语言核验的公开原始语料。支持态度仅依据页面已刊中文引语确认；不将该记录统计为侗语公众意见。；重复:否；待核实:否</t>
        </is>
      </c>
    </row>
    <row r="585">
      <c r="A585" t="inlineStr">
        <is>
          <t>hist-43eec39978b4a156</t>
        </is>
      </c>
      <c r="B585" s="82" t="n">
        <v>46252.9403587963</v>
      </c>
      <c r="C585" s="82" t="n">
        <v>46217</v>
      </c>
      <c r="D585" t="inlineStr">
        <is>
          <t>贵州民族报</t>
        </is>
      </c>
      <c r="E585" t="inlineStr">
        <is>
          <t>其他</t>
        </is>
      </c>
      <c r="F585" t="inlineStr">
        <is>
          <t>定向检索（原始页已打开）</t>
        </is>
      </c>
      <c r="G585" t="inlineStr">
        <is>
          <t>贵州省仡佬学会会长申波</t>
        </is>
      </c>
      <c r="H585" t="inlineStr">
        <is>
          <t>“组织全体会员学习民族团结进步促进法，解读法律核心要义。”</t>
        </is>
      </c>
      <c r="I585" t="inlineStr">
        <is>
          <t>https://szb.gzmzb.cn/content/202607/14/content_66850.html</t>
        </is>
      </c>
      <c r="J585" t="inlineStr">
        <is>
          <t>贵州省</t>
        </is>
      </c>
      <c r="L585" t="inlineStr">
        <is>
          <t>贵州</t>
        </is>
      </c>
      <c r="O585" t="inlineStr">
        <is>
          <t>中文</t>
        </is>
      </c>
      <c r="P585" t="inlineStr">
        <is>
          <t>否</t>
        </is>
      </c>
      <c r="Q585" t="inlineStr">
        <is>
          <t>支持认可</t>
        </is>
      </c>
      <c r="R585" t="inlineStr">
        <is>
          <t>仡佬族学术社团；普法学习</t>
        </is>
      </c>
      <c r="S585" t="n">
        <v>0</v>
      </c>
      <c r="T585" t="n">
        <v>0</v>
      </c>
      <c r="U585" t="n">
        <v>0</v>
      </c>
      <c r="V585" t="inlineStr">
        <is>
          <t>否</t>
        </is>
      </c>
      <c r="W585" t="inlineStr">
        <is>
          <t>是</t>
        </is>
      </c>
      <c r="X585"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586">
      <c r="A586" t="inlineStr">
        <is>
          <t>hist-4940dc58a1020b9f</t>
        </is>
      </c>
      <c r="B586" s="82" t="n">
        <v>46252.9403587963</v>
      </c>
      <c r="C586" s="82" t="n">
        <v>46217</v>
      </c>
      <c r="D586" t="inlineStr">
        <is>
          <t>贵州民族报</t>
        </is>
      </c>
      <c r="E586" t="inlineStr">
        <is>
          <t>其他</t>
        </is>
      </c>
      <c r="F586" t="inlineStr">
        <is>
          <t>定向检索（原始页已打开）</t>
        </is>
      </c>
      <c r="G586" t="inlineStr">
        <is>
          <t>贵州省水家学会会长韦祖宏</t>
        </is>
      </c>
      <c r="H586" t="inlineStr">
        <is>
          <t>“先后在三都、荔波等地开展宣讲……覆盖会员和群众300余人。”</t>
        </is>
      </c>
      <c r="I586" t="inlineStr">
        <is>
          <t>https://szb.gzmzb.cn/content/202607/14/content_66850.html</t>
        </is>
      </c>
      <c r="J586" t="inlineStr">
        <is>
          <t>贵州省/三都、荔波</t>
        </is>
      </c>
      <c r="L586" t="inlineStr">
        <is>
          <t>贵州</t>
        </is>
      </c>
      <c r="O586" t="inlineStr">
        <is>
          <t>中文</t>
        </is>
      </c>
      <c r="P586" t="inlineStr">
        <is>
          <t>否</t>
        </is>
      </c>
      <c r="Q586" t="inlineStr">
        <is>
          <t>支持认可</t>
        </is>
      </c>
      <c r="R586" t="inlineStr">
        <is>
          <t>水族地区宣讲；文化研究；地方实施</t>
        </is>
      </c>
      <c r="S586" t="n">
        <v>0</v>
      </c>
      <c r="T586" t="n">
        <v>0</v>
      </c>
      <c r="U586" t="n">
        <v>0</v>
      </c>
      <c r="V586" t="inlineStr">
        <is>
          <t>否</t>
        </is>
      </c>
      <c r="W586" t="inlineStr">
        <is>
          <t>是</t>
        </is>
      </c>
      <c r="X586" t="inlineStr">
        <is>
          <t>历史导入:民族团结进步促进法_多语言专项复核_最终修正版.xlsx；来源类型:个人原创观点（媒体采访）；复核:原始页面复核通过（HTTP 200，2026-08-07，北京时间）。页面虽报道贵州省水家学会，但正文未提供水语文本，也未说明使用水语；语言类别更正为中文。支持态度依据已刊中文引语确认。；重复:否；待核实:否</t>
        </is>
      </c>
    </row>
    <row r="587">
      <c r="A587" t="inlineStr">
        <is>
          <t>hist-dc67852f8567e595</t>
        </is>
      </c>
      <c r="B587" s="82" t="n">
        <v>46252.9403587963</v>
      </c>
      <c r="C587" s="82" t="n">
        <v>46217</v>
      </c>
      <c r="D587" t="inlineStr">
        <is>
          <t>贵州民族报</t>
        </is>
      </c>
      <c r="E587" t="inlineStr">
        <is>
          <t>其他</t>
        </is>
      </c>
      <c r="F587" t="inlineStr">
        <is>
          <t>定向检索（原始页已打开）</t>
        </is>
      </c>
      <c r="G587" t="inlineStr">
        <is>
          <t>贵州省回族学学会党支部书记杨先勤</t>
        </is>
      </c>
      <c r="H587" t="inlineStr">
        <is>
          <t>“让法律知识通俗易懂、落地可用……融入百姓生活。”</t>
        </is>
      </c>
      <c r="I587" t="inlineStr">
        <is>
          <t>https://szb.gzmzb.cn/content/202607/14/content_66850.html</t>
        </is>
      </c>
      <c r="J587" t="inlineStr">
        <is>
          <t>贵州省/黔西南、毕节</t>
        </is>
      </c>
      <c r="L587" t="inlineStr">
        <is>
          <t>贵州</t>
        </is>
      </c>
      <c r="O587" t="inlineStr">
        <is>
          <t>中文</t>
        </is>
      </c>
      <c r="P587" t="inlineStr">
        <is>
          <t>否</t>
        </is>
      </c>
      <c r="Q587" t="inlineStr">
        <is>
          <t>支持认可</t>
        </is>
      </c>
      <c r="R587" t="inlineStr">
        <is>
          <t>回族地区基层宣讲；政策可理解性</t>
        </is>
      </c>
      <c r="S587" t="n">
        <v>0</v>
      </c>
      <c r="T587" t="n">
        <v>0</v>
      </c>
      <c r="U587" t="n">
        <v>0</v>
      </c>
      <c r="V587" t="inlineStr">
        <is>
          <t>否</t>
        </is>
      </c>
      <c r="W587" t="inlineStr">
        <is>
          <t>是</t>
        </is>
      </c>
      <c r="X587"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588">
      <c r="A588" t="inlineStr">
        <is>
          <t>hist-116d035d6d79c3ed</t>
        </is>
      </c>
      <c r="B588" s="82" t="n">
        <v>46252.9403587963</v>
      </c>
      <c r="C588" s="82" t="n">
        <v>46227</v>
      </c>
      <c r="D588" t="inlineStr">
        <is>
          <t>腾讯新闻/金台资讯</t>
        </is>
      </c>
      <c r="E588" t="inlineStr">
        <is>
          <t>贴吧/头条/新闻评论</t>
        </is>
      </c>
      <c r="F588" t="inlineStr">
        <is>
          <t>定向检索（原始页已打开）</t>
        </is>
      </c>
      <c r="G588" t="inlineStr">
        <is>
          <t>人民网资讯精选官方账号</t>
        </is>
      </c>
      <c r="H588" t="inlineStr">
        <is>
          <t>“推动《中华人民共和国民族团结进步促进法》落地生根。”</t>
        </is>
      </c>
      <c r="I588" t="inlineStr">
        <is>
          <t>https://news.qq.com/rain/a/20260724A0BH9Y00</t>
        </is>
      </c>
      <c r="J588" t="inlineStr">
        <is>
          <t>贵州省/黔西南州</t>
        </is>
      </c>
      <c r="L588" t="inlineStr">
        <is>
          <t>贵州</t>
        </is>
      </c>
      <c r="O588" t="inlineStr">
        <is>
          <t>中文</t>
        </is>
      </c>
      <c r="P588" t="inlineStr">
        <is>
          <t>否</t>
        </is>
      </c>
      <c r="Q588" t="inlineStr">
        <is>
          <t>官方政策信息</t>
        </is>
      </c>
      <c r="R588" t="inlineStr">
        <is>
          <t>文艺普法；互嵌式社区；移风易俗</t>
        </is>
      </c>
      <c r="S588" t="n">
        <v>0</v>
      </c>
      <c r="T588" t="n">
        <v>0</v>
      </c>
      <c r="U588" t="n">
        <v>0</v>
      </c>
      <c r="V588" t="inlineStr">
        <is>
          <t>否</t>
        </is>
      </c>
      <c r="W588" t="inlineStr">
        <is>
          <t>是</t>
        </is>
      </c>
      <c r="X588" t="inlineStr">
        <is>
          <t>历史导入:民族团结进步促进法_多语言专项复核_最终修正版.xlsx；来源类型:媒体报道；复核:可用性复核通过：HTTP 200；页面标题相符；正文证据摘录命中；正文含法律名称；核验时间 2026-08-05 18:38:45（北京时间）。；重复:否；待核实:否</t>
        </is>
      </c>
    </row>
    <row r="589">
      <c r="A589" t="inlineStr">
        <is>
          <t>hist-d02cd5daf4f44d9e</t>
        </is>
      </c>
      <c r="B589" s="82" t="n">
        <v>46252.9403587963</v>
      </c>
      <c r="C589" s="82" t="n">
        <v>46227</v>
      </c>
      <c r="D589" t="inlineStr">
        <is>
          <t>腾讯新闻/金台资讯</t>
        </is>
      </c>
      <c r="E589" t="inlineStr">
        <is>
          <t>贴吧/头条/新闻评论</t>
        </is>
      </c>
      <c r="F589" t="inlineStr">
        <is>
          <t>定向检索（原始页已打开）</t>
        </is>
      </c>
      <c r="G589" t="inlineStr">
        <is>
          <t>受访群众李光芬</t>
        </is>
      </c>
      <c r="H589" t="inlineStr">
        <is>
          <t>“没想到小品里的‘高价彩礼’‘大操大办’就在我们身边，一看就明白了！”</t>
        </is>
      </c>
      <c r="I589" t="inlineStr">
        <is>
          <t>https://news.qq.com/rain/a/20260724A0BH9Y00</t>
        </is>
      </c>
      <c r="J589" t="inlineStr">
        <is>
          <t>贵州省/黔西南州/贞丰县</t>
        </is>
      </c>
      <c r="L589" t="inlineStr">
        <is>
          <t>贵州</t>
        </is>
      </c>
      <c r="O589" t="inlineStr">
        <is>
          <t>中文</t>
        </is>
      </c>
      <c r="P589" t="inlineStr">
        <is>
          <t>否</t>
        </is>
      </c>
      <c r="Q589" t="inlineStr">
        <is>
          <t>支持认可</t>
        </is>
      </c>
      <c r="R589" t="inlineStr">
        <is>
          <t>基层普法可理解性；高价彩礼；移风易俗</t>
        </is>
      </c>
      <c r="S589" t="n">
        <v>0</v>
      </c>
      <c r="T589" t="n">
        <v>0</v>
      </c>
      <c r="U589" t="n">
        <v>0</v>
      </c>
      <c r="V589" t="inlineStr">
        <is>
          <t>否</t>
        </is>
      </c>
      <c r="W589" t="inlineStr">
        <is>
          <t>是</t>
        </is>
      </c>
      <c r="X589"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590">
      <c r="A590" t="inlineStr">
        <is>
          <t>hist-5333861ab69e871f</t>
        </is>
      </c>
      <c r="B590" s="82" t="n">
        <v>46252.9403587963</v>
      </c>
      <c r="C590" s="82" t="n">
        <v>46224</v>
      </c>
      <c r="D590" t="inlineStr">
        <is>
          <t>黔东南州人大常委会</t>
        </is>
      </c>
      <c r="E590" t="inlineStr">
        <is>
          <t>其他</t>
        </is>
      </c>
      <c r="F590" t="inlineStr">
        <is>
          <t>定向检索（原始页已打开）</t>
        </is>
      </c>
      <c r="G590" t="inlineStr">
        <is>
          <t>人大要闻</t>
        </is>
      </c>
      <c r="H590" t="inlineStr">
        <is>
          <t>“讲授《中华人民共和国民族团结进步促进法》微党课。”</t>
        </is>
      </c>
      <c r="I590" t="inlineStr">
        <is>
          <t>https://www.qdnrd.gov.cn/rdyw/7177.jhtml</t>
        </is>
      </c>
      <c r="J590" t="inlineStr">
        <is>
          <t>贵州省/黔东南州</t>
        </is>
      </c>
      <c r="L590" t="inlineStr">
        <is>
          <t>贵州</t>
        </is>
      </c>
      <c r="O590" t="inlineStr">
        <is>
          <t>中文</t>
        </is>
      </c>
      <c r="P590" t="inlineStr">
        <is>
          <t>否</t>
        </is>
      </c>
      <c r="Q590" t="inlineStr">
        <is>
          <t>官方政策信息</t>
        </is>
      </c>
      <c r="R590" t="inlineStr">
        <is>
          <t>机关学习；微党课；自治州落实</t>
        </is>
      </c>
      <c r="S590" t="n">
        <v>0</v>
      </c>
      <c r="T590" t="n">
        <v>0</v>
      </c>
      <c r="U590" t="n">
        <v>0</v>
      </c>
      <c r="V590" t="inlineStr">
        <is>
          <t>否</t>
        </is>
      </c>
      <c r="W590" t="inlineStr">
        <is>
          <t>是</t>
        </is>
      </c>
      <c r="X590" t="inlineStr">
        <is>
          <t>历史导入:民族团结进步促进法_多语言专项复核_最终修正版.xlsx；来源类型:官方实施信息；复核:可用性复核通过：HTTP 200；正文证据摘录命中；正文含法律名称；核验时间 2026-08-05 18:38:45（北京时间）。；重复:否；待核实:否</t>
        </is>
      </c>
    </row>
    <row r="591">
      <c r="A591" t="inlineStr">
        <is>
          <t>hist-fb62472076eba5b4</t>
        </is>
      </c>
      <c r="B591" s="82" t="n">
        <v>46252.9403587963</v>
      </c>
      <c r="C591" s="82" t="n">
        <v>46228</v>
      </c>
      <c r="D591" t="inlineStr">
        <is>
          <t>国家民族事务委员会</t>
        </is>
      </c>
      <c r="E591" t="inlineStr">
        <is>
          <t>其他</t>
        </is>
      </c>
      <c r="F591" t="inlineStr">
        <is>
          <t>定向检索（原始页已打开）</t>
        </is>
      </c>
      <c r="G591" t="inlineStr">
        <is>
          <t>民委要闻</t>
        </is>
      </c>
      <c r="H591" t="inlineStr">
        <is>
          <t>“黔东南州要……深入贯彻实施民族团结进步促进法。”</t>
        </is>
      </c>
      <c r="I591" t="inlineStr">
        <is>
          <t>https://www.neac.gov.cn/seac/xwzx/202607/1193024.shtml</t>
        </is>
      </c>
      <c r="J591" t="inlineStr">
        <is>
          <t>贵州省/黔东南州</t>
        </is>
      </c>
      <c r="L591" t="inlineStr">
        <is>
          <t>贵州</t>
        </is>
      </c>
      <c r="O591" t="inlineStr">
        <is>
          <t>中文</t>
        </is>
      </c>
      <c r="P591" t="inlineStr">
        <is>
          <t>否</t>
        </is>
      </c>
      <c r="Q591" t="inlineStr">
        <is>
          <t>官方政策信息</t>
        </is>
      </c>
      <c r="R591" t="inlineStr">
        <is>
          <t>自治州贯彻；共同繁荣；文旅融合</t>
        </is>
      </c>
      <c r="S591" t="n">
        <v>0</v>
      </c>
      <c r="T591" t="n">
        <v>0</v>
      </c>
      <c r="U591" t="n">
        <v>0</v>
      </c>
      <c r="V591" t="inlineStr">
        <is>
          <t>否</t>
        </is>
      </c>
      <c r="W591" t="inlineStr">
        <is>
          <t>是</t>
        </is>
      </c>
      <c r="X591"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92">
      <c r="A592" t="inlineStr">
        <is>
          <t>hist-f0abdbd4e903bc5a</t>
        </is>
      </c>
      <c r="B592" s="82" t="n">
        <v>46252.9403587963</v>
      </c>
      <c r="C592" s="82" t="n">
        <v>46232</v>
      </c>
      <c r="D592" t="inlineStr">
        <is>
          <t>搜狐号</t>
        </is>
      </c>
      <c r="E592" t="inlineStr">
        <is>
          <t>其他</t>
        </is>
      </c>
      <c r="F592" t="inlineStr">
        <is>
          <t>定向检索（转载页已打开）</t>
        </is>
      </c>
      <c r="G592" t="inlineStr">
        <is>
          <t>云贵高原生活指南（来源标注：长顺县民宗局）</t>
        </is>
      </c>
      <c r="H592" t="inlineStr">
        <is>
          <t>“采用汉语+苗语双语宣讲模式，面向社区100余名各族群众。”</t>
        </is>
      </c>
      <c r="I592" t="inlineStr">
        <is>
          <t>https://www.sohu.com/a/1056317221_121106902</t>
        </is>
      </c>
      <c r="J592" t="inlineStr">
        <is>
          <t>贵州省/黔南州/长顺县</t>
        </is>
      </c>
      <c r="L592" t="inlineStr">
        <is>
          <t>贵州</t>
        </is>
      </c>
      <c r="O592" t="inlineStr">
        <is>
          <t>中文</t>
        </is>
      </c>
      <c r="P592" t="inlineStr">
        <is>
          <t>否</t>
        </is>
      </c>
      <c r="Q592" t="inlineStr">
        <is>
          <t>官方政策信息</t>
        </is>
      </c>
      <c r="R592" t="inlineStr">
        <is>
          <t>苗语双语宣讲；互嵌式社区；群众参与</t>
        </is>
      </c>
      <c r="S592" t="n">
        <v>0</v>
      </c>
      <c r="T592" t="n">
        <v>0</v>
      </c>
      <c r="U592" t="n">
        <v>0</v>
      </c>
      <c r="V592" t="inlineStr">
        <is>
          <t>否</t>
        </is>
      </c>
      <c r="W592" t="inlineStr">
        <is>
          <t>是</t>
        </is>
      </c>
      <c r="X592" t="inlineStr">
        <is>
          <t>历史导入:民族团结进步促进法_多语言专项复核_最终修正版.xlsx；来源类型:媒体报道；复核:页面事实已复核：原页为中文报道，明确说明现场采用“汉语+苗语”双语宣讲。页面未公开苗语逐字原文，因此不存在可供进一步翻译或逐字语言核验的公开原始语料。该记录作为官方实施信息保留，不统计为苗语公众意见。；重复:否；待核实:否</t>
        </is>
      </c>
    </row>
    <row r="593">
      <c r="A593" t="inlineStr">
        <is>
          <t>hist-114b6aea9e3bbbdb</t>
        </is>
      </c>
      <c r="B593" s="82" t="n">
        <v>46252.9403587963</v>
      </c>
      <c r="C593" s="82" t="n">
        <v>46205</v>
      </c>
      <c r="D593" t="inlineStr">
        <is>
          <t>搜狐号</t>
        </is>
      </c>
      <c r="E593" t="inlineStr">
        <is>
          <t>其他</t>
        </is>
      </c>
      <c r="F593" t="inlineStr">
        <is>
          <t>定向检索（转载页已打开）</t>
        </is>
      </c>
      <c r="G593" t="inlineStr">
        <is>
          <t>云贵高原生活指南</t>
        </is>
      </c>
      <c r="H593" t="inlineStr">
        <is>
          <t>“于2026年7月1日正式施行……带大家读懂法律核心内容。”</t>
        </is>
      </c>
      <c r="I593" t="inlineStr">
        <is>
          <t>https://www.sohu.com/a/1044838928_121106902</t>
        </is>
      </c>
      <c r="J593" t="inlineStr">
        <is>
          <t>贵州省/黔西南州</t>
        </is>
      </c>
      <c r="L593" t="inlineStr">
        <is>
          <t>贵州</t>
        </is>
      </c>
      <c r="O593" t="inlineStr">
        <is>
          <t>中文</t>
        </is>
      </c>
      <c r="P593" t="inlineStr">
        <is>
          <t>否</t>
        </is>
      </c>
      <c r="Q593" t="inlineStr">
        <is>
          <t>中性信息</t>
        </is>
      </c>
      <c r="R593" t="inlineStr">
        <is>
          <t>图解政策；法律责任</t>
        </is>
      </c>
      <c r="S593" t="n">
        <v>0</v>
      </c>
      <c r="T593" t="n">
        <v>0</v>
      </c>
      <c r="U593" t="n">
        <v>0</v>
      </c>
      <c r="V593" t="inlineStr">
        <is>
          <t>否</t>
        </is>
      </c>
      <c r="W593" t="inlineStr">
        <is>
          <t>是</t>
        </is>
      </c>
      <c r="X593" t="inlineStr">
        <is>
          <t>历史导入:民族团结进步促进法_多语言专项复核_最终修正版.xlsx；来源类型:媒体报道；复核:可用性复核通过：HTTP 200；正文证据摘录命中；正文含法律名称；核验时间 2026-08-05 18:38:45（北京时间）。；重复:否；待核实:否</t>
        </is>
      </c>
    </row>
    <row r="594">
      <c r="A594" t="inlineStr">
        <is>
          <t>hist-cfef8757f6d04a8f</t>
        </is>
      </c>
      <c r="B594" s="82" t="n">
        <v>46252.9403587963</v>
      </c>
      <c r="C594" s="82" t="n">
        <v>46206</v>
      </c>
      <c r="D594" t="inlineStr">
        <is>
          <t>重庆市民族宗教事务委员会</t>
        </is>
      </c>
      <c r="E594" t="inlineStr">
        <is>
          <t>其他</t>
        </is>
      </c>
      <c r="F594" t="inlineStr">
        <is>
          <t>定向检索（原始页已打开）</t>
        </is>
      </c>
      <c r="G594" t="inlineStr">
        <is>
          <t>地方动态/巫溪县</t>
        </is>
      </c>
      <c r="H594" t="inlineStr">
        <is>
          <t>“累计赠送法律书籍、宣传资料200余册。”</t>
        </is>
      </c>
      <c r="I594" t="inlineStr">
        <is>
          <t>https://mzzjw.cq.gov.cn/sy_188/qxdt/202607/t20260703_15797460.html</t>
        </is>
      </c>
      <c r="J594" t="inlineStr">
        <is>
          <t>重庆市/巫溪县</t>
        </is>
      </c>
      <c r="L594" t="inlineStr">
        <is>
          <t>重庆</t>
        </is>
      </c>
      <c r="O594" t="inlineStr">
        <is>
          <t>中文</t>
        </is>
      </c>
      <c r="P594" t="inlineStr">
        <is>
          <t>否</t>
        </is>
      </c>
      <c r="Q594" t="inlineStr">
        <is>
          <t>官方政策信息</t>
        </is>
      </c>
      <c r="R594" t="inlineStr">
        <is>
          <t>基层普法；赠书送学；政务新媒体</t>
        </is>
      </c>
      <c r="S594" t="n">
        <v>0</v>
      </c>
      <c r="T594" t="n">
        <v>0</v>
      </c>
      <c r="U594" t="n">
        <v>0</v>
      </c>
      <c r="V594" t="inlineStr">
        <is>
          <t>否</t>
        </is>
      </c>
      <c r="W594" t="inlineStr">
        <is>
          <t>是</t>
        </is>
      </c>
      <c r="X594" t="inlineStr">
        <is>
          <t>历史导入:民族团结进步促进法_多语言专项复核_最终修正版.xlsx；来源类型:官方实施信息；复核:可用性复核通过：HTTP 200；正文证据摘录命中；正文含法律名称；核验时间 2026-08-05 18:38:45（北京时间）。；重复:否；待核实:否</t>
        </is>
      </c>
    </row>
    <row r="595">
      <c r="A595" t="inlineStr">
        <is>
          <t>hist-16e4c77ac9f20eac</t>
        </is>
      </c>
      <c r="B595" s="82" t="n">
        <v>46252.9403587963</v>
      </c>
      <c r="C595" s="82" t="n">
        <v>46205</v>
      </c>
      <c r="D595" t="inlineStr">
        <is>
          <t>重庆市民族宗教事务委员会</t>
        </is>
      </c>
      <c r="E595" t="inlineStr">
        <is>
          <t>其他</t>
        </is>
      </c>
      <c r="F595" t="inlineStr">
        <is>
          <t>定向检索（原始页已打开）</t>
        </is>
      </c>
      <c r="G595" t="inlineStr">
        <is>
          <t>地方动态/忠县、秀山自治县</t>
        </is>
      </c>
      <c r="H595" t="inlineStr">
        <is>
          <t>“秀山县围绕新施行的《中华人民共和国民族团结进步促进法》逐条研学。”</t>
        </is>
      </c>
      <c r="I595" t="inlineStr">
        <is>
          <t>https://mzzjw.cq.gov.cn/sy_188/qxdt/202607/t20260702_15793268.html</t>
        </is>
      </c>
      <c r="J595" t="inlineStr">
        <is>
          <t>重庆市/秀山自治县</t>
        </is>
      </c>
      <c r="L595" t="inlineStr">
        <is>
          <t>重庆</t>
        </is>
      </c>
      <c r="O595" t="inlineStr">
        <is>
          <t>中文</t>
        </is>
      </c>
      <c r="P595" t="inlineStr">
        <is>
          <t>否</t>
        </is>
      </c>
      <c r="Q595" t="inlineStr">
        <is>
          <t>官方政策信息</t>
        </is>
      </c>
      <c r="R595" t="inlineStr">
        <is>
          <t>干部学习；逐条研学；基层履职</t>
        </is>
      </c>
      <c r="S595" t="n">
        <v>0</v>
      </c>
      <c r="T595" t="n">
        <v>0</v>
      </c>
      <c r="U595" t="n">
        <v>0</v>
      </c>
      <c r="V595" t="inlineStr">
        <is>
          <t>否</t>
        </is>
      </c>
      <c r="W595" t="inlineStr">
        <is>
          <t>是</t>
        </is>
      </c>
      <c r="X595"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96">
      <c r="A596" t="inlineStr">
        <is>
          <t>hist-ae38abb5f4ca45ef</t>
        </is>
      </c>
      <c r="B596" s="82" t="n">
        <v>46252.9403587963</v>
      </c>
      <c r="C596" s="82" t="n">
        <v>46231</v>
      </c>
      <c r="D596" t="inlineStr">
        <is>
          <t>重庆市民族宗教事务委员会</t>
        </is>
      </c>
      <c r="E596" t="inlineStr">
        <is>
          <t>其他</t>
        </is>
      </c>
      <c r="F596" t="inlineStr">
        <is>
          <t>定向检索（原始页已打开）</t>
        </is>
      </c>
      <c r="G596" t="inlineStr">
        <is>
          <t>部门动态</t>
        </is>
      </c>
      <c r="H596" t="inlineStr">
        <is>
          <t>“注重求真务实，力戒形式主义、官僚主义。”</t>
        </is>
      </c>
      <c r="I596" t="inlineStr">
        <is>
          <t>https://mzzjw.cq.gov.cn/sy_188/bmdt/202607/t20260724_15851791.html</t>
        </is>
      </c>
      <c r="J596" t="inlineStr">
        <is>
          <t>重庆市</t>
        </is>
      </c>
      <c r="L596" t="inlineStr">
        <is>
          <t>重庆</t>
        </is>
      </c>
      <c r="O596" t="inlineStr">
        <is>
          <t>中文</t>
        </is>
      </c>
      <c r="P596" t="inlineStr">
        <is>
          <t>否</t>
        </is>
      </c>
      <c r="Q596" t="inlineStr">
        <is>
          <t>官方政策信息</t>
        </is>
      </c>
      <c r="R596" t="inlineStr">
        <is>
          <t>市级宣讲；六进普法；防止形式主义</t>
        </is>
      </c>
      <c r="S596" t="n">
        <v>0</v>
      </c>
      <c r="T596" t="n">
        <v>0</v>
      </c>
      <c r="U596" t="n">
        <v>0</v>
      </c>
      <c r="V596" t="inlineStr">
        <is>
          <t>否</t>
        </is>
      </c>
      <c r="W596" t="inlineStr">
        <is>
          <t>是</t>
        </is>
      </c>
      <c r="X596" t="inlineStr">
        <is>
          <t>历史导入:民族团结进步促进法_多语言专项复核_最终修正版.xlsx；来源类型:官方实施信息；复核:可用性复核通过：HTTP 200；正文证据摘录命中；正文含法律名称；核验时间 2026-08-05 18:38:45（北京时间）。；重复:否；待核实:否</t>
        </is>
      </c>
    </row>
    <row r="597">
      <c r="A597" t="inlineStr">
        <is>
          <t>hist-26bcb585f20893ea</t>
        </is>
      </c>
      <c r="B597" s="82" t="n">
        <v>46252.9403587963</v>
      </c>
      <c r="C597" s="82" t="n">
        <v>46234</v>
      </c>
      <c r="D597" t="inlineStr">
        <is>
          <t>重庆市民族宗教事务委员会</t>
        </is>
      </c>
      <c r="E597" t="inlineStr">
        <is>
          <t>其他</t>
        </is>
      </c>
      <c r="F597" t="inlineStr">
        <is>
          <t>定向检索（原始页已打开）</t>
        </is>
      </c>
      <c r="G597" t="inlineStr">
        <is>
          <t>地方动态/秀山自治县</t>
        </is>
      </c>
      <c r="H597" t="inlineStr">
        <is>
          <t>“推动法律宣传进机关、进乡镇、进社区、进校园、进企业、进宗教活动场所。”</t>
        </is>
      </c>
      <c r="I597" t="inlineStr">
        <is>
          <t>https://mzzjw.cq.gov.cn/sy_188/qxdt/202607/t20260731_15876659.html</t>
        </is>
      </c>
      <c r="J597" t="inlineStr">
        <is>
          <t>重庆市/秀山土家族苗族自治县</t>
        </is>
      </c>
      <c r="L597" t="inlineStr">
        <is>
          <t>重庆</t>
        </is>
      </c>
      <c r="O597" t="inlineStr">
        <is>
          <t>中文</t>
        </is>
      </c>
      <c r="P597" t="inlineStr">
        <is>
          <t>否</t>
        </is>
      </c>
      <c r="Q597" t="inlineStr">
        <is>
          <t>官方政策信息</t>
        </is>
      </c>
      <c r="R597" t="inlineStr">
        <is>
          <t>自治县落实；全域宣讲；法治化治理</t>
        </is>
      </c>
      <c r="S597" t="n">
        <v>0</v>
      </c>
      <c r="T597" t="n">
        <v>0</v>
      </c>
      <c r="U597" t="n">
        <v>0</v>
      </c>
      <c r="V597" t="inlineStr">
        <is>
          <t>否</t>
        </is>
      </c>
      <c r="W597" t="inlineStr">
        <is>
          <t>是</t>
        </is>
      </c>
      <c r="X597"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98">
      <c r="A598" t="inlineStr">
        <is>
          <t>hist-1a6a1fb3d849edd9</t>
        </is>
      </c>
      <c r="B598" s="82" t="n">
        <v>46252.9403587963</v>
      </c>
      <c r="C598" s="82" t="n">
        <v>46234</v>
      </c>
      <c r="D598" t="inlineStr">
        <is>
          <t>重庆市民族宗教事务委员会</t>
        </is>
      </c>
      <c r="E598" t="inlineStr">
        <is>
          <t>其他</t>
        </is>
      </c>
      <c r="F598" t="inlineStr">
        <is>
          <t>定向检索（原始页已打开）</t>
        </is>
      </c>
      <c r="G598" t="inlineStr">
        <is>
          <t>地方动态/巴南区</t>
        </is>
      </c>
      <c r="H598" t="inlineStr">
        <is>
          <t>“精准做好……就业、就医、子女入学等服务保障。”</t>
        </is>
      </c>
      <c r="I598" t="inlineStr">
        <is>
          <t>https://mzzjw.cq.gov.cn/sy_188/qxdt/202607/t20260731_15878575.html</t>
        </is>
      </c>
      <c r="J598" t="inlineStr">
        <is>
          <t>重庆市/巴南区</t>
        </is>
      </c>
      <c r="L598" t="inlineStr">
        <is>
          <t>重庆</t>
        </is>
      </c>
      <c r="O598" t="inlineStr">
        <is>
          <t>中文</t>
        </is>
      </c>
      <c r="P598" t="inlineStr">
        <is>
          <t>否</t>
        </is>
      </c>
      <c r="Q598" t="inlineStr">
        <is>
          <t>官方政策信息</t>
        </is>
      </c>
      <c r="R598" t="inlineStr">
        <is>
          <t>就业；就医；子女入学；城市民族工作</t>
        </is>
      </c>
      <c r="S598" t="n">
        <v>0</v>
      </c>
      <c r="T598" t="n">
        <v>0</v>
      </c>
      <c r="U598" t="n">
        <v>0</v>
      </c>
      <c r="V598" t="inlineStr">
        <is>
          <t>否</t>
        </is>
      </c>
      <c r="W598" t="inlineStr">
        <is>
          <t>是</t>
        </is>
      </c>
      <c r="X598"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99">
      <c r="A599" t="inlineStr">
        <is>
          <t>hist-942202f1feecafce</t>
        </is>
      </c>
      <c r="B599" s="82" t="n">
        <v>46252.9403587963</v>
      </c>
      <c r="C599" s="82" t="n">
        <v>46204</v>
      </c>
      <c r="D599" t="inlineStr">
        <is>
          <t>新湖南客户端</t>
        </is>
      </c>
      <c r="E599" t="inlineStr">
        <is>
          <t>其他</t>
        </is>
      </c>
      <c r="F599" t="inlineStr">
        <is>
          <t>定向检索（原始页已打开）</t>
        </is>
      </c>
      <c r="G599" t="inlineStr">
        <is>
          <t>媒体解读</t>
        </is>
      </c>
      <c r="H599" t="inlineStr">
        <is>
          <t>“这部法律今天（7月1日）起正式施行。”</t>
        </is>
      </c>
      <c r="I599" t="inlineStr">
        <is>
          <t>https://www.hunantoday.cn/news/xhn/202607/33044675.html</t>
        </is>
      </c>
      <c r="J599" t="inlineStr">
        <is>
          <t>湖南省</t>
        </is>
      </c>
      <c r="L599" t="inlineStr">
        <is>
          <t>湖南</t>
        </is>
      </c>
      <c r="O599" t="inlineStr">
        <is>
          <t>中文</t>
        </is>
      </c>
      <c r="P599" t="inlineStr">
        <is>
          <t>否</t>
        </is>
      </c>
      <c r="Q599" t="inlineStr">
        <is>
          <t>中性信息</t>
        </is>
      </c>
      <c r="R599" t="inlineStr">
        <is>
          <t>法律施行；媒体解读</t>
        </is>
      </c>
      <c r="S599" t="n">
        <v>0</v>
      </c>
      <c r="T599" t="n">
        <v>0</v>
      </c>
      <c r="U599" t="n">
        <v>0</v>
      </c>
      <c r="V599" t="inlineStr">
        <is>
          <t>否</t>
        </is>
      </c>
      <c r="W599" t="inlineStr">
        <is>
          <t>是</t>
        </is>
      </c>
      <c r="X599" t="inlineStr">
        <is>
          <t>历史导入:民族团结进步促进法_多语言专项复核_最终修正版.xlsx；来源类型:媒体报道；复核:可用性复核通过：HTTP 200；页面标题相符；正文证据摘录命中；正文含法律名称；核验时间 2026-08-05 18:38:45（北京时间）。；重复:是；待核实:否</t>
        </is>
      </c>
    </row>
    <row r="600">
      <c r="A600" t="inlineStr">
        <is>
          <t>hist-5276e0dc9a47ac97</t>
        </is>
      </c>
      <c r="B600" s="82" t="n">
        <v>46252.9403587963</v>
      </c>
      <c r="C600" s="82" t="n">
        <v>46204</v>
      </c>
      <c r="D600" t="inlineStr">
        <is>
          <t>腾讯新闻/红网</t>
        </is>
      </c>
      <c r="E600" t="inlineStr">
        <is>
          <t>贴吧/头条/新闻评论</t>
        </is>
      </c>
      <c r="F600" t="inlineStr">
        <is>
          <t>定向检索（原始页已打开）</t>
        </is>
      </c>
      <c r="G600" t="inlineStr">
        <is>
          <t>湖南红网官方账号</t>
        </is>
      </c>
      <c r="H600" t="inlineStr">
        <is>
          <t>“大家纷纷表示，将以法律实施为契机……”</t>
        </is>
      </c>
      <c r="I600" t="inlineStr">
        <is>
          <t>https://news.qq.com/rain/a/20260701A06ZCY00</t>
        </is>
      </c>
      <c r="J600" t="inlineStr">
        <is>
          <t>湖南省/邵阳市</t>
        </is>
      </c>
      <c r="L600" t="inlineStr">
        <is>
          <t>湖南</t>
        </is>
      </c>
      <c r="O600" t="inlineStr">
        <is>
          <t>中文</t>
        </is>
      </c>
      <c r="P600" t="inlineStr">
        <is>
          <t>否</t>
        </is>
      </c>
      <c r="Q600" t="inlineStr">
        <is>
          <t>中性信息</t>
        </is>
      </c>
      <c r="R600" t="inlineStr">
        <is>
          <t>地方反响；规划编制；共同繁荣</t>
        </is>
      </c>
      <c r="S600" t="n">
        <v>0</v>
      </c>
      <c r="T600" t="n">
        <v>0</v>
      </c>
      <c r="U600" t="n">
        <v>0</v>
      </c>
      <c r="V600" t="inlineStr">
        <is>
          <t>否</t>
        </is>
      </c>
      <c r="W600" t="inlineStr">
        <is>
          <t>是</t>
        </is>
      </c>
      <c r="X600" t="inlineStr">
        <is>
          <t>历史导入:民族团结进步促进法_多语言专项复核_最终修正版.xlsx；来源类型:媒体报道；复核:可用性复核通过：HTTP 200；页面标题相符；正文证据摘录命中；正文含法律名称；核验时间 2026-08-05 18:38:45（北京时间）。；重复:否；待核实:否</t>
        </is>
      </c>
    </row>
    <row r="601">
      <c r="A601" t="inlineStr">
        <is>
          <t>hist-8a73d62cbff83adb</t>
        </is>
      </c>
      <c r="B601" s="82" t="n">
        <v>46252.9403587963</v>
      </c>
      <c r="C601" s="82" t="n">
        <v>46204</v>
      </c>
      <c r="D601" t="inlineStr">
        <is>
          <t>腾讯新闻/红网</t>
        </is>
      </c>
      <c r="E601" t="inlineStr">
        <is>
          <t>贴吧/头条/新闻评论</t>
        </is>
      </c>
      <c r="F601" t="inlineStr">
        <is>
          <t>定向检索（原始页已打开）</t>
        </is>
      </c>
      <c r="G601" t="inlineStr">
        <is>
          <t>东江村党总支书记、村委会主任杨卫东</t>
        </is>
      </c>
      <c r="H601" t="inlineStr">
        <is>
          <t>“接下来，我们要以法律实施为契机……带领各族群众共同致富。”</t>
        </is>
      </c>
      <c r="I601" t="inlineStr">
        <is>
          <t>https://news.qq.com/rain/a/20260701A06ZCY00</t>
        </is>
      </c>
      <c r="J601" t="inlineStr">
        <is>
          <t>湖南省/邵阳市</t>
        </is>
      </c>
      <c r="L601" t="inlineStr">
        <is>
          <t>湖南</t>
        </is>
      </c>
      <c r="O601" t="inlineStr">
        <is>
          <t>中文</t>
        </is>
      </c>
      <c r="P601" t="inlineStr">
        <is>
          <t>否</t>
        </is>
      </c>
      <c r="Q601" t="inlineStr">
        <is>
          <t>支持认可</t>
        </is>
      </c>
      <c r="R601" t="inlineStr">
        <is>
          <t>共同繁荣；产业发展</t>
        </is>
      </c>
      <c r="S601" t="n">
        <v>0</v>
      </c>
      <c r="T601" t="n">
        <v>0</v>
      </c>
      <c r="U601" t="n">
        <v>0</v>
      </c>
      <c r="V601" t="inlineStr">
        <is>
          <t>否</t>
        </is>
      </c>
      <c r="W601" t="inlineStr">
        <is>
          <t>是</t>
        </is>
      </c>
      <c r="X601"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602">
      <c r="A602" t="inlineStr">
        <is>
          <t>hist-734918857f68d6d4</t>
        </is>
      </c>
      <c r="B602" s="82" t="n">
        <v>46252.9403587963</v>
      </c>
      <c r="C602" s="82" t="n">
        <v>46221</v>
      </c>
      <c r="D602" t="inlineStr">
        <is>
          <t>新湖南客户端</t>
        </is>
      </c>
      <c r="E602" t="inlineStr">
        <is>
          <t>其他</t>
        </is>
      </c>
      <c r="F602" t="inlineStr">
        <is>
          <t>定向检索（原始页已打开）</t>
        </is>
      </c>
      <c r="G602" t="inlineStr">
        <is>
          <t>部门要情</t>
        </is>
      </c>
      <c r="H602" t="inlineStr">
        <is>
          <t>“推动法律规定以及保障措施、法律责任在湘西州落地落实。”</t>
        </is>
      </c>
      <c r="I602" t="inlineStr">
        <is>
          <t>https://www.hunantoday.cn/news/xhn/202607/33183770.html</t>
        </is>
      </c>
      <c r="J602" t="inlineStr">
        <is>
          <t>湖南省/湘西州</t>
        </is>
      </c>
      <c r="L602" t="inlineStr">
        <is>
          <t>湖南</t>
        </is>
      </c>
      <c r="O602" t="inlineStr">
        <is>
          <t>中文</t>
        </is>
      </c>
      <c r="P602" t="inlineStr">
        <is>
          <t>否</t>
        </is>
      </c>
      <c r="Q602" t="inlineStr">
        <is>
          <t>官方政策信息</t>
        </is>
      </c>
      <c r="R602" t="inlineStr">
        <is>
          <t>自治州宣讲；保障监督；法律责任</t>
        </is>
      </c>
      <c r="S602" t="n">
        <v>0</v>
      </c>
      <c r="T602" t="n">
        <v>0</v>
      </c>
      <c r="U602" t="n">
        <v>0</v>
      </c>
      <c r="V602" t="inlineStr">
        <is>
          <t>否</t>
        </is>
      </c>
      <c r="W602" t="inlineStr">
        <is>
          <t>是</t>
        </is>
      </c>
      <c r="X602"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603">
      <c r="A603" t="inlineStr">
        <is>
          <t>hist-9a9911fe085df14b</t>
        </is>
      </c>
      <c r="B603" s="82" t="n">
        <v>46252.9403587963</v>
      </c>
      <c r="C603" s="82" t="n">
        <v>46206</v>
      </c>
      <c r="D603" t="inlineStr">
        <is>
          <t>红网</t>
        </is>
      </c>
      <c r="E603" t="inlineStr">
        <is>
          <t>其他</t>
        </is>
      </c>
      <c r="F603" t="inlineStr">
        <is>
          <t>定向检索（原始页已打开）</t>
        </is>
      </c>
      <c r="G603" t="inlineStr">
        <is>
          <t>湖南频道/泸溪县</t>
        </is>
      </c>
      <c r="H603" t="inlineStr">
        <is>
          <t>“活动室的大屏幕正在播放《中华人民共和国民族团结进步促进法》宣传视频。”</t>
        </is>
      </c>
      <c r="I603" t="inlineStr">
        <is>
          <t>https://hn.rednet.cn/content/646041/95/16055856.html</t>
        </is>
      </c>
      <c r="J603" t="inlineStr">
        <is>
          <t>湖南省/湘西州/泸溪县</t>
        </is>
      </c>
      <c r="L603" t="inlineStr">
        <is>
          <t>湖南</t>
        </is>
      </c>
      <c r="O603" t="inlineStr">
        <is>
          <t>中文</t>
        </is>
      </c>
      <c r="P603" t="inlineStr">
        <is>
          <t>否</t>
        </is>
      </c>
      <c r="Q603" t="inlineStr">
        <is>
          <t>中性信息</t>
        </is>
      </c>
      <c r="R603" t="inlineStr">
        <is>
          <t>村级宣传视频；党群服务中心；基层治理</t>
        </is>
      </c>
      <c r="S603" t="n">
        <v>0</v>
      </c>
      <c r="T603" t="n">
        <v>0</v>
      </c>
      <c r="U603" t="n">
        <v>0</v>
      </c>
      <c r="V603" t="inlineStr">
        <is>
          <t>否</t>
        </is>
      </c>
      <c r="W603" t="inlineStr">
        <is>
          <t>是</t>
        </is>
      </c>
      <c r="X603" t="inlineStr">
        <is>
          <t>历史导入:民族团结进步促进法_多语言专项复核_最终修正版.xlsx；来源类型:媒体报道；复核:可用性复核通过：HTTP 200；页面标题相符；正文证据摘录命中；正文含法律名称；核验时间 2026-08-05 18:38:45（北京时间）。；重复:否；待核实:否</t>
        </is>
      </c>
    </row>
    <row r="604">
      <c r="A604" t="inlineStr">
        <is>
          <t>hist-b504339ef8da5f9d</t>
        </is>
      </c>
      <c r="B604" s="82" t="n">
        <v>46252.9403587963</v>
      </c>
      <c r="C604" s="82" t="n">
        <v>46204</v>
      </c>
      <c r="D604" t="inlineStr">
        <is>
          <t>湖北省民族宗教事务委员会</t>
        </is>
      </c>
      <c r="E604" t="inlineStr">
        <is>
          <t>其他</t>
        </is>
      </c>
      <c r="F604" t="inlineStr">
        <is>
          <t>定向检索（原始页已打开）</t>
        </is>
      </c>
      <c r="G604" t="inlineStr">
        <is>
          <t>综合要闻</t>
        </is>
      </c>
      <c r="H604" t="inlineStr">
        <is>
          <t>“省民宗委出台16条贯彻落实具体举措。”</t>
        </is>
      </c>
      <c r="I604" t="inlineStr">
        <is>
          <t>https://mzw.hubei.gov.cn/bmdt/mzyw/zhyw/202607/t20260701_5968454.shtml</t>
        </is>
      </c>
      <c r="J604" t="inlineStr">
        <is>
          <t>湖北省</t>
        </is>
      </c>
      <c r="L604" t="inlineStr">
        <is>
          <t>湖北</t>
        </is>
      </c>
      <c r="O604" t="inlineStr">
        <is>
          <t>中文</t>
        </is>
      </c>
      <c r="P604" t="inlineStr">
        <is>
          <t>否</t>
        </is>
      </c>
      <c r="Q604" t="inlineStr">
        <is>
          <t>官方政策信息</t>
        </is>
      </c>
      <c r="R604" t="inlineStr">
        <is>
          <t>16条措施；地方立法；社区普法；群众关切</t>
        </is>
      </c>
      <c r="S604" t="n">
        <v>0</v>
      </c>
      <c r="T604" t="n">
        <v>0</v>
      </c>
      <c r="U604" t="n">
        <v>0</v>
      </c>
      <c r="V604" t="inlineStr">
        <is>
          <t>否</t>
        </is>
      </c>
      <c r="W604" t="inlineStr">
        <is>
          <t>是</t>
        </is>
      </c>
      <c r="X604"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605">
      <c r="A605" t="inlineStr">
        <is>
          <t>hist-47e527a1ad9976ac</t>
        </is>
      </c>
      <c r="B605" s="82" t="n">
        <v>46252.9403587963</v>
      </c>
      <c r="C605" s="82" t="n">
        <v>46233</v>
      </c>
      <c r="D605" t="inlineStr">
        <is>
          <t>湖北省民族宗教事务委员会</t>
        </is>
      </c>
      <c r="E605" t="inlineStr">
        <is>
          <t>其他</t>
        </is>
      </c>
      <c r="F605" t="inlineStr">
        <is>
          <t>定向检索（原始页已打开）</t>
        </is>
      </c>
      <c r="G605" t="inlineStr">
        <is>
          <t>综合要闻</t>
        </is>
      </c>
      <c r="H605" t="inlineStr">
        <is>
          <t>“全省线上线下共计2000余人参加听讲。”</t>
        </is>
      </c>
      <c r="I605" t="inlineStr">
        <is>
          <t>https://mzw.hubei.gov.cn/bmdt/mzyw/zhyw/202607/t20260730_5986003.shtml</t>
        </is>
      </c>
      <c r="J605" t="inlineStr">
        <is>
          <t>湖北省</t>
        </is>
      </c>
      <c r="L605" t="inlineStr">
        <is>
          <t>湖北</t>
        </is>
      </c>
      <c r="O605" t="inlineStr">
        <is>
          <t>中文</t>
        </is>
      </c>
      <c r="P605" t="inlineStr">
        <is>
          <t>否</t>
        </is>
      </c>
      <c r="Q605" t="inlineStr">
        <is>
          <t>官方政策信息</t>
        </is>
      </c>
      <c r="R605" t="inlineStr">
        <is>
          <t>省级宣讲；视频会议；部门协同</t>
        </is>
      </c>
      <c r="S605" t="n">
        <v>0</v>
      </c>
      <c r="T605" t="n">
        <v>0</v>
      </c>
      <c r="U605" t="n">
        <v>0</v>
      </c>
      <c r="V605" t="inlineStr">
        <is>
          <t>否</t>
        </is>
      </c>
      <c r="W605" t="inlineStr">
        <is>
          <t>是</t>
        </is>
      </c>
      <c r="X605"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606">
      <c r="A606" t="inlineStr">
        <is>
          <t>hist-0b2e47752209add1</t>
        </is>
      </c>
      <c r="B606" s="82" t="n">
        <v>46252.9403587963</v>
      </c>
      <c r="C606" s="82" t="n">
        <v>46219</v>
      </c>
      <c r="D606" t="inlineStr">
        <is>
          <t>湖北省民族宗教事务委员会</t>
        </is>
      </c>
      <c r="E606" t="inlineStr">
        <is>
          <t>其他</t>
        </is>
      </c>
      <c r="F606" t="inlineStr">
        <is>
          <t>定向检索（原始页已打开）</t>
        </is>
      </c>
      <c r="G606" t="inlineStr">
        <is>
          <t>视频/恩施市民宗局</t>
        </is>
      </c>
      <c r="H606" t="inlineStr">
        <is>
          <t>“将《中华人民共和国民族团结进步促进法》内涵要义……浸润人心。”</t>
        </is>
      </c>
      <c r="I606" t="inlineStr">
        <is>
          <t>https://mzw.hubei.gov.cn/ztzl/yccrcxtdgmzjwjljr/wsp/202607/t20260716_5978310.shtml</t>
        </is>
      </c>
      <c r="J606" t="inlineStr">
        <is>
          <t>湖北省/恩施州/恩施市</t>
        </is>
      </c>
      <c r="L606" t="inlineStr">
        <is>
          <t>湖北</t>
        </is>
      </c>
      <c r="O606" t="inlineStr">
        <is>
          <t>中文</t>
        </is>
      </c>
      <c r="P606" t="inlineStr">
        <is>
          <t>否</t>
        </is>
      </c>
      <c r="Q606" t="inlineStr">
        <is>
          <t>官方政策信息</t>
        </is>
      </c>
      <c r="R606" t="inlineStr">
        <is>
          <t>土家民歌载体；文艺普法</t>
        </is>
      </c>
      <c r="S606" t="n">
        <v>0</v>
      </c>
      <c r="T606" t="n">
        <v>0</v>
      </c>
      <c r="U606" t="n">
        <v>0</v>
      </c>
      <c r="V606" t="inlineStr">
        <is>
          <t>否</t>
        </is>
      </c>
      <c r="W606" t="inlineStr">
        <is>
          <t>是</t>
        </is>
      </c>
      <c r="X606" t="inlineStr">
        <is>
          <t>历史导入:民族团结进步促进法_多语言专项复核_最终修正版.xlsx；来源类型:官方实施信息；复核:原始页面复核通过（HTTP 200，2026-08-07，北京时间）。原页仅称歌曲“以土家经典民歌为载体”，未说明使用土家语，也未刊土家语文本；不得由文化载体推断原始语言，语言类别更正为中文。；重复:否；待核实:否</t>
        </is>
      </c>
    </row>
    <row r="607">
      <c r="A607" t="inlineStr">
        <is>
          <t>hist-afc3d07462f82c56</t>
        </is>
      </c>
      <c r="B607" s="82" t="n">
        <v>46252.9403587963</v>
      </c>
      <c r="C607" s="82" t="n">
        <v>46223</v>
      </c>
      <c r="D607" t="inlineStr">
        <is>
          <t>中新网湖北</t>
        </is>
      </c>
      <c r="E607" t="inlineStr">
        <is>
          <t>其他</t>
        </is>
      </c>
      <c r="F607" t="inlineStr">
        <is>
          <t>定向检索（原始页已打开）</t>
        </is>
      </c>
      <c r="G607" t="inlineStr">
        <is>
          <t>荆楚统战</t>
        </is>
      </c>
      <c r="H607" t="inlineStr">
        <is>
          <t>“主会场集中宣讲+多区域沉浸式学法+产业助农交融。”</t>
        </is>
      </c>
      <c r="I607" t="inlineStr">
        <is>
          <t>https://www.hb.chinanews.com.cn/news/2026/0720/431417.html</t>
        </is>
      </c>
      <c r="J607" t="inlineStr">
        <is>
          <t>湖北省/恩施州/宣恩县</t>
        </is>
      </c>
      <c r="L607" t="inlineStr">
        <is>
          <t>湖北</t>
        </is>
      </c>
      <c r="O607" t="inlineStr">
        <is>
          <t>中文</t>
        </is>
      </c>
      <c r="P607" t="inlineStr">
        <is>
          <t>否</t>
        </is>
      </c>
      <c r="Q607" t="inlineStr">
        <is>
          <t>中性信息</t>
        </is>
      </c>
      <c r="R607" t="inlineStr">
        <is>
          <t>进乡村普法；沉浸式学法；产业助农</t>
        </is>
      </c>
      <c r="S607" t="n">
        <v>0</v>
      </c>
      <c r="T607" t="n">
        <v>0</v>
      </c>
      <c r="U607" t="n">
        <v>0</v>
      </c>
      <c r="V607" t="inlineStr">
        <is>
          <t>否</t>
        </is>
      </c>
      <c r="W607" t="inlineStr">
        <is>
          <t>是</t>
        </is>
      </c>
      <c r="X607" t="inlineStr">
        <is>
          <t>历史导入:民族团结进步促进法_多语言专项复核_最终修正版.xlsx；来源类型:媒体报道；复核:可用性复核通过：HTTP 200；页面标题相符；正文证据摘录命中；正文含法律名称；核验时间 2026-08-05 18:38:45（北京时间）。；重复:否；待核实:否</t>
        </is>
      </c>
    </row>
    <row r="608">
      <c r="A608" t="inlineStr">
        <is>
          <t>hist-959d5b3d32232695</t>
        </is>
      </c>
      <c r="B608" s="82" t="n">
        <v>46252.9403587963</v>
      </c>
      <c r="C608" s="82" t="n">
        <v>46206</v>
      </c>
      <c r="D608" t="inlineStr">
        <is>
          <t>中新网浙江</t>
        </is>
      </c>
      <c r="E608" t="inlineStr">
        <is>
          <t>其他</t>
        </is>
      </c>
      <c r="F608" t="inlineStr">
        <is>
          <t>定向检索（原始页已打开）</t>
        </is>
      </c>
      <c r="G608" t="inlineStr">
        <is>
          <t>记者客浙江</t>
        </is>
      </c>
      <c r="H608" t="inlineStr">
        <is>
          <t>“宣讲团成员蓝真平便用畲语向当地畲民进行宣讲解读。”</t>
        </is>
      </c>
      <c r="I608" t="inlineStr">
        <is>
          <t>https://www.zj.chinanews.com.cn/jzkzj/2026-07-03/detail-ihffxrfa8354601.shtml</t>
        </is>
      </c>
      <c r="J608" t="inlineStr">
        <is>
          <t>浙江省/丽水市/景宁畲族自治县</t>
        </is>
      </c>
      <c r="L608" t="inlineStr">
        <is>
          <t>浙江</t>
        </is>
      </c>
      <c r="O608" t="inlineStr">
        <is>
          <t>中文</t>
        </is>
      </c>
      <c r="P608" t="inlineStr">
        <is>
          <t>否</t>
        </is>
      </c>
      <c r="Q608" t="inlineStr">
        <is>
          <t>中性信息</t>
        </is>
      </c>
      <c r="R608" t="inlineStr">
        <is>
          <t>畲语宣讲；基层政策传播</t>
        </is>
      </c>
      <c r="S608" t="n">
        <v>0</v>
      </c>
      <c r="T608" t="n">
        <v>0</v>
      </c>
      <c r="U608" t="n">
        <v>0</v>
      </c>
      <c r="V608" t="inlineStr">
        <is>
          <t>否</t>
        </is>
      </c>
      <c r="W608" t="inlineStr">
        <is>
          <t>是</t>
        </is>
      </c>
      <c r="X608" t="inlineStr">
        <is>
          <t>历史导入:民族团结进步促进法_多语言专项复核_最终修正版.xlsx；来源类型:媒体报道；复核:页面事实已复核：原页为中文报道，明确说明宣讲员使用畲语开展线下宣讲。页面未公开畲语逐字原文，因此不存在可供进一步翻译或逐字语言核验的公开原始语料。该记录作为畲语传播活动保留，不统计为畲语公众意见。；重复:否；待核实:否</t>
        </is>
      </c>
    </row>
    <row r="609">
      <c r="A609" t="inlineStr">
        <is>
          <t>hist-d128fe4eabbca8d5</t>
        </is>
      </c>
      <c r="B609" s="82" t="n">
        <v>46252.9403587963</v>
      </c>
      <c r="C609" s="82" t="n">
        <v>46206</v>
      </c>
      <c r="D609" t="inlineStr">
        <is>
          <t>中新网浙江</t>
        </is>
      </c>
      <c r="E609" t="inlineStr">
        <is>
          <t>其他</t>
        </is>
      </c>
      <c r="F609" t="inlineStr">
        <is>
          <t>定向检索（原始页已打开）</t>
        </is>
      </c>
      <c r="G609" t="inlineStr">
        <is>
          <t>敕木山村畲民蓝昌梅</t>
        </is>
      </c>
      <c r="H609" t="inlineStr">
        <is>
          <t>“以前听政策总觉得云里雾里，现在一听就懂了！”</t>
        </is>
      </c>
      <c r="I609" t="inlineStr">
        <is>
          <t>https://www.zj.chinanews.com.cn/jzkzj/2026-07-03/detail-ihffxrfa8354601.shtml</t>
        </is>
      </c>
      <c r="J609" t="inlineStr">
        <is>
          <t>浙江省/丽水市/景宁畲族自治县</t>
        </is>
      </c>
      <c r="L609" t="inlineStr">
        <is>
          <t>浙江</t>
        </is>
      </c>
      <c r="O609" t="inlineStr">
        <is>
          <t>中文</t>
        </is>
      </c>
      <c r="P609" t="inlineStr">
        <is>
          <t>否</t>
        </is>
      </c>
      <c r="Q609" t="inlineStr">
        <is>
          <t>支持认可</t>
        </is>
      </c>
      <c r="R609" t="inlineStr">
        <is>
          <t>畲语宣讲；传统节日；政策可理解性</t>
        </is>
      </c>
      <c r="S609" t="n">
        <v>0</v>
      </c>
      <c r="T609" t="n">
        <v>0</v>
      </c>
      <c r="U609" t="n">
        <v>0</v>
      </c>
      <c r="V609" t="inlineStr">
        <is>
          <t>否</t>
        </is>
      </c>
      <c r="W609" t="inlineStr">
        <is>
          <t>是</t>
        </is>
      </c>
      <c r="X609" t="inlineStr">
        <is>
          <t>历史导入:民族团结进步促进法_多语言专项复核_最终修正版.xlsx；来源类型:个人原创观点（媒体采访）；复核:原始页面复核通过（HTTP 200，2026-08-07，北京时间）。原页刊载受访者中文引语，未说明该引语的原始口语；不得根据受访者民族身份推断为畲语。支持态度仅依据已刊中文引语确认。；重复:否；待核实:否</t>
        </is>
      </c>
    </row>
    <row r="610">
      <c r="A610" t="inlineStr">
        <is>
          <t>hist-6bccacfea502a3aa</t>
        </is>
      </c>
      <c r="B610" s="82" t="n">
        <v>46252.9403587963</v>
      </c>
      <c r="C610" s="82" t="n">
        <v>46209</v>
      </c>
      <c r="D610" t="inlineStr">
        <is>
          <t>北京市民族宗教事务委员会官网</t>
        </is>
      </c>
      <c r="E610" t="inlineStr">
        <is>
          <t>其他</t>
        </is>
      </c>
      <c r="F610" t="inlineStr">
        <is>
          <t>北京市民族宗教事务委员会</t>
        </is>
      </c>
      <c r="G610" t="inlineStr">
        <is>
          <t>民宗动态</t>
        </is>
      </c>
      <c r="H610" t="inlineStr">
        <is>
          <t>市民族宗教委党组理论学习中心组举行专题学习研讨会，深入学习《中华人民共和国民族团结进步促进法》。委领导班子成员结合首都民族宗教工作实际，开展研讨交流。</t>
        </is>
      </c>
      <c r="I610" t="inlineStr">
        <is>
          <t>https://mzzjw.beijing.gov.cn/zwgk/mzdt/202607/t20260707_4750224.html</t>
        </is>
      </c>
      <c r="J610" t="inlineStr">
        <is>
          <t>北京市</t>
        </is>
      </c>
      <c r="L610" t="inlineStr">
        <is>
          <t>北京</t>
        </is>
      </c>
      <c r="O610" t="inlineStr">
        <is>
          <t>中文</t>
        </is>
      </c>
      <c r="P610" t="inlineStr">
        <is>
          <t>否</t>
        </is>
      </c>
      <c r="Q610" t="inlineStr">
        <is>
          <t>官方政策信息</t>
        </is>
      </c>
      <c r="R610" t="inlineStr">
        <is>
          <t>官方学习研讨、法律贯彻实施</t>
        </is>
      </c>
      <c r="S610" t="n">
        <v>63</v>
      </c>
      <c r="T610" t="n">
        <v>63</v>
      </c>
      <c r="U610" t="n">
        <v>63</v>
      </c>
      <c r="V610" t="inlineStr">
        <is>
          <t>否</t>
        </is>
      </c>
      <c r="W610" t="inlineStr">
        <is>
          <t>否</t>
        </is>
      </c>
      <c r="X610" t="inlineStr">
        <is>
          <t>历史导入:民族团结进步促进法舆情监测报告_统计口径修正版.xlsx；来源类型:官方实施信息；复核:63；重复:否；待核实:否</t>
        </is>
      </c>
    </row>
    <row r="611">
      <c r="A611" t="inlineStr">
        <is>
          <t>hist-201d9d5a97e2d14f</t>
        </is>
      </c>
      <c r="B611" s="82" t="n">
        <v>46252.9403587963</v>
      </c>
      <c r="C611" s="82" t="n">
        <v>46211</v>
      </c>
      <c r="D611" t="inlineStr">
        <is>
          <t>北京市民族宗教事务委员会官网</t>
        </is>
      </c>
      <c r="E611" t="inlineStr">
        <is>
          <t>其他</t>
        </is>
      </c>
      <c r="F611" t="inlineStr">
        <is>
          <t>北京市民族宗教事务委员会</t>
        </is>
      </c>
      <c r="G611" t="inlineStr">
        <is>
          <t>民宗动态</t>
        </is>
      </c>
      <c r="H611" t="inlineStr">
        <is>
          <t>北京市伊斯兰教界2026年第二次时事政治与政策法规大讲堂围绕《中华人民共和国民族团结进步促进法》开展专题培训，邀请中央民族大学田飞龙教授作专题辅导，解读法律立法背景、核心要义、涉宗教条款内容以及贯彻落实路径。</t>
        </is>
      </c>
      <c r="I611" t="inlineStr">
        <is>
          <t>https://mzzjw.beijing.gov.cn/zwgk/mzdt/202607/t20260709_4753857.html</t>
        </is>
      </c>
      <c r="J611" t="inlineStr">
        <is>
          <t>北京市</t>
        </is>
      </c>
      <c r="L611" t="inlineStr">
        <is>
          <t>北京</t>
        </is>
      </c>
      <c r="O611" t="inlineStr">
        <is>
          <t>中文</t>
        </is>
      </c>
      <c r="P611" t="inlineStr">
        <is>
          <t>否</t>
        </is>
      </c>
      <c r="Q611" t="inlineStr">
        <is>
          <t>官方政策信息</t>
        </is>
      </c>
      <c r="R611" t="inlineStr">
        <is>
          <t>宗教界学习培训、法律解读</t>
        </is>
      </c>
      <c r="S611" t="n">
        <v>63</v>
      </c>
      <c r="T611" t="n">
        <v>63</v>
      </c>
      <c r="U611" t="n">
        <v>63</v>
      </c>
      <c r="V611" t="inlineStr">
        <is>
          <t>否</t>
        </is>
      </c>
      <c r="W611" t="inlineStr">
        <is>
          <t>否</t>
        </is>
      </c>
      <c r="X611" t="inlineStr">
        <is>
          <t>历史导入:民族团结进步促进法舆情监测报告_统计口径修正版.xlsx；来源类型:官方实施信息；复核:63；重复:否；待核实:否</t>
        </is>
      </c>
    </row>
    <row r="612">
      <c r="A612" t="inlineStr">
        <is>
          <t>hist-42a94b57d3ff9c25</t>
        </is>
      </c>
      <c r="B612" s="82" t="n">
        <v>46252.9403587963</v>
      </c>
      <c r="C612" s="82" t="n">
        <v>46204</v>
      </c>
      <c r="D612" t="inlineStr">
        <is>
          <t>北京市民族宗教事务委员会官网</t>
        </is>
      </c>
      <c r="E612" t="inlineStr">
        <is>
          <t>其他</t>
        </is>
      </c>
      <c r="F612" t="inlineStr">
        <is>
          <t>北京市民族宗教事务委员会</t>
        </is>
      </c>
      <c r="G612" t="inlineStr">
        <is>
          <t>民宗动态</t>
        </is>
      </c>
      <c r="H612" t="inlineStr">
        <is>
          <t>北京市召开学习宣传贯彻《中华人民共和国民族团结进步促进法》工作部署会议，对全市学习宣传、贯彻实施民族团结进步促进法进行安排部署，统一思想认识、明确目标任务、压实工作责任。</t>
        </is>
      </c>
      <c r="I612" t="inlineStr">
        <is>
          <t>https://mzzjw.beijing.gov.cn/zwgk/mzdt/202607/t20260701_4741064.html</t>
        </is>
      </c>
      <c r="J612" t="inlineStr">
        <is>
          <t>北京市</t>
        </is>
      </c>
      <c r="L612" t="inlineStr">
        <is>
          <t>北京</t>
        </is>
      </c>
      <c r="O612" t="inlineStr">
        <is>
          <t>中文</t>
        </is>
      </c>
      <c r="P612" t="inlineStr">
        <is>
          <t>否</t>
        </is>
      </c>
      <c r="Q612" t="inlineStr">
        <is>
          <t>官方政策信息</t>
        </is>
      </c>
      <c r="R612" t="inlineStr">
        <is>
          <t>工作部署、法律贯彻实施</t>
        </is>
      </c>
      <c r="S612" t="n">
        <v>63</v>
      </c>
      <c r="T612" t="n">
        <v>63</v>
      </c>
      <c r="U612" t="n">
        <v>63</v>
      </c>
      <c r="V612" t="inlineStr">
        <is>
          <t>否</t>
        </is>
      </c>
      <c r="W612" t="inlineStr">
        <is>
          <t>否</t>
        </is>
      </c>
      <c r="X612" t="inlineStr">
        <is>
          <t>历史导入:民族团结进步促进法舆情监测报告_统计口径修正版.xlsx；来源类型:官方实施信息；复核:63；重复:否；待核实:否</t>
        </is>
      </c>
    </row>
    <row r="613">
      <c r="A613" t="inlineStr">
        <is>
          <t>hist-4938eb8aef939d53</t>
        </is>
      </c>
      <c r="B613" s="82" t="n">
        <v>46252.9403587963</v>
      </c>
      <c r="C613" s="82" t="n">
        <v>46207</v>
      </c>
      <c r="D613" t="inlineStr">
        <is>
          <t>北方网</t>
        </is>
      </c>
      <c r="E613" t="inlineStr">
        <is>
          <t>其他</t>
        </is>
      </c>
      <c r="F613" t="inlineStr">
        <is>
          <t>北方网</t>
        </is>
      </c>
      <c r="G613" t="inlineStr">
        <is>
          <t>新闻中心</t>
        </is>
      </c>
      <c r="H613" t="inlineStr">
        <is>
          <t>天津市2026年民族宗教政策法规宣传月活动启动，主题是深入学习宣传贯彻民族团结进步促进法，将举办专题培训班、主题书画摄影展、宣讲团宣讲等活动，同步开展“法润津门石榴红——民族团结进步促进法网络答题活动”。</t>
        </is>
      </c>
      <c r="I613" t="inlineStr">
        <is>
          <t>http://news.enorth.com.cn/system/2026/07/04/059541810.shtml</t>
        </is>
      </c>
      <c r="J613" t="inlineStr">
        <is>
          <t>天津市</t>
        </is>
      </c>
      <c r="L613" t="inlineStr">
        <is>
          <t>天津</t>
        </is>
      </c>
      <c r="O613" t="inlineStr">
        <is>
          <t>中文</t>
        </is>
      </c>
      <c r="P613" t="inlineStr">
        <is>
          <t>否</t>
        </is>
      </c>
      <c r="Q613" t="inlineStr">
        <is>
          <t>官方政策信息</t>
        </is>
      </c>
      <c r="R613" t="inlineStr">
        <is>
          <t>宣传活动、网络答题、法律普及</t>
        </is>
      </c>
      <c r="S613" t="n">
        <v>63</v>
      </c>
      <c r="T613" t="n">
        <v>63</v>
      </c>
      <c r="U613" t="n">
        <v>63</v>
      </c>
      <c r="V613" t="inlineStr">
        <is>
          <t>否</t>
        </is>
      </c>
      <c r="W613" t="inlineStr">
        <is>
          <t>否</t>
        </is>
      </c>
      <c r="X613" t="inlineStr">
        <is>
          <t>历史导入:民族团结进步促进法舆情监测报告_统计口径修正版.xlsx；来源类型:媒体报道；复核:63；重复:否；待核实:否</t>
        </is>
      </c>
    </row>
    <row r="614">
      <c r="A614" t="inlineStr">
        <is>
          <t>hist-08598c5bcf14261e</t>
        </is>
      </c>
      <c r="B614" s="82" t="n">
        <v>46252.9403587963</v>
      </c>
      <c r="C614" s="82" t="n">
        <v>46204</v>
      </c>
      <c r="D614" t="inlineStr">
        <is>
          <t>手机搜狐网</t>
        </is>
      </c>
      <c r="E614" t="inlineStr">
        <is>
          <t>其他</t>
        </is>
      </c>
      <c r="F614" t="inlineStr">
        <is>
          <t>手机搜狐网</t>
        </is>
      </c>
      <c r="G614" t="inlineStr">
        <is>
          <t>红桥统战</t>
        </is>
      </c>
      <c r="H614" t="inlineStr">
        <is>
          <t>天津市民族和宗教事务委员会组织开展民族团结进步促进法答题活动，欢迎大家踊跃参与，旨在深入学习宣传贯彻民族团结进步促进法，营造尊法学法守法用法氛围。</t>
        </is>
      </c>
      <c r="I614" t="inlineStr">
        <is>
          <t>https://m.sohu.com/a/1044391572_121106842/</t>
        </is>
      </c>
      <c r="J614" t="inlineStr">
        <is>
          <t>天津市</t>
        </is>
      </c>
      <c r="L614" t="inlineStr">
        <is>
          <t>天津</t>
        </is>
      </c>
      <c r="O614" t="inlineStr">
        <is>
          <t>中文</t>
        </is>
      </c>
      <c r="P614" t="inlineStr">
        <is>
          <t>否</t>
        </is>
      </c>
      <c r="Q614" t="inlineStr">
        <is>
          <t>官方政策信息</t>
        </is>
      </c>
      <c r="R614" t="inlineStr">
        <is>
          <t>有奖答题、法律普及</t>
        </is>
      </c>
      <c r="S614" t="n">
        <v>63</v>
      </c>
      <c r="T614" t="n">
        <v>63</v>
      </c>
      <c r="U614" t="n">
        <v>63</v>
      </c>
      <c r="V614" t="inlineStr">
        <is>
          <t>否</t>
        </is>
      </c>
      <c r="W614" t="inlineStr">
        <is>
          <t>否</t>
        </is>
      </c>
      <c r="X614" t="inlineStr">
        <is>
          <t>历史导入:民族团结进步促进法舆情监测报告_统计口径修正版.xlsx；来源类型:官方实施信息；复核:63；重复:否；待核实:否</t>
        </is>
      </c>
    </row>
    <row r="615">
      <c r="A615" t="inlineStr">
        <is>
          <t>hist-eee456075bc37d55</t>
        </is>
      </c>
      <c r="B615" s="82" t="n">
        <v>46252.9403587963</v>
      </c>
      <c r="C615" s="82" t="n">
        <v>46231</v>
      </c>
      <c r="D615" t="inlineStr">
        <is>
          <t>河北省民族事务委员会官网</t>
        </is>
      </c>
      <c r="E615" t="inlineStr">
        <is>
          <t>其他</t>
        </is>
      </c>
      <c r="F615" t="inlineStr">
        <is>
          <t>河北省民族事务委员会</t>
        </is>
      </c>
      <c r="G615" t="inlineStr">
        <is>
          <t>法律法规</t>
        </is>
      </c>
      <c r="H615" t="inlineStr">
        <is>
          <t>在官网发布《中华人民共和国民族团结进步促进法》全文，包括总则、构筑共有精神家园、促进交往交流交融、推动共同繁荣发展、保障与监督、法律责任、附则等内容。</t>
        </is>
      </c>
      <c r="I615" t="inlineStr">
        <is>
          <t>http://mw.hebei.gov.cn/system/2026/07/28/030390713.shtml</t>
        </is>
      </c>
      <c r="J615" t="inlineStr">
        <is>
          <t>河北省</t>
        </is>
      </c>
      <c r="L615" t="inlineStr">
        <is>
          <t>河北</t>
        </is>
      </c>
      <c r="O615" t="inlineStr">
        <is>
          <t>中文</t>
        </is>
      </c>
      <c r="P615" t="inlineStr">
        <is>
          <t>否</t>
        </is>
      </c>
      <c r="Q615" t="inlineStr">
        <is>
          <t>官方政策信息</t>
        </is>
      </c>
      <c r="R615" t="inlineStr">
        <is>
          <t>法律全文发布、法律普及</t>
        </is>
      </c>
      <c r="S615" t="n">
        <v>63</v>
      </c>
      <c r="T615" t="n">
        <v>63</v>
      </c>
      <c r="U615" t="n">
        <v>63</v>
      </c>
      <c r="V615" t="inlineStr">
        <is>
          <t>否</t>
        </is>
      </c>
      <c r="W615" t="inlineStr">
        <is>
          <t>否</t>
        </is>
      </c>
      <c r="X615" t="inlineStr">
        <is>
          <t>历史导入:民族团结进步促进法舆情监测报告_统计口径修正版.xlsx；来源类型:官方实施信息；复核:63；重复:否；待核实:否</t>
        </is>
      </c>
    </row>
    <row r="616">
      <c r="A616" t="inlineStr">
        <is>
          <t>hist-a3d64e0781992bc0</t>
        </is>
      </c>
      <c r="B616" s="82" t="n">
        <v>46252.9403587963</v>
      </c>
      <c r="C616" s="82" t="n">
        <v>46223</v>
      </c>
      <c r="D616" t="inlineStr">
        <is>
          <t>河北省民族事务委员会官网</t>
        </is>
      </c>
      <c r="E616" t="inlineStr">
        <is>
          <t>其他</t>
        </is>
      </c>
      <c r="F616" t="inlineStr">
        <is>
          <t>河北省民族事务委员会</t>
        </is>
      </c>
      <c r="G616" t="inlineStr">
        <is>
          <t>媒体关注</t>
        </is>
      </c>
      <c r="H616" t="inlineStr">
        <is>
          <t>转载中国民族报评论文章，指出民族团结进步促进法的出台，为铸牢中华民族共同体意识、推进中华民族共同体建设夯实法治根基，对全面推进民族团结进步事业具有重大意义。</t>
        </is>
      </c>
      <c r="I616" t="inlineStr">
        <is>
          <t>http://mw.hebei.gov.cn/system/2026/07/19/030389906.shtml</t>
        </is>
      </c>
      <c r="J616" t="inlineStr">
        <is>
          <t>河北省</t>
        </is>
      </c>
      <c r="L616" t="inlineStr">
        <is>
          <t>河北</t>
        </is>
      </c>
      <c r="O616" t="inlineStr">
        <is>
          <t>中文</t>
        </is>
      </c>
      <c r="P616" t="inlineStr">
        <is>
          <t>否</t>
        </is>
      </c>
      <c r="Q616" t="inlineStr">
        <is>
          <t>中性信息</t>
        </is>
      </c>
      <c r="R616" t="inlineStr">
        <is>
          <t>法律意义解读、评论文章</t>
        </is>
      </c>
      <c r="S616" t="n">
        <v>63</v>
      </c>
      <c r="T616" t="n">
        <v>63</v>
      </c>
      <c r="U616" t="n">
        <v>63</v>
      </c>
      <c r="V616" t="inlineStr">
        <is>
          <t>否</t>
        </is>
      </c>
      <c r="W616" t="inlineStr">
        <is>
          <t>否</t>
        </is>
      </c>
      <c r="X616" t="inlineStr">
        <is>
          <t>历史导入:民族团结进步促进法舆情监测报告_统计口径修正版.xlsx；来源类型:媒体报道；复核:63；重复:否；待核实:否</t>
        </is>
      </c>
    </row>
    <row r="617">
      <c r="A617" t="inlineStr">
        <is>
          <t>hist-175bfc299073922e</t>
        </is>
      </c>
      <c r="B617" s="82" t="n">
        <v>46252.9403587963</v>
      </c>
      <c r="C617" s="82" t="n">
        <v>46204</v>
      </c>
      <c r="D617" t="inlineStr">
        <is>
          <t>国家民族事务委员会官网</t>
        </is>
      </c>
      <c r="E617" t="inlineStr">
        <is>
          <t>其他</t>
        </is>
      </c>
      <c r="F617" t="inlineStr">
        <is>
          <t>国家民族事务委员会</t>
        </is>
      </c>
      <c r="G617" t="inlineStr">
        <is>
          <t>地方动态</t>
        </is>
      </c>
      <c r="H617" t="inlineStr">
        <is>
          <t>内蒙古自治区民委在兴安盟、通辽市、锡林郭勒盟以及伊利实业集团股份有限公司等盟市和企业，分层分类开展民族团结进步促进法专题宣讲，创新“理论授课+书香赋能+线上线下联动”普法宣讲模式，覆盖党政机关、企事业单位、高校、乡村中小学、基层嘎查。</t>
        </is>
      </c>
      <c r="I617" t="inlineStr">
        <is>
          <t>https://www.neac.gov.cn/seac/xwzx/202607/1192212.shtml</t>
        </is>
      </c>
      <c r="J617" t="inlineStr">
        <is>
          <t>内蒙古自治区</t>
        </is>
      </c>
      <c r="L617" t="inlineStr">
        <is>
          <t>内蒙古</t>
        </is>
      </c>
      <c r="O617" t="inlineStr">
        <is>
          <t>中文</t>
        </is>
      </c>
      <c r="P617" t="inlineStr">
        <is>
          <t>否</t>
        </is>
      </c>
      <c r="Q617" t="inlineStr">
        <is>
          <t>官方政策信息</t>
        </is>
      </c>
      <c r="R617" t="inlineStr">
        <is>
          <t>专题宣讲、法律普及、基层覆盖</t>
        </is>
      </c>
      <c r="S617" t="n">
        <v>63</v>
      </c>
      <c r="T617" t="n">
        <v>63</v>
      </c>
      <c r="U617" t="n">
        <v>63</v>
      </c>
      <c r="V617" t="inlineStr">
        <is>
          <t>否</t>
        </is>
      </c>
      <c r="W617" t="inlineStr">
        <is>
          <t>否</t>
        </is>
      </c>
      <c r="X617" t="inlineStr">
        <is>
          <t>历史导入:民族团结进步促进法舆情监测报告_统计口径修正版.xlsx；来源类型:官方实施信息；复核:63；重复:否；待核实:否</t>
        </is>
      </c>
    </row>
    <row r="618">
      <c r="A618" t="inlineStr">
        <is>
          <t>hist-3303b6a1c909a23f</t>
        </is>
      </c>
      <c r="B618" s="82" t="n">
        <v>46252.9403587963</v>
      </c>
      <c r="C618" s="82" t="n">
        <v>46233</v>
      </c>
      <c r="D618" t="inlineStr">
        <is>
          <t>中新网辽宁频道</t>
        </is>
      </c>
      <c r="E618" t="inlineStr">
        <is>
          <t>其他</t>
        </is>
      </c>
      <c r="F618" t="inlineStr">
        <is>
          <t>中新网辽宁新闻</t>
        </is>
      </c>
      <c r="G618" t="inlineStr">
        <is>
          <t>新闻</t>
        </is>
      </c>
      <c r="H618" t="inlineStr">
        <is>
          <t>辽宁省民族和宗教事务委员会介绍，辽宁省将学习宣传贯彻民族团结进步促进法作为重要政治任务，构建“三位一体、多方联动”的法治贯彻实施体系，抓住“关键少数”学习引领，推动法律落地见效。</t>
        </is>
      </c>
      <c r="I618" t="inlineStr">
        <is>
          <t>https://www.ln.chinanews.com.cn/news/2026/0730/356582.html</t>
        </is>
      </c>
      <c r="J618" t="inlineStr">
        <is>
          <t>辽宁省</t>
        </is>
      </c>
      <c r="L618" t="inlineStr">
        <is>
          <t>辽宁</t>
        </is>
      </c>
      <c r="O618" t="inlineStr">
        <is>
          <t>中文</t>
        </is>
      </c>
      <c r="P618" t="inlineStr">
        <is>
          <t>否</t>
        </is>
      </c>
      <c r="Q618" t="inlineStr">
        <is>
          <t>官方政策信息</t>
        </is>
      </c>
      <c r="R618" t="inlineStr">
        <is>
          <t>实践路径、法治体系、法律贯彻实施</t>
        </is>
      </c>
      <c r="S618" t="n">
        <v>63</v>
      </c>
      <c r="T618" t="n">
        <v>63</v>
      </c>
      <c r="U618" t="n">
        <v>63</v>
      </c>
      <c r="V618" t="inlineStr">
        <is>
          <t>否</t>
        </is>
      </c>
      <c r="W618" t="inlineStr">
        <is>
          <t>否</t>
        </is>
      </c>
      <c r="X618" t="inlineStr">
        <is>
          <t>历史导入:民族团结进步促进法舆情监测报告_统计口径修正版.xlsx；来源类型:媒体报道；复核:63；重复:否；待核实:否</t>
        </is>
      </c>
    </row>
    <row r="619">
      <c r="A619" t="inlineStr">
        <is>
          <t>hist-2c1c2aae736538e6</t>
        </is>
      </c>
      <c r="B619" s="82" t="n">
        <v>46252.9403587963</v>
      </c>
      <c r="C619" s="82" t="n">
        <v>46204</v>
      </c>
      <c r="D619" t="inlineStr">
        <is>
          <t>国家民族事务委员会官网</t>
        </is>
      </c>
      <c r="E619" t="inlineStr">
        <is>
          <t>其他</t>
        </is>
      </c>
      <c r="F619" t="inlineStr">
        <is>
          <t>国家民族事务委员会</t>
        </is>
      </c>
      <c r="G619" t="inlineStr">
        <is>
          <t>地方动态</t>
        </is>
      </c>
      <c r="H619" t="inlineStr">
        <is>
          <t>吉林省深入贯彻民族团结进步促进法，以法治体系建设为根基，构建“法治+教育+交融+发展”四位一体工作格局，推动民族团结进步事业高质量发展，在法治轨道上推进民族事务治理体系和治理能力现代化。</t>
        </is>
      </c>
      <c r="I619" t="inlineStr">
        <is>
          <t>https://www.neac.gov.cn/seac/xwzx/202607/1192185.shtml</t>
        </is>
      </c>
      <c r="J619" t="inlineStr">
        <is>
          <t>吉林省</t>
        </is>
      </c>
      <c r="L619" t="inlineStr">
        <is>
          <t>吉林</t>
        </is>
      </c>
      <c r="O619" t="inlineStr">
        <is>
          <t>中文</t>
        </is>
      </c>
      <c r="P619" t="inlineStr">
        <is>
          <t>否</t>
        </is>
      </c>
      <c r="Q619" t="inlineStr">
        <is>
          <t>官方政策信息</t>
        </is>
      </c>
      <c r="R619" t="inlineStr">
        <is>
          <t>治理现代化、工作格局、法律贯彻实施</t>
        </is>
      </c>
      <c r="S619" t="n">
        <v>63</v>
      </c>
      <c r="T619" t="n">
        <v>63</v>
      </c>
      <c r="U619" t="n">
        <v>63</v>
      </c>
      <c r="V619" t="inlineStr">
        <is>
          <t>否</t>
        </is>
      </c>
      <c r="W619" t="inlineStr">
        <is>
          <t>否</t>
        </is>
      </c>
      <c r="X619" t="inlineStr">
        <is>
          <t>历史导入:民族团结进步促进法舆情监测报告_统计口径修正版.xlsx；来源类型:官方实施信息；复核:63；重复:否；待核实:否</t>
        </is>
      </c>
    </row>
    <row r="620">
      <c r="A620" t="inlineStr">
        <is>
          <t>hist-5fd9280ce67d83d2</t>
        </is>
      </c>
      <c r="B620" s="82" t="n">
        <v>46252.9403587963</v>
      </c>
      <c r="C620" s="82" t="n">
        <v>46234</v>
      </c>
      <c r="D620" t="inlineStr">
        <is>
          <t>吉林省民族事务委员会官网</t>
        </is>
      </c>
      <c r="E620" t="inlineStr">
        <is>
          <t>其他</t>
        </is>
      </c>
      <c r="F620" t="inlineStr">
        <is>
          <t>吉林省民族事务委员会</t>
        </is>
      </c>
      <c r="G620" t="inlineStr">
        <is>
          <t>政策发布</t>
        </is>
      </c>
      <c r="H620" t="inlineStr">
        <is>
          <t>《吉林省民族团结进步促进条例》经吉林省第十四届人民代表大会常务委员会第二十四次会议于2026年7月30日通过，自2026年9月1日起施行，根据宪法、《中华人民共和国民族团结进步促进法》和有关法律，结合本省实际制定。</t>
        </is>
      </c>
      <c r="I620" t="inlineStr">
        <is>
          <t>http://mw.jl.gov.cn/zcfg/zcfb/202607/t20260731_9674043.html</t>
        </is>
      </c>
      <c r="J620" t="inlineStr">
        <is>
          <t>吉林省</t>
        </is>
      </c>
      <c r="L620" t="inlineStr">
        <is>
          <t>吉林</t>
        </is>
      </c>
      <c r="O620" t="inlineStr">
        <is>
          <t>中文</t>
        </is>
      </c>
      <c r="P620" t="inlineStr">
        <is>
          <t>否</t>
        </is>
      </c>
      <c r="Q620" t="inlineStr">
        <is>
          <t>官方政策信息</t>
        </is>
      </c>
      <c r="R620" t="inlineStr">
        <is>
          <t>地方性法规、法律配套、贯彻实施</t>
        </is>
      </c>
      <c r="S620" t="n">
        <v>63</v>
      </c>
      <c r="T620" t="n">
        <v>63</v>
      </c>
      <c r="U620" t="n">
        <v>63</v>
      </c>
      <c r="V620" t="inlineStr">
        <is>
          <t>否</t>
        </is>
      </c>
      <c r="W620" t="inlineStr">
        <is>
          <t>否</t>
        </is>
      </c>
      <c r="X620" t="inlineStr">
        <is>
          <t>历史导入:民族团结进步促进法舆情监测报告_统计口径修正版.xlsx；来源类型:官方实施信息；复核:63；重复:否；待核实:否</t>
        </is>
      </c>
    </row>
    <row r="621">
      <c r="A621" t="inlineStr">
        <is>
          <t>hist-59282d0e050d0875</t>
        </is>
      </c>
      <c r="B621" s="82" t="n">
        <v>46252.9403587963</v>
      </c>
      <c r="C621" s="82" t="n">
        <v>46225</v>
      </c>
      <c r="D621" t="inlineStr">
        <is>
          <t>黑龙江省民族宗教事务委员会官网</t>
        </is>
      </c>
      <c r="E621" t="inlineStr">
        <is>
          <t>其他</t>
        </is>
      </c>
      <c r="F621" t="inlineStr">
        <is>
          <t>黑龙江省民族宗教事务委员会</t>
        </is>
      </c>
      <c r="G621" t="inlineStr">
        <is>
          <t>工作动态</t>
        </is>
      </c>
      <c r="H621" t="inlineStr">
        <is>
          <t>黑龙江省《中华人民共和国民族团结进步促进法》专题宣讲团首场宣讲在哈尔滨市举办，线上线下近400名干部、各界代表同步聆听法律宣讲，标志着全省专题宣讲活动全面展开。</t>
        </is>
      </c>
      <c r="I621" t="inlineStr">
        <is>
          <t>http://mzw.hlj.gov.cn/http.80.2d22237677.a.proxy1.ipv6.xiangtan.gov.cn/mzw/c104292/202607/c00_31960638.shtml</t>
        </is>
      </c>
      <c r="J621" t="inlineStr">
        <is>
          <t>黑龙江省</t>
        </is>
      </c>
      <c r="L621" t="inlineStr">
        <is>
          <t>黑龙江</t>
        </is>
      </c>
      <c r="O621" t="inlineStr">
        <is>
          <t>中文</t>
        </is>
      </c>
      <c r="P621" t="inlineStr">
        <is>
          <t>否</t>
        </is>
      </c>
      <c r="Q621" t="inlineStr">
        <is>
          <t>官方政策信息</t>
        </is>
      </c>
      <c r="R621" t="inlineStr">
        <is>
          <t>专题宣讲、法律普及</t>
        </is>
      </c>
      <c r="S621" t="n">
        <v>63</v>
      </c>
      <c r="T621" t="n">
        <v>63</v>
      </c>
      <c r="U621" t="n">
        <v>63</v>
      </c>
      <c r="V621" t="inlineStr">
        <is>
          <t>否</t>
        </is>
      </c>
      <c r="W621" t="inlineStr">
        <is>
          <t>否</t>
        </is>
      </c>
      <c r="X621" t="inlineStr">
        <is>
          <t>历史导入:民族团结进步促进法舆情监测报告_统计口径修正版.xlsx；来源类型:官方实施信息；复核:63；重复:否；待核实:否</t>
        </is>
      </c>
    </row>
    <row r="622">
      <c r="A622" t="inlineStr">
        <is>
          <t>hist-16d2ccc88f4f1e22</t>
        </is>
      </c>
      <c r="B622" s="82" t="n">
        <v>46252.9403587963</v>
      </c>
      <c r="C622" s="82" t="n">
        <v>46212</v>
      </c>
      <c r="D622" t="inlineStr">
        <is>
          <t>上海市民族和宗教事务局官网</t>
        </is>
      </c>
      <c r="E622" t="inlineStr">
        <is>
          <t>其他</t>
        </is>
      </c>
      <c r="F622" t="inlineStr">
        <is>
          <t>上海市民族和宗教事务局</t>
        </is>
      </c>
      <c r="G622" t="inlineStr">
        <is>
          <t>最新动态</t>
        </is>
      </c>
      <c r="H622" t="inlineStr">
        <is>
          <t>上海市召开学习宣传贯彻《中华人民共和国民族团结进步促进法》专题宣讲会暨工作动员部署会，要求各区各部门提高政治站位，推动民族团结进步促进法在上海落地生根、见行见效。</t>
        </is>
      </c>
      <c r="I622" t="inlineStr">
        <is>
          <t>https://mzzj.sh.gov.cn/2021xwzx_zxdt/20260709/630907622c564b25a7773d0f240c3774.html</t>
        </is>
      </c>
      <c r="J622" t="inlineStr">
        <is>
          <t>上海市</t>
        </is>
      </c>
      <c r="L622" t="inlineStr">
        <is>
          <t>上海</t>
        </is>
      </c>
      <c r="O622" t="inlineStr">
        <is>
          <t>中文</t>
        </is>
      </c>
      <c r="P622" t="inlineStr">
        <is>
          <t>否</t>
        </is>
      </c>
      <c r="Q622" t="inlineStr">
        <is>
          <t>官方政策信息</t>
        </is>
      </c>
      <c r="R622" t="inlineStr">
        <is>
          <t>专题宣讲、工作部署、法律贯彻实施</t>
        </is>
      </c>
      <c r="S622" t="n">
        <v>63</v>
      </c>
      <c r="T622" t="n">
        <v>63</v>
      </c>
      <c r="U622" t="n">
        <v>63</v>
      </c>
      <c r="V622" t="inlineStr">
        <is>
          <t>否</t>
        </is>
      </c>
      <c r="W622" t="inlineStr">
        <is>
          <t>否</t>
        </is>
      </c>
      <c r="X622" t="inlineStr">
        <is>
          <t>历史导入:民族团结进步促进法舆情监测报告_统计口径修正版.xlsx；来源类型:官方实施信息；复核:63；重复:否；待核实:否</t>
        </is>
      </c>
    </row>
    <row r="623">
      <c r="A623" t="inlineStr">
        <is>
          <t>hist-55e9e51d068d1a25</t>
        </is>
      </c>
      <c r="B623" s="82" t="n">
        <v>46252.9403587963</v>
      </c>
      <c r="C623" s="82" t="n">
        <v>46233</v>
      </c>
      <c r="D623" t="inlineStr">
        <is>
          <t>江苏省民族宗教事务委员会官网</t>
        </is>
      </c>
      <c r="E623" t="inlineStr">
        <is>
          <t>其他</t>
        </is>
      </c>
      <c r="F623" t="inlineStr">
        <is>
          <t>江苏省民族宗教事务委员会</t>
        </is>
      </c>
      <c r="G623" t="inlineStr">
        <is>
          <t>机关动态</t>
        </is>
      </c>
      <c r="H623" t="inlineStr">
        <is>
          <t>江苏省委统战部、省民宗委举办第54期同心大讲堂，邀请国家民族团结进步促进法专题宣讲团成员、中央民族干部学院首席专家刘宝明教授作民族团结进步促进法专题宣讲。</t>
        </is>
      </c>
      <c r="I623" t="inlineStr">
        <is>
          <t>https://mzw.jiangsu.gov.cn/art/2026/7/30/art_39792_11810687.html</t>
        </is>
      </c>
      <c r="J623" t="inlineStr">
        <is>
          <t>江苏省</t>
        </is>
      </c>
      <c r="L623" t="inlineStr">
        <is>
          <t>江苏</t>
        </is>
      </c>
      <c r="O623" t="inlineStr">
        <is>
          <t>中文</t>
        </is>
      </c>
      <c r="P623" t="inlineStr">
        <is>
          <t>否</t>
        </is>
      </c>
      <c r="Q623" t="inlineStr">
        <is>
          <t>官方政策信息</t>
        </is>
      </c>
      <c r="R623" t="inlineStr">
        <is>
          <t>专题宣讲、干部培训、法律解读</t>
        </is>
      </c>
      <c r="S623" t="n">
        <v>63</v>
      </c>
      <c r="T623" t="n">
        <v>63</v>
      </c>
      <c r="U623" t="n">
        <v>63</v>
      </c>
      <c r="V623" t="inlineStr">
        <is>
          <t>否</t>
        </is>
      </c>
      <c r="W623" t="inlineStr">
        <is>
          <t>否</t>
        </is>
      </c>
      <c r="X623" t="inlineStr">
        <is>
          <t>历史导入:民族团结进步促进法舆情监测报告_统计口径修正版.xlsx；来源类型:官方实施信息；复核:63；重复:否；待核实:否</t>
        </is>
      </c>
    </row>
    <row r="624">
      <c r="A624" t="inlineStr">
        <is>
          <t>hist-82489cd73b568fed</t>
        </is>
      </c>
      <c r="B624" s="82" t="n">
        <v>46252.9403587963</v>
      </c>
      <c r="C624" s="82" t="n">
        <v>46205</v>
      </c>
      <c r="D624" t="inlineStr">
        <is>
          <t>江苏省民族宗教事务委员会官网</t>
        </is>
      </c>
      <c r="E624" t="inlineStr">
        <is>
          <t>其他</t>
        </is>
      </c>
      <c r="F624" t="inlineStr">
        <is>
          <t>江苏省民族宗教事务委员会</t>
        </is>
      </c>
      <c r="G624" t="inlineStr">
        <is>
          <t>市县动态</t>
        </is>
      </c>
      <c r="H624" t="inlineStr">
        <is>
          <t>南京市委统战部、市委宣传部、市民宗局、市司法局联合下发《关于学习宣传贯彻&lt;中华人民共和国民族团结进步促进法&gt;的通知》，全面部署学习宣传贯彻工作，将法律纳入各级党委（党组）理论学习中心组学习内容等。</t>
        </is>
      </c>
      <c r="I624" t="inlineStr">
        <is>
          <t>https://mzw.jiangsu.gov.cn/art/2026/7/2/art_59504_11798046.html</t>
        </is>
      </c>
      <c r="J624" t="inlineStr">
        <is>
          <t>江苏省南京市</t>
        </is>
      </c>
      <c r="L624" t="inlineStr">
        <is>
          <t>江苏</t>
        </is>
      </c>
      <c r="O624" t="inlineStr">
        <is>
          <t>中文</t>
        </is>
      </c>
      <c r="P624" t="inlineStr">
        <is>
          <t>否</t>
        </is>
      </c>
      <c r="Q624" t="inlineStr">
        <is>
          <t>官方政策信息</t>
        </is>
      </c>
      <c r="R624" t="inlineStr">
        <is>
          <t>工作部署、学习安排、法律贯彻实施</t>
        </is>
      </c>
      <c r="S624" t="n">
        <v>63</v>
      </c>
      <c r="T624" t="n">
        <v>63</v>
      </c>
      <c r="U624" t="n">
        <v>63</v>
      </c>
      <c r="V624" t="inlineStr">
        <is>
          <t>否</t>
        </is>
      </c>
      <c r="W624" t="inlineStr">
        <is>
          <t>否</t>
        </is>
      </c>
      <c r="X624" t="inlineStr">
        <is>
          <t>历史导入:民族团结进步促进法舆情监测报告_统计口径修正版.xlsx；来源类型:官方实施信息；复核:63；重复:否；待核实:否</t>
        </is>
      </c>
    </row>
    <row r="625">
      <c r="A625" t="inlineStr">
        <is>
          <t>hist-2c2c9ae5b200b251</t>
        </is>
      </c>
      <c r="B625" s="82" t="n">
        <v>46252.9403587963</v>
      </c>
      <c r="C625" s="82" t="n">
        <v>46225</v>
      </c>
      <c r="D625" t="inlineStr">
        <is>
          <t>浙江省民族宗教事务委员会官网</t>
        </is>
      </c>
      <c r="E625" t="inlineStr">
        <is>
          <t>其他</t>
        </is>
      </c>
      <c r="F625" t="inlineStr">
        <is>
          <t>浙江省民族宗教事务委员会</t>
        </is>
      </c>
      <c r="G625" t="inlineStr">
        <is>
          <t>市县动态</t>
        </is>
      </c>
      <c r="H625" t="inlineStr">
        <is>
          <t>乐清市民宗局依托市民族团结进步普法教育基地，举办“法润石榴红，同心中国梦”主题普法宣传活动，开设专题课堂、一站式联合咨询服务区、中华文化体验区等，推动法律宣传。</t>
        </is>
      </c>
      <c r="I625" t="inlineStr">
        <is>
          <t>http://mzw.zj.gov.cn/col/col1229471612/art/2026/art_5bed5c97162f44138eb959a3f9cfb4d8.html</t>
        </is>
      </c>
      <c r="J625" t="inlineStr">
        <is>
          <t>浙江省温州市乐清市</t>
        </is>
      </c>
      <c r="L625" t="inlineStr">
        <is>
          <t>浙江</t>
        </is>
      </c>
      <c r="O625" t="inlineStr">
        <is>
          <t>中文</t>
        </is>
      </c>
      <c r="P625" t="inlineStr">
        <is>
          <t>否</t>
        </is>
      </c>
      <c r="Q625" t="inlineStr">
        <is>
          <t>官方政策信息</t>
        </is>
      </c>
      <c r="R625" t="inlineStr">
        <is>
          <t>基层普法、宣传活动、法律咨询</t>
        </is>
      </c>
      <c r="S625" t="n">
        <v>63</v>
      </c>
      <c r="T625" t="n">
        <v>63</v>
      </c>
      <c r="U625" t="n">
        <v>63</v>
      </c>
      <c r="V625" t="inlineStr">
        <is>
          <t>否</t>
        </is>
      </c>
      <c r="W625" t="inlineStr">
        <is>
          <t>否</t>
        </is>
      </c>
      <c r="X625" t="inlineStr">
        <is>
          <t>历史导入:民族团结进步促进法舆情监测报告_统计口径修正版.xlsx；来源类型:官方实施信息；复核:63；重复:否；待核实:否</t>
        </is>
      </c>
    </row>
    <row r="626">
      <c r="A626" t="inlineStr">
        <is>
          <t>hist-08c9eacaa864792d</t>
        </is>
      </c>
      <c r="B626" s="82" t="n">
        <v>46252.9403587963</v>
      </c>
      <c r="C626" s="82" t="n">
        <v>46218</v>
      </c>
      <c r="D626" t="inlineStr">
        <is>
          <t>浙江省民族宗教事务委员会官网</t>
        </is>
      </c>
      <c r="E626" t="inlineStr">
        <is>
          <t>其他</t>
        </is>
      </c>
      <c r="F626" t="inlineStr">
        <is>
          <t>浙江省民族宗教事务委员会</t>
        </is>
      </c>
      <c r="G626" t="inlineStr">
        <is>
          <t>市县动态</t>
        </is>
      </c>
      <c r="H626" t="inlineStr">
        <is>
          <t>嘉兴市将民族事务法治化纳入全市法治政府建设总体布局，制定实施《嘉兴市民族宗教系统法治宣传教育“八五”规划》，建立县、镇、村三级书记抓民族工作责任机制，将民族事务纳入“141”基层治理体系。</t>
        </is>
      </c>
      <c r="I626" t="inlineStr">
        <is>
          <t>http://mzw.zj.gov.cn/col/col1229471611/art/2026/art_b7f35633e6a14edf89a964564c64eaf1.html</t>
        </is>
      </c>
      <c r="J626" t="inlineStr">
        <is>
          <t>浙江省嘉兴市</t>
        </is>
      </c>
      <c r="L626" t="inlineStr">
        <is>
          <t>浙江</t>
        </is>
      </c>
      <c r="O626" t="inlineStr">
        <is>
          <t>中文</t>
        </is>
      </c>
      <c r="P626" t="inlineStr">
        <is>
          <t>否</t>
        </is>
      </c>
      <c r="Q626" t="inlineStr">
        <is>
          <t>官方政策信息</t>
        </is>
      </c>
      <c r="R626" t="inlineStr">
        <is>
          <t>法治建设、基层治理、法律贯彻实施</t>
        </is>
      </c>
      <c r="S626" t="n">
        <v>63</v>
      </c>
      <c r="T626" t="n">
        <v>63</v>
      </c>
      <c r="U626" t="n">
        <v>63</v>
      </c>
      <c r="V626" t="inlineStr">
        <is>
          <t>否</t>
        </is>
      </c>
      <c r="W626" t="inlineStr">
        <is>
          <t>否</t>
        </is>
      </c>
      <c r="X626" t="inlineStr">
        <is>
          <t>历史导入:民族团结进步促进法舆情监测报告_统计口径修正版.xlsx；来源类型:官方实施信息；复核:63；重复:否；待核实:否</t>
        </is>
      </c>
    </row>
    <row r="627">
      <c r="A627" t="inlineStr">
        <is>
          <t>hist-a7f89e7be116fac2</t>
        </is>
      </c>
      <c r="B627" s="82" t="n">
        <v>46252.9403587963</v>
      </c>
      <c r="C627" s="82" t="n">
        <v>46209</v>
      </c>
      <c r="D627" t="inlineStr">
        <is>
          <t>安徽省民族宗教事务委员会官网</t>
        </is>
      </c>
      <c r="E627" t="inlineStr">
        <is>
          <t>其他</t>
        </is>
      </c>
      <c r="F627" t="inlineStr">
        <is>
          <t>安徽省民族宗教事务委员会</t>
        </is>
      </c>
      <c r="G627" t="inlineStr">
        <is>
          <t>工作动态</t>
        </is>
      </c>
      <c r="H627" t="inlineStr">
        <is>
          <t>安徽省暨合肥市民族团结进步促进法主题宣传活动启动，省委常委、统战部部长蔚盛斌出席，多部门协同、省市县联动，开展集中宣传、全域宣传、品牌宣传等活动。</t>
        </is>
      </c>
      <c r="I627" t="inlineStr">
        <is>
          <t>https://mwzjj.ah.gov.cn/content/article/40794920</t>
        </is>
      </c>
      <c r="J627" t="inlineStr">
        <is>
          <t>安徽省</t>
        </is>
      </c>
      <c r="L627" t="inlineStr">
        <is>
          <t>安徽</t>
        </is>
      </c>
      <c r="O627" t="inlineStr">
        <is>
          <t>中文</t>
        </is>
      </c>
      <c r="P627" t="inlineStr">
        <is>
          <t>否</t>
        </is>
      </c>
      <c r="Q627" t="inlineStr">
        <is>
          <t>官方政策信息</t>
        </is>
      </c>
      <c r="R627" t="inlineStr">
        <is>
          <t>宣传活动、全域普法、法律普及</t>
        </is>
      </c>
      <c r="S627" t="n">
        <v>63</v>
      </c>
      <c r="T627" t="n">
        <v>63</v>
      </c>
      <c r="U627" t="n">
        <v>63</v>
      </c>
      <c r="V627" t="inlineStr">
        <is>
          <t>否</t>
        </is>
      </c>
      <c r="W627" t="inlineStr">
        <is>
          <t>否</t>
        </is>
      </c>
      <c r="X627" t="inlineStr">
        <is>
          <t>历史导入:民族团结进步促进法舆情监测报告_统计口径修正版.xlsx；来源类型:官方实施信息；复核:63；重复:否；待核实:否</t>
        </is>
      </c>
    </row>
    <row r="628">
      <c r="A628" t="inlineStr">
        <is>
          <t>hist-8f616a8966e15db3</t>
        </is>
      </c>
      <c r="B628" s="82" t="n">
        <v>46252.9403587963</v>
      </c>
      <c r="C628" s="82" t="n">
        <v>46205</v>
      </c>
      <c r="D628" t="inlineStr">
        <is>
          <t>安徽省民族宗教事务委员会官网</t>
        </is>
      </c>
      <c r="E628" t="inlineStr">
        <is>
          <t>其他</t>
        </is>
      </c>
      <c r="F628" t="inlineStr">
        <is>
          <t>安徽省民族宗教事务委员会</t>
        </is>
      </c>
      <c r="G628" t="inlineStr">
        <is>
          <t>工作动态</t>
        </is>
      </c>
      <c r="H628" t="inlineStr">
        <is>
          <t>安徽省民宗委党组召开理论学习中心组学习（扩大）会议，专题宣讲民族团结进步促进法，与会人员围绕学习宣传贯彻法律开展交流研讨，8名同志作重点发言，随机抽点14名同志交流发言。</t>
        </is>
      </c>
      <c r="I628" t="inlineStr">
        <is>
          <t>https://mwzjj.ah.gov.cn/ztzl/mztjjbcjf/40794577.html</t>
        </is>
      </c>
      <c r="J628" t="inlineStr">
        <is>
          <t>安徽省</t>
        </is>
      </c>
      <c r="L628" t="inlineStr">
        <is>
          <t>安徽</t>
        </is>
      </c>
      <c r="O628" t="inlineStr">
        <is>
          <t>中文</t>
        </is>
      </c>
      <c r="P628" t="inlineStr">
        <is>
          <t>否</t>
        </is>
      </c>
      <c r="Q628" t="inlineStr">
        <is>
          <t>官方政策信息</t>
        </is>
      </c>
      <c r="R628" t="inlineStr">
        <is>
          <t>党组学习、专题宣讲、交流研讨</t>
        </is>
      </c>
      <c r="S628" t="n">
        <v>63</v>
      </c>
      <c r="T628" t="n">
        <v>63</v>
      </c>
      <c r="U628" t="n">
        <v>63</v>
      </c>
      <c r="V628" t="inlineStr">
        <is>
          <t>否</t>
        </is>
      </c>
      <c r="W628" t="inlineStr">
        <is>
          <t>否</t>
        </is>
      </c>
      <c r="X628" t="inlineStr">
        <is>
          <t>历史导入:民族团结进步促进法舆情监测报告_统计口径修正版.xlsx；来源类型:官方实施信息；复核:63；重复:否；待核实:否</t>
        </is>
      </c>
    </row>
    <row r="629">
      <c r="A629" t="inlineStr">
        <is>
          <t>hist-8eef9a77edfb2ee9</t>
        </is>
      </c>
      <c r="B629" s="82" t="n">
        <v>46252.9403587963</v>
      </c>
      <c r="C629" s="82" t="n">
        <v>46231</v>
      </c>
      <c r="D629" t="inlineStr">
        <is>
          <t>福建省民族与宗教事务厅官网</t>
        </is>
      </c>
      <c r="E629" t="inlineStr">
        <is>
          <t>其他</t>
        </is>
      </c>
      <c r="F629" t="inlineStr">
        <is>
          <t>福建省民族与宗教事务厅</t>
        </is>
      </c>
      <c r="G629" t="inlineStr">
        <is>
          <t>部门动态</t>
        </is>
      </c>
      <c r="H629" t="inlineStr">
        <is>
          <t>福建省民族宗教厅三个党支部联合开展主题党日活动，宣讲《中华人民共和国民族团结进步促进法》，向福籽同心工作室赠送法律读本与宣传材料，推动法律宣讲平台建设。</t>
        </is>
      </c>
      <c r="I629" t="inlineStr">
        <is>
          <t>https://mzzjt.fujian.gov.cn/xxgk/gzdt/stdt/bmdt/202607/t20260728_7193185.htm</t>
        </is>
      </c>
      <c r="J629" t="inlineStr">
        <is>
          <t>福建省</t>
        </is>
      </c>
      <c r="L629" t="inlineStr">
        <is>
          <t>福建</t>
        </is>
      </c>
      <c r="O629" t="inlineStr">
        <is>
          <t>中文</t>
        </is>
      </c>
      <c r="P629" t="inlineStr">
        <is>
          <t>否</t>
        </is>
      </c>
      <c r="Q629" t="inlineStr">
        <is>
          <t>官方政策信息</t>
        </is>
      </c>
      <c r="R629" t="inlineStr">
        <is>
          <t>主题党日、法律宣讲、基层普及</t>
        </is>
      </c>
      <c r="S629" t="n">
        <v>63</v>
      </c>
      <c r="T629" t="n">
        <v>63</v>
      </c>
      <c r="U629" t="n">
        <v>63</v>
      </c>
      <c r="V629" t="inlineStr">
        <is>
          <t>否</t>
        </is>
      </c>
      <c r="W629" t="inlineStr">
        <is>
          <t>否</t>
        </is>
      </c>
      <c r="X629" t="inlineStr">
        <is>
          <t>历史导入:民族团结进步促进法舆情监测报告_统计口径修正版.xlsx；来源类型:官方实施信息；复核:63；重复:否；待核实:否</t>
        </is>
      </c>
    </row>
    <row r="630">
      <c r="A630" t="inlineStr">
        <is>
          <t>hist-34637c58acb7ae32</t>
        </is>
      </c>
      <c r="B630" s="82" t="n">
        <v>46252.9403587963</v>
      </c>
      <c r="C630" s="82" t="n">
        <v>46204</v>
      </c>
      <c r="D630" t="inlineStr">
        <is>
          <t>江西省民族宗教事务局官网</t>
        </is>
      </c>
      <c r="E630" t="inlineStr">
        <is>
          <t>其他</t>
        </is>
      </c>
      <c r="F630" t="inlineStr">
        <is>
          <t>江西省民族宗教事务局</t>
        </is>
      </c>
      <c r="G630" t="inlineStr">
        <is>
          <t>首页动态</t>
        </is>
      </c>
      <c r="H630" t="inlineStr">
        <is>
          <t>江西省民族宗教事务局发布消息，《中华人民共和国民族团结进步促进法》国家通用语言文字和民族文字对照版出版，助力法律的多语种传播和学习。</t>
        </is>
      </c>
      <c r="I630" t="inlineStr">
        <is>
          <t>http://mzj.jiangxi.gov.cn/index.html</t>
        </is>
      </c>
      <c r="J630" t="inlineStr">
        <is>
          <t>江西省</t>
        </is>
      </c>
      <c r="L630" t="inlineStr">
        <is>
          <t>江西</t>
        </is>
      </c>
      <c r="O630" t="inlineStr">
        <is>
          <t>中文</t>
        </is>
      </c>
      <c r="P630" t="inlineStr">
        <is>
          <t>否</t>
        </is>
      </c>
      <c r="Q630" t="inlineStr">
        <is>
          <t>官方政策信息</t>
        </is>
      </c>
      <c r="R630" t="inlineStr">
        <is>
          <t>多语种出版、法律普及、少数民族语言</t>
        </is>
      </c>
      <c r="S630" t="n">
        <v>63</v>
      </c>
      <c r="T630" t="n">
        <v>63</v>
      </c>
      <c r="U630" t="n">
        <v>63</v>
      </c>
      <c r="V630" t="inlineStr">
        <is>
          <t>否</t>
        </is>
      </c>
      <c r="W630" t="inlineStr">
        <is>
          <t>否</t>
        </is>
      </c>
      <c r="X630" t="inlineStr">
        <is>
          <t>历史导入:民族团结进步促进法舆情监测报告_统计口径修正版.xlsx；来源类型:官方实施信息；复核:63；重复:否；待核实:否</t>
        </is>
      </c>
    </row>
    <row r="631">
      <c r="A631" t="inlineStr">
        <is>
          <t>hist-414df8a1bd98f848</t>
        </is>
      </c>
      <c r="B631" s="82" t="n">
        <v>46252.9403587963</v>
      </c>
      <c r="C631" s="82" t="n">
        <v>46230</v>
      </c>
      <c r="D631" t="inlineStr">
        <is>
          <t>江西省民族宗教事务局官网</t>
        </is>
      </c>
      <c r="E631" t="inlineStr">
        <is>
          <t>其他</t>
        </is>
      </c>
      <c r="F631" t="inlineStr">
        <is>
          <t>江西省民族宗教事务局</t>
        </is>
      </c>
      <c r="G631" t="inlineStr">
        <is>
          <t>市县动态</t>
        </is>
      </c>
      <c r="H631" t="inlineStr">
        <is>
          <t>都昌县多举措开展《中华人民共和国民族团结进步促进法》宣传贯彻工作，通过高位统筹、依托载体宣传、沉浸式普法等方式，推动法律学习宣传走深走实。</t>
        </is>
      </c>
      <c r="I631" t="inlineStr">
        <is>
          <t>http://mzj.jiangxi.gov.cn/jxsmzzjswj/xxxcgcmztjjbcjf/pc/list.html</t>
        </is>
      </c>
      <c r="J631" t="inlineStr">
        <is>
          <t>江西省九江市都昌县</t>
        </is>
      </c>
      <c r="L631" t="inlineStr">
        <is>
          <t>江西</t>
        </is>
      </c>
      <c r="O631" t="inlineStr">
        <is>
          <t>中文</t>
        </is>
      </c>
      <c r="P631" t="inlineStr">
        <is>
          <t>否</t>
        </is>
      </c>
      <c r="Q631" t="inlineStr">
        <is>
          <t>官方政策信息</t>
        </is>
      </c>
      <c r="R631" t="inlineStr">
        <is>
          <t>基层宣传、普法工作、法律普及</t>
        </is>
      </c>
      <c r="S631" t="n">
        <v>63</v>
      </c>
      <c r="T631" t="n">
        <v>63</v>
      </c>
      <c r="U631" t="n">
        <v>63</v>
      </c>
      <c r="V631" t="inlineStr">
        <is>
          <t>否</t>
        </is>
      </c>
      <c r="W631" t="inlineStr">
        <is>
          <t>否</t>
        </is>
      </c>
      <c r="X631" t="inlineStr">
        <is>
          <t>历史导入:民族团结进步促进法舆情监测报告_统计口径修正版.xlsx；来源类型:官方实施信息；复核:63；重复:否；待核实:否</t>
        </is>
      </c>
    </row>
    <row r="632">
      <c r="A632" t="inlineStr">
        <is>
          <t>hist-6c454ace7884cf12</t>
        </is>
      </c>
      <c r="B632" s="82" t="n">
        <v>46252.9403587963</v>
      </c>
      <c r="C632" s="82" t="n">
        <v>46206</v>
      </c>
      <c r="D632" t="inlineStr">
        <is>
          <t>国家民族事务委员会官网</t>
        </is>
      </c>
      <c r="E632" t="inlineStr">
        <is>
          <t>其他</t>
        </is>
      </c>
      <c r="F632" t="inlineStr">
        <is>
          <t>国家民族事务委员会</t>
        </is>
      </c>
      <c r="G632" t="inlineStr">
        <is>
          <t>地方动态</t>
        </is>
      </c>
      <c r="H632" t="inlineStr">
        <is>
          <t>山东省委统战部、省委宣传部、省民族宗教委、省司法厅四部门联合印发通知，细化明确十项重点工作任务，制定专题宣讲方案，组建省、市、县三级宣讲队伍，全方位掀起学习宣传贯彻热潮。</t>
        </is>
      </c>
      <c r="I632" t="inlineStr">
        <is>
          <t>https://www.neac.gov.cn/seac/xwzx/202607/1192269.shtml</t>
        </is>
      </c>
      <c r="J632" t="inlineStr">
        <is>
          <t>山东省</t>
        </is>
      </c>
      <c r="L632" t="inlineStr">
        <is>
          <t>山东</t>
        </is>
      </c>
      <c r="O632" t="inlineStr">
        <is>
          <t>中文</t>
        </is>
      </c>
      <c r="P632" t="inlineStr">
        <is>
          <t>否</t>
        </is>
      </c>
      <c r="Q632" t="inlineStr">
        <is>
          <t>官方政策信息</t>
        </is>
      </c>
      <c r="R632" t="inlineStr">
        <is>
          <t>十项举措、宣讲体系、法律贯彻实施</t>
        </is>
      </c>
      <c r="S632" t="n">
        <v>63</v>
      </c>
      <c r="T632" t="n">
        <v>63</v>
      </c>
      <c r="U632" t="n">
        <v>63</v>
      </c>
      <c r="V632" t="inlineStr">
        <is>
          <t>否</t>
        </is>
      </c>
      <c r="W632" t="inlineStr">
        <is>
          <t>否</t>
        </is>
      </c>
      <c r="X632" t="inlineStr">
        <is>
          <t>历史导入:民族团结进步促进法舆情监测报告_统计口径修正版.xlsx；来源类型:官方实施信息；复核:63；重复:否；待核实:否</t>
        </is>
      </c>
    </row>
    <row r="633">
      <c r="A633" t="inlineStr">
        <is>
          <t>hist-a8f78a4c348eee15</t>
        </is>
      </c>
      <c r="B633" s="82" t="n">
        <v>46252.9403587963</v>
      </c>
      <c r="C633" s="82" t="n">
        <v>46234</v>
      </c>
      <c r="D633" t="inlineStr">
        <is>
          <t>河南省民族宗教事务委员会官网</t>
        </is>
      </c>
      <c r="E633" t="inlineStr">
        <is>
          <t>其他</t>
        </is>
      </c>
      <c r="F633" t="inlineStr">
        <is>
          <t>河南省民族宗教事务委员会</t>
        </is>
      </c>
      <c r="G633" t="inlineStr">
        <is>
          <t>机关动态</t>
        </is>
      </c>
      <c r="H633" t="inlineStr">
        <is>
          <t>河南省民族宗教工作高质量发展培训班在大别山干部学院举办，重点围绕《中华人民共和国民族团结进步促进法》、铸牢中华民族共同体意识等内容开展专题辅导，提升参训干部运用法治思维和法治方式处置民族宗教领域问题的能力。</t>
        </is>
      </c>
      <c r="I633" t="inlineStr">
        <is>
          <t>https://hnsmzzjw.henan.gov.cn/2026/07-31/3381331.html</t>
        </is>
      </c>
      <c r="J633" t="inlineStr">
        <is>
          <t>河南省</t>
        </is>
      </c>
      <c r="L633" t="inlineStr">
        <is>
          <t>河南</t>
        </is>
      </c>
      <c r="O633" t="inlineStr">
        <is>
          <t>中文</t>
        </is>
      </c>
      <c r="P633" t="inlineStr">
        <is>
          <t>否</t>
        </is>
      </c>
      <c r="Q633" t="inlineStr">
        <is>
          <t>官方政策信息</t>
        </is>
      </c>
      <c r="R633" t="inlineStr">
        <is>
          <t>干部培训、法律辅导、能力提升</t>
        </is>
      </c>
      <c r="S633" t="n">
        <v>63</v>
      </c>
      <c r="T633" t="n">
        <v>63</v>
      </c>
      <c r="U633" t="n">
        <v>63</v>
      </c>
      <c r="V633" t="inlineStr">
        <is>
          <t>否</t>
        </is>
      </c>
      <c r="W633" t="inlineStr">
        <is>
          <t>否</t>
        </is>
      </c>
      <c r="X633" t="inlineStr">
        <is>
          <t>历史导入:民族团结进步促进法舆情监测报告_统计口径修正版.xlsx；来源类型:官方实施信息；复核:63；重复:否；待核实:否</t>
        </is>
      </c>
    </row>
    <row r="634">
      <c r="A634" t="inlineStr">
        <is>
          <t>hist-fb52c8b1c0a8d2bf</t>
        </is>
      </c>
      <c r="B634" s="82" t="n">
        <v>46252.9403587963</v>
      </c>
      <c r="C634" s="82" t="n">
        <v>46214</v>
      </c>
      <c r="D634" t="inlineStr">
        <is>
          <t>搜狐视频</t>
        </is>
      </c>
      <c r="E634" t="inlineStr">
        <is>
          <t>其他</t>
        </is>
      </c>
      <c r="F634" t="inlineStr">
        <is>
          <t>搜狐视频</t>
        </is>
      </c>
      <c r="G634" t="inlineStr">
        <is>
          <t>法治观察</t>
        </is>
      </c>
      <c r="H634" t="inlineStr">
        <is>
          <t>视频评论指出过去有些餐馆只接待特定民族汉族游客被拒之门外超市里洗护用品文具零食全标清真景区食堂设封闭区非本族群众进不去。法律明确尊重习俗不等于放任习俗侵入公共空间并列举微山美食街126家清真商户三年零设置民族限制全部向公众开放的正面案例。</t>
        </is>
      </c>
      <c r="I634" t="inlineStr">
        <is>
          <t>https://video.sohu.com/766854321098/</t>
        </is>
      </c>
      <c r="J634" t="inlineStr">
        <is>
          <t>全国</t>
        </is>
      </c>
      <c r="O634" t="inlineStr">
        <is>
          <t>中文</t>
        </is>
      </c>
      <c r="P634" t="inlineStr">
        <is>
          <t>否</t>
        </is>
      </c>
      <c r="Q634" t="inlineStr">
        <is>
          <t>支持认可</t>
        </is>
      </c>
      <c r="R634" t="inlineStr">
        <is>
          <t>清真泛化治理、公共空间规范</t>
        </is>
      </c>
      <c r="S634" t="n">
        <v>0</v>
      </c>
      <c r="T634" t="n">
        <v>0</v>
      </c>
      <c r="U634" t="n">
        <v>0</v>
      </c>
      <c r="V634" t="inlineStr">
        <is>
          <t>否</t>
        </is>
      </c>
      <c r="W634" t="inlineStr">
        <is>
          <t>是</t>
        </is>
      </c>
      <c r="X634" t="inlineStr">
        <is>
          <t>历史导入:民族团结进步促进法舆情监测报告_统计口径修正版.xlsx；来源类型:公众意见</t>
        </is>
      </c>
    </row>
    <row r="635">
      <c r="A635" t="inlineStr">
        <is>
          <t>hist-7c48af91faed893a</t>
        </is>
      </c>
      <c r="B635" s="82" t="n">
        <v>46252.9403587963</v>
      </c>
      <c r="C635" s="82" t="n">
        <v>46208</v>
      </c>
      <c r="D635" t="inlineStr">
        <is>
          <t>微博</t>
        </is>
      </c>
      <c r="E635" t="inlineStr">
        <is>
          <t>微博/热榜</t>
        </is>
      </c>
      <c r="F635" t="inlineStr">
        <is>
          <t>微博</t>
        </is>
      </c>
      <c r="G635" t="inlineStr">
        <is>
          <t>梅新育</t>
        </is>
      </c>
      <c r="H635" t="inlineStr">
        <is>
          <t>博主回顾当年推广国家通用语言文字遇到的阻力感慨俱往矣认为新法施行是语言政策的重要进步。微博评论区出现不同声音部分网友支持推广国家通用语言文字也有网友关注少数民族语言文字保护问题。</t>
        </is>
      </c>
      <c r="I635" t="inlineStr">
        <is>
          <t>https://weibo.com/1259914383/5316216194596877</t>
        </is>
      </c>
      <c r="J635" t="inlineStr">
        <is>
          <t>全国</t>
        </is>
      </c>
      <c r="O635" t="inlineStr">
        <is>
          <t>中文</t>
        </is>
      </c>
      <c r="P635" t="inlineStr">
        <is>
          <t>否</t>
        </is>
      </c>
      <c r="Q635" t="inlineStr">
        <is>
          <t>咨询疑问</t>
        </is>
      </c>
      <c r="R635" t="inlineStr">
        <is>
          <t>国家通用语言文字推广、少数民族语言保护</t>
        </is>
      </c>
      <c r="S635" t="n">
        <v>0</v>
      </c>
      <c r="T635" t="n">
        <v>0</v>
      </c>
      <c r="U635" t="n">
        <v>0</v>
      </c>
      <c r="V635" t="inlineStr">
        <is>
          <t>否</t>
        </is>
      </c>
      <c r="W635" t="inlineStr">
        <is>
          <t>是</t>
        </is>
      </c>
      <c r="X635" t="inlineStr">
        <is>
          <t>历史导入:民族团结进步促进法舆情监测报告_统计口径修正版.xlsx；来源类型:公众意见；复核:复核结果：该条目为对语言政策的咨询疑问，非明确批评或投诉。评论区存在不同声音，但整体为理性讨论。具体链接：https://weibo.com/1259914383/5316216194596877</t>
        </is>
      </c>
    </row>
    <row r="636">
      <c r="A636" t="inlineStr">
        <is>
          <t>hist-a5b89812c7811dcf</t>
        </is>
      </c>
      <c r="B636" s="82" t="n">
        <v>46252.9403587963</v>
      </c>
      <c r="C636" s="82" t="n">
        <v>46213</v>
      </c>
      <c r="D636" t="inlineStr">
        <is>
          <t>今日头条</t>
        </is>
      </c>
      <c r="E636" t="inlineStr">
        <is>
          <t>贴吧/头条/新闻评论</t>
        </is>
      </c>
      <c r="F636" t="inlineStr">
        <is>
          <t>今日头条</t>
        </is>
      </c>
      <c r="G636" t="inlineStr">
        <is>
          <t>法治观察者</t>
        </is>
      </c>
      <c r="H636" t="inlineStr">
        <is>
          <t>有网民举报某抖音主播在直播中多次攻击歌手云朵的羌族身份将羌族恶意篡改为抢族公开羞辱整个民族群体。举报材料引用民族团结进步促进法相关条款认为该主播行为涉嫌煽动民族仇恨民族歧视。</t>
        </is>
      </c>
      <c r="I636" t="inlineStr">
        <is>
          <t>https://www.toutiao.com/article/7670123456789/</t>
        </is>
      </c>
      <c r="J636" t="inlineStr">
        <is>
          <t>四川</t>
        </is>
      </c>
      <c r="L636" t="inlineStr">
        <is>
          <t>四川</t>
        </is>
      </c>
      <c r="O636" t="inlineStr">
        <is>
          <t>中文</t>
        </is>
      </c>
      <c r="P636" t="inlineStr">
        <is>
          <t>否</t>
        </is>
      </c>
      <c r="Q636" t="inlineStr">
        <is>
          <t>投诉维权</t>
        </is>
      </c>
      <c r="R636" t="inlineStr">
        <is>
          <t>网络民族歧视、法律适用</t>
        </is>
      </c>
      <c r="S636" t="n">
        <v>0</v>
      </c>
      <c r="T636" t="n">
        <v>0</v>
      </c>
      <c r="U636" t="n">
        <v>0</v>
      </c>
      <c r="V636" t="inlineStr">
        <is>
          <t>否</t>
        </is>
      </c>
      <c r="W636" t="inlineStr">
        <is>
          <t>是</t>
        </is>
      </c>
      <c r="X636" t="inlineStr">
        <is>
          <t>历史导入:民族团结进步促进法舆情监测报告_统计口径修正版.xlsx；来源类型:公众意见</t>
        </is>
      </c>
    </row>
    <row r="637">
      <c r="A637" t="inlineStr">
        <is>
          <t>hist-b3480b9c7112bb9e</t>
        </is>
      </c>
      <c r="B637" s="82" t="n">
        <v>46252.9403587963</v>
      </c>
      <c r="C637" s="82" t="n">
        <v>46205</v>
      </c>
      <c r="D637" t="inlineStr">
        <is>
          <t>云南网</t>
        </is>
      </c>
      <c r="E637" t="inlineStr">
        <is>
          <t>其他</t>
        </is>
      </c>
      <c r="F637" t="inlineStr">
        <is>
          <t>云南网</t>
        </is>
      </c>
      <c r="G637" t="inlineStr">
        <is>
          <t>彩云网评</t>
        </is>
      </c>
      <c r="H637" t="inlineStr">
        <is>
          <t>云南大学法学院学生周世杰、刘贽搏的手写信建议被写入民族团结进步促进法第六十四条。两人在普洱市宁洱调研时发现当地已出台民族团结誓词碑文化保护传承条例深受触动后向全国人大提交建议。周世杰表示没想到课本里的全过程人民民主就这么真切地发生在我们身上。</t>
        </is>
      </c>
      <c r="I637" t="inlineStr">
        <is>
          <t>https://www.yunnan.cn/</t>
        </is>
      </c>
      <c r="J637" t="inlineStr">
        <is>
          <t>云南</t>
        </is>
      </c>
      <c r="L637" t="inlineStr">
        <is>
          <t>云南</t>
        </is>
      </c>
      <c r="O637" t="inlineStr">
        <is>
          <t>中文</t>
        </is>
      </c>
      <c r="P637" t="inlineStr">
        <is>
          <t>否</t>
        </is>
      </c>
      <c r="Q637" t="inlineStr">
        <is>
          <t>支持认可</t>
        </is>
      </c>
      <c r="R637" t="inlineStr">
        <is>
          <t>青年参与立法、全过程人民民主</t>
        </is>
      </c>
      <c r="S637" t="n">
        <v>0</v>
      </c>
      <c r="T637" t="n">
        <v>0</v>
      </c>
      <c r="U637" t="n">
        <v>0</v>
      </c>
      <c r="V637" t="inlineStr">
        <is>
          <t>否</t>
        </is>
      </c>
      <c r="W637" t="inlineStr">
        <is>
          <t>是</t>
        </is>
      </c>
      <c r="X637" t="inlineStr">
        <is>
          <t>历史导入:民族团结进步促进法舆情监测报告_统计口径修正版.xlsx；来源类型:公众意见</t>
        </is>
      </c>
    </row>
    <row r="638">
      <c r="A638" t="inlineStr">
        <is>
          <t>hist-8f4272f02b76d331</t>
        </is>
      </c>
      <c r="B638" s="82" t="n">
        <v>46252.9403587963</v>
      </c>
      <c r="C638" s="82" t="n">
        <v>46205</v>
      </c>
      <c r="D638" t="inlineStr">
        <is>
          <t>中国人大网</t>
        </is>
      </c>
      <c r="E638" t="inlineStr">
        <is>
          <t>其他</t>
        </is>
      </c>
      <c r="F638" t="inlineStr">
        <is>
          <t>中国人大网</t>
        </is>
      </c>
      <c r="G638" t="inlineStr">
        <is>
          <t>基层立法联系点</t>
        </is>
      </c>
      <c r="H638" t="inlineStr">
        <is>
          <t>广西三江基层立法联系点收集200条意见建议7条被立法机关吸纳。其中广西柳州融水村民建议发展少数民族地区旅游业被采纳广西师范大学教授建议将各族群众统一改为各族人民也被采纳。村民蓝远克将村民心声写成建议上报表示大家的心声被听到了。</t>
        </is>
      </c>
      <c r="I638" t="inlineStr">
        <is>
          <t>https://www.npc.gov.cn/</t>
        </is>
      </c>
      <c r="J638" t="inlineStr">
        <is>
          <t>广西</t>
        </is>
      </c>
      <c r="L638" t="inlineStr">
        <is>
          <t>广西</t>
        </is>
      </c>
      <c r="O638" t="inlineStr">
        <is>
          <t>中文</t>
        </is>
      </c>
      <c r="P638" t="inlineStr">
        <is>
          <t>否</t>
        </is>
      </c>
      <c r="Q638" t="inlineStr">
        <is>
          <t>支持认可</t>
        </is>
      </c>
      <c r="R638" t="inlineStr">
        <is>
          <t>基层民意入法、地方立法衔接</t>
        </is>
      </c>
      <c r="S638" t="n">
        <v>0</v>
      </c>
      <c r="T638" t="n">
        <v>0</v>
      </c>
      <c r="U638" t="n">
        <v>0</v>
      </c>
      <c r="V638" t="inlineStr">
        <is>
          <t>否</t>
        </is>
      </c>
      <c r="W638" t="inlineStr">
        <is>
          <t>是</t>
        </is>
      </c>
      <c r="X638" t="inlineStr">
        <is>
          <t>历史导入:民族团结进步促进法舆情监测报告_统计口径修正版.xlsx；来源类型:公众意见</t>
        </is>
      </c>
    </row>
    <row r="639">
      <c r="A639" t="inlineStr">
        <is>
          <t>hist-eb6df8623935a430</t>
        </is>
      </c>
      <c r="B639" s="82" t="n">
        <v>46252.9403587963</v>
      </c>
      <c r="D639" t="inlineStr">
        <is>
          <t>B站/相关视频评论</t>
        </is>
      </c>
      <c r="E639" t="inlineStr">
        <is>
          <t>知乎/B站/百度知道</t>
        </is>
      </c>
      <c r="F639" t="inlineStr">
        <is>
          <t>截图+原话</t>
        </is>
      </c>
      <c r="G639" t="inlineStr">
        <is>
          <t>天津相关视频母帖</t>
        </is>
      </c>
      <c r="H639" t="inlineStr">
        <is>
          <t>他们确实会举报，研究这个就是为了举报</t>
        </is>
      </c>
      <c r="I639" t="inlineStr">
        <is>
          <t>天津补测截图/母帖证据留存</t>
        </is>
      </c>
      <c r="J639" t="inlineStr">
        <is>
          <t>天津</t>
        </is>
      </c>
      <c r="L639" t="inlineStr">
        <is>
          <t>天津</t>
        </is>
      </c>
      <c r="O639" t="inlineStr">
        <is>
          <t>中文</t>
        </is>
      </c>
      <c r="P639" t="inlineStr">
        <is>
          <t>否</t>
        </is>
      </c>
      <c r="Q639" t="inlineStr">
        <is>
          <t>担忧影响</t>
        </is>
      </c>
      <c r="R639" t="inlineStr">
        <is>
          <t>举报/执行风险</t>
        </is>
      </c>
      <c r="S639" t="n">
        <v>0</v>
      </c>
      <c r="T639" t="n">
        <v>0</v>
      </c>
      <c r="U639" t="n">
        <v>0</v>
      </c>
      <c r="V639" t="inlineStr">
        <is>
          <t>否</t>
        </is>
      </c>
      <c r="W639" t="inlineStr">
        <is>
          <t>是</t>
        </is>
      </c>
      <c r="X639" t="inlineStr">
        <is>
          <t>历史导入:民族团结进步促进法舆情统计最终版_非支持原话全量汇总最终版.xlsx；证据状态:补测有效证据；记录类型:截图+原话；复核:地区补测新增；评论者IP不用于省级归属；来源:民族团结进步促进法舆情统计_含非支持来源与原话_最终完整核查版.xlsx/非支持来源与原话；重复来源数:1</t>
        </is>
      </c>
    </row>
    <row r="640">
      <c r="A640" t="inlineStr">
        <is>
          <t>hist-f243da634d8eb189</t>
        </is>
      </c>
      <c r="B640" s="82" t="n">
        <v>46252.9403587963</v>
      </c>
      <c r="D640" t="inlineStr">
        <is>
          <t>B站/相关视频评论</t>
        </is>
      </c>
      <c r="E640" t="inlineStr">
        <is>
          <t>知乎/B站/百度知道</t>
        </is>
      </c>
      <c r="F640" t="inlineStr">
        <is>
          <t>截图+原话</t>
        </is>
      </c>
      <c r="G640" t="inlineStr">
        <is>
          <t>天津相关视频母帖</t>
        </is>
      </c>
      <c r="H640" t="inlineStr">
        <is>
          <t>估计是研究找漏洞，找BUG。</t>
        </is>
      </c>
      <c r="I640" t="inlineStr">
        <is>
          <t>天津补测截图/母帖证据留存</t>
        </is>
      </c>
      <c r="J640" t="inlineStr">
        <is>
          <t>天津</t>
        </is>
      </c>
      <c r="L640" t="inlineStr">
        <is>
          <t>天津</t>
        </is>
      </c>
      <c r="O640" t="inlineStr">
        <is>
          <t>中文</t>
        </is>
      </c>
      <c r="P640" t="inlineStr">
        <is>
          <t>否</t>
        </is>
      </c>
      <c r="Q640" t="inlineStr">
        <is>
          <t>担忧影响</t>
        </is>
      </c>
      <c r="R640" t="inlineStr">
        <is>
          <t>法律执行/利用漏洞</t>
        </is>
      </c>
      <c r="S640" t="n">
        <v>0</v>
      </c>
      <c r="T640" t="n">
        <v>0</v>
      </c>
      <c r="U640" t="n">
        <v>0</v>
      </c>
      <c r="V640" t="inlineStr">
        <is>
          <t>否</t>
        </is>
      </c>
      <c r="W640" t="inlineStr">
        <is>
          <t>是</t>
        </is>
      </c>
      <c r="X640" t="inlineStr">
        <is>
          <t>历史导入:民族团结进步促进法舆情统计最终版_非支持原话全量汇总最终版.xlsx；证据状态:补测有效证据；记录类型:截图+原话；复核:地区补测新增；评论者IP不用于省级归属；来源:民族团结进步促进法舆情统计_含非支持来源与原话_最终完整核查版.xlsx/非支持来源与原话；重复来源数:1</t>
        </is>
      </c>
    </row>
    <row r="641">
      <c r="A641" t="inlineStr">
        <is>
          <t>hist-efd26bb056b84889</t>
        </is>
      </c>
      <c r="B641" s="82" t="n">
        <v>46252.9403587963</v>
      </c>
      <c r="D641" t="inlineStr">
        <is>
          <t>B站/相关视频评论</t>
        </is>
      </c>
      <c r="E641" t="inlineStr">
        <is>
          <t>知乎/B站/百度知道</t>
        </is>
      </c>
      <c r="F641" t="inlineStr">
        <is>
          <t>截图+原话</t>
        </is>
      </c>
      <c r="G641" t="inlineStr">
        <is>
          <t>天津相关视频母帖</t>
        </is>
      </c>
      <c r="H641" t="inlineStr">
        <is>
          <t>我持怀疑态度</t>
        </is>
      </c>
      <c r="I641" t="inlineStr">
        <is>
          <t>天津补测截图/母帖证据留存</t>
        </is>
      </c>
      <c r="J641" t="inlineStr">
        <is>
          <t>天津</t>
        </is>
      </c>
      <c r="L641" t="inlineStr">
        <is>
          <t>天津</t>
        </is>
      </c>
      <c r="O641" t="inlineStr">
        <is>
          <t>中文</t>
        </is>
      </c>
      <c r="P641" t="inlineStr">
        <is>
          <t>否</t>
        </is>
      </c>
      <c r="Q641" t="inlineStr">
        <is>
          <t>担忧影响</t>
        </is>
      </c>
      <c r="R641" t="inlineStr">
        <is>
          <t>法律实施效果</t>
        </is>
      </c>
      <c r="S641" t="n">
        <v>0</v>
      </c>
      <c r="T641" t="n">
        <v>0</v>
      </c>
      <c r="U641" t="n">
        <v>0</v>
      </c>
      <c r="V641" t="inlineStr">
        <is>
          <t>否</t>
        </is>
      </c>
      <c r="W641" t="inlineStr">
        <is>
          <t>是</t>
        </is>
      </c>
      <c r="X641" t="inlineStr">
        <is>
          <t>历史导入:民族团结进步促进法舆情统计最终版_非支持原话全量汇总最终版.xlsx；证据状态:补测有效证据；记录类型:截图+原话；复核:地区补测新增；评论者IP不用于省级归属；来源:民族团结进步促进法舆情统计_含非支持来源与原话_最终完整核查版.xlsx/非支持来源与原话；重复来源数:1</t>
        </is>
      </c>
    </row>
    <row r="642">
      <c r="A642" t="inlineStr">
        <is>
          <t>hist-0f2496ea2b8d44af</t>
        </is>
      </c>
      <c r="B642" s="82" t="n">
        <v>46252.9403587963</v>
      </c>
      <c r="D642" t="inlineStr">
        <is>
          <t>B站/相关视频评论</t>
        </is>
      </c>
      <c r="E642" t="inlineStr">
        <is>
          <t>知乎/B站/百度知道</t>
        </is>
      </c>
      <c r="F642" t="inlineStr">
        <is>
          <t>截图+原话</t>
        </is>
      </c>
      <c r="G642" t="inlineStr">
        <is>
          <t>天津相关视频母帖</t>
        </is>
      </c>
      <c r="H642" t="inlineStr">
        <is>
          <t>拿着我们给的加补优，对方有的是时间和精力做这些夺取话语权的事。我们呢？不但要养家糊口，还要负责所有支出。这世道，不应该是这样的！</t>
        </is>
      </c>
      <c r="I642" t="inlineStr">
        <is>
          <t>天津补测截图/母帖证据留存</t>
        </is>
      </c>
      <c r="J642" t="inlineStr">
        <is>
          <t>天津</t>
        </is>
      </c>
      <c r="L642" t="inlineStr">
        <is>
          <t>天津</t>
        </is>
      </c>
      <c r="O642" t="inlineStr">
        <is>
          <t>中文</t>
        </is>
      </c>
      <c r="P642" t="inlineStr">
        <is>
          <t>否</t>
        </is>
      </c>
      <c r="Q642" t="inlineStr">
        <is>
          <t>公平争议</t>
        </is>
      </c>
      <c r="R642" t="inlineStr">
        <is>
          <t>民族政策公平</t>
        </is>
      </c>
      <c r="S642" t="n">
        <v>0</v>
      </c>
      <c r="T642" t="n">
        <v>0</v>
      </c>
      <c r="U642" t="n">
        <v>0</v>
      </c>
      <c r="V642" t="inlineStr">
        <is>
          <t>否</t>
        </is>
      </c>
      <c r="W642" t="inlineStr">
        <is>
          <t>是</t>
        </is>
      </c>
      <c r="X642" t="inlineStr">
        <is>
          <t>历史导入:民族团结进步促进法舆情统计最终版_非支持原话全量汇总最终版.xlsx；证据状态:补测有效证据；记录类型:截图+原话；复核:地区补测新增；评论者IP不用于省级归属；来源:民族团结进步促进法舆情统计_含非支持来源与原话_最终完整核查版.xlsx/非支持来源与原话；重复来源数:1</t>
        </is>
      </c>
    </row>
    <row r="643">
      <c r="A643" t="inlineStr">
        <is>
          <t>hist-ba3769845c06220a</t>
        </is>
      </c>
      <c r="B643" s="82" t="n">
        <v>46252.9403587963</v>
      </c>
      <c r="C643" s="82" t="n">
        <v>46209</v>
      </c>
      <c r="D643" t="inlineStr">
        <is>
          <t>微信视频号</t>
        </is>
      </c>
      <c r="E643" t="inlineStr">
        <is>
          <t>微信公众号/视频号</t>
        </is>
      </c>
      <c r="F643" t="inlineStr">
        <is>
          <t>原始明细证据</t>
        </is>
      </c>
      <c r="G643" t="inlineStr">
        <is>
          <t>达来8184</t>
        </is>
      </c>
      <c r="H643" t="inlineStr">
        <is>
          <t>穿上民族服装就少数民族了？语言文字哪儿去了？</t>
        </is>
      </c>
      <c r="I643" t="inlineStr">
        <is>
          <t>https://weixin.qq.com/sph/A6M2TynPVt</t>
        </is>
      </c>
      <c r="J643" t="inlineStr">
        <is>
          <t>上饶</t>
        </is>
      </c>
      <c r="L643" t="inlineStr">
        <is>
          <t>江西</t>
        </is>
      </c>
      <c r="O643" t="inlineStr">
        <is>
          <t>中文</t>
        </is>
      </c>
      <c r="P643" t="inlineStr">
        <is>
          <t>否</t>
        </is>
      </c>
      <c r="Q643" t="inlineStr">
        <is>
          <t>明确批评</t>
        </is>
      </c>
      <c r="R643" t="inlineStr">
        <is>
          <t>民族语言文化</t>
        </is>
      </c>
      <c r="S643" t="n">
        <v>0</v>
      </c>
      <c r="T643" t="n">
        <v>0</v>
      </c>
      <c r="U643" t="n">
        <v>0</v>
      </c>
      <c r="V643" t="inlineStr">
        <is>
          <t>否</t>
        </is>
      </c>
      <c r="W643" t="inlineStr">
        <is>
          <t>是</t>
        </is>
      </c>
      <c r="X643" t="inlineStr">
        <is>
          <t>历史导入:民族团结进步促进法舆情统计最终版_非支持原话全量汇总最终版.xlsx；证据状态:补测有效证据；记录类型:原始明细证据；复核:对母帖中民族呈现方式提出明确质疑，涉及民族语言文字与文化表达；计入非支持/问题型意见。；来源:189a6934-8ab0-4700-997f-e39ed46448b7.xlsx；d31b5214-3c74-4464-9f36-1fbc53119b4c.xlsx；民族团结进步促进法舆情统计_含非支持来源与原话_最终完整核查版.xlsx/江西有效公众意见；非支持来源与原话；重复来源数:3</t>
        </is>
      </c>
    </row>
    <row r="644">
      <c r="A644" t="inlineStr">
        <is>
          <t>hist-47d4be3a6215d8d5</t>
        </is>
      </c>
      <c r="B644" s="82" t="n">
        <v>46252.9403587963</v>
      </c>
      <c r="C644" s="82" t="n">
        <v>46215</v>
      </c>
      <c r="D644" t="inlineStr">
        <is>
          <t>B站</t>
        </is>
      </c>
      <c r="E644" t="inlineStr">
        <is>
          <t>知乎/B站/百度知道</t>
        </is>
      </c>
      <c r="F644" t="inlineStr">
        <is>
          <t>逐条直接证据</t>
        </is>
      </c>
      <c r="G644" t="inlineStr">
        <is>
          <t>咸鱼弟弟dd</t>
        </is>
      </c>
      <c r="H644" t="inlineStr">
        <is>
          <t>评论区：从描述来看感觉有点激进，希望后面的司法解释能够做得好，尽量瞄准正确的对象</t>
        </is>
      </c>
      <c r="I644" t="inlineStr">
        <is>
          <t>母视频具体链接待补（原文件仅留存“B站 2026-07-12”）</t>
        </is>
      </c>
      <c r="J644" t="inlineStr">
        <is>
          <t>全国</t>
        </is>
      </c>
      <c r="O644" t="inlineStr">
        <is>
          <t>中文</t>
        </is>
      </c>
      <c r="P644" t="inlineStr">
        <is>
          <t>否</t>
        </is>
      </c>
      <c r="Q644" t="inlineStr">
        <is>
          <t>担忧影响</t>
        </is>
      </c>
      <c r="R644" t="inlineStr">
        <is>
          <t>法律实施与执行</t>
        </is>
      </c>
      <c r="S644" t="n">
        <v>0</v>
      </c>
      <c r="T644" t="n">
        <v>0</v>
      </c>
      <c r="U644" t="n">
        <v>0</v>
      </c>
      <c r="V644" t="inlineStr">
        <is>
          <t>否</t>
        </is>
      </c>
      <c r="W644" t="inlineStr">
        <is>
          <t>是</t>
        </is>
      </c>
      <c r="X644" t="inlineStr">
        <is>
          <t>历史导入:民族团结进步促进法舆情统计最终版_非支持原话全量汇总最终版.xlsx；证据状态:原始复核证据；记录类型:逐条直接证据；复核:已根据原评论文本复核：该评论明确针对本法执行及后续司法解释表达担忧，应恢复计入公众统计。当前文件未保留母视频具体URL和截图，需补证。；来源:新疆区州网页与视频号舆情监测_最终修正版(1).xlsx/第一部分_有效舆情明细；重复来源数:1</t>
        </is>
      </c>
    </row>
    <row r="645">
      <c r="A645" t="inlineStr">
        <is>
          <t>hist-d43d60b08f639ef3</t>
        </is>
      </c>
      <c r="B645" s="82" t="n">
        <v>46252.9403587963</v>
      </c>
      <c r="C645" s="82" t="n">
        <v>46216</v>
      </c>
      <c r="D645" t="inlineStr">
        <is>
          <t>B站</t>
        </is>
      </c>
      <c r="E645" t="inlineStr">
        <is>
          <t>知乎/B站/百度知道</t>
        </is>
      </c>
      <c r="F645" t="inlineStr">
        <is>
          <t>逐条直接证据</t>
        </is>
      </c>
      <c r="G645" t="inlineStr">
        <is>
          <t>谁谓我无忧我忧谁人知</t>
        </is>
      </c>
      <c r="H645" t="inlineStr">
        <is>
          <t>评论区：特朗普说了不该说的话，可以逮捕？</t>
        </is>
      </c>
      <c r="I645" t="inlineStr">
        <is>
          <t>B站 2026-07-13</t>
        </is>
      </c>
      <c r="J645" t="inlineStr">
        <is>
          <t>全国</t>
        </is>
      </c>
      <c r="O645" t="inlineStr">
        <is>
          <t>中文</t>
        </is>
      </c>
      <c r="P645" t="inlineStr">
        <is>
          <t>否</t>
        </is>
      </c>
      <c r="Q645" t="inlineStr">
        <is>
          <t>咨询疑问</t>
        </is>
      </c>
      <c r="R645" t="inlineStr">
        <is>
          <t>第63条域外适用</t>
        </is>
      </c>
      <c r="S645" t="n">
        <v>0</v>
      </c>
      <c r="T645" t="n">
        <v>0</v>
      </c>
      <c r="U645" t="n">
        <v>0</v>
      </c>
      <c r="V645" t="inlineStr">
        <is>
          <t>否</t>
        </is>
      </c>
      <c r="W645" t="inlineStr">
        <is>
          <t>是</t>
        </is>
      </c>
      <c r="X645" t="inlineStr">
        <is>
          <t>历史导入:民族团结进步促进法舆情统计最终版_非支持原话全量汇总最终版.xlsx；证据状态:原始复核证据；记录类型:逐条直接证据；复核:已复核：用户就第63条域外适用提出疑问，属咨询类；态度分类无误。复核人：编号九负责人；复核时间：2026-08-06；来源:新疆区州网页与视频号舆情监测_最终修正版(1).xlsx/第一部分_有效舆情明细；重复来源数:1</t>
        </is>
      </c>
    </row>
    <row r="646">
      <c r="A646" t="inlineStr">
        <is>
          <t>hist-a65d4145e7c1c85b</t>
        </is>
      </c>
      <c r="B646" s="82" t="n">
        <v>46252.9403587963</v>
      </c>
      <c r="D646" t="inlineStr">
        <is>
          <t>今日头条</t>
        </is>
      </c>
      <c r="E646" t="inlineStr">
        <is>
          <t>贴吧/头条/新闻评论</t>
        </is>
      </c>
      <c r="F646" t="inlineStr">
        <is>
          <t>逐条直接证据</t>
        </is>
      </c>
      <c r="G646" t="inlineStr">
        <is>
          <t>法治观察者</t>
        </is>
      </c>
      <c r="H646" t="inlineStr">
        <is>
          <t>有网民举报某抖音主播在直播中多次攻击歌手云朵的羌族身份将羌族恶意篡改为抢族公开羞辱整个民族群体。举报材料引用民族团结进步促进法相关条款。</t>
        </is>
      </c>
      <c r="I646" t="inlineStr">
        <is>
          <t>https://www.toutiao.com/article/7670123456789/</t>
        </is>
      </c>
      <c r="J646" t="inlineStr">
        <is>
          <t>全国/平台维度</t>
        </is>
      </c>
      <c r="O646" t="inlineStr">
        <is>
          <t>中文</t>
        </is>
      </c>
      <c r="P646" t="inlineStr">
        <is>
          <t>否</t>
        </is>
      </c>
      <c r="Q646" t="inlineStr">
        <is>
          <t>投诉维权</t>
        </is>
      </c>
      <c r="R646" t="inlineStr">
        <is>
          <t>网络民族歧视、法律适用</t>
        </is>
      </c>
      <c r="S646" t="n">
        <v>0</v>
      </c>
      <c r="T646" t="n">
        <v>0</v>
      </c>
      <c r="U646" t="n">
        <v>0</v>
      </c>
      <c r="V646" t="inlineStr">
        <is>
          <t>否</t>
        </is>
      </c>
      <c r="W646" t="inlineStr">
        <is>
          <t>否</t>
        </is>
      </c>
      <c r="X646" t="inlineStr">
        <is>
          <t>历史导入:民族团结进步促进法舆情统计最终版_非支持原话全量汇总最终版.xlsx；证据状态:原始复核证据；记录类型:逐条直接证据；复核:已计入305总量；来源:民族团结进步促进法舆情统计_含非支持来源与原话_最终完整核查版.xlsx/非支持来源与原话；重复来源数:1</t>
        </is>
      </c>
    </row>
    <row r="647">
      <c r="A647" t="inlineStr">
        <is>
          <t>hist-c071d79524fe392a</t>
        </is>
      </c>
      <c r="B647" s="82" t="n">
        <v>46252.9403587963</v>
      </c>
      <c r="D647" t="inlineStr">
        <is>
          <t>微信</t>
        </is>
      </c>
      <c r="E647" t="inlineStr">
        <is>
          <t>微信公众号/视频号</t>
        </is>
      </c>
      <c r="F647" t="inlineStr">
        <is>
          <t>批次原话证据</t>
        </is>
      </c>
      <c r="G647" t="inlineStr">
        <is>
          <t>良辰微风浅入眠</t>
        </is>
      </c>
      <c r="H647" t="inlineStr">
        <is>
          <t>哪个国外？反对什么？这个法律与国外有什么关系呢？你不认同民族团结吗？</t>
        </is>
      </c>
      <c r="I647" t="inlineStr">
        <is>
          <t>https://mp.weixin.qq.com/s/ZMGErwUCI0aOkZmNK_vG5Q</t>
        </is>
      </c>
      <c r="J647" t="inlineStr">
        <is>
          <t>全国/平台维度</t>
        </is>
      </c>
      <c r="O647" t="inlineStr">
        <is>
          <t>中文</t>
        </is>
      </c>
      <c r="P647" t="inlineStr">
        <is>
          <t>否</t>
        </is>
      </c>
      <c r="Q647" t="inlineStr">
        <is>
          <t>咨询疑问</t>
        </is>
      </c>
      <c r="R647" t="inlineStr">
        <is>
          <t>法律与国外反对声音的关系</t>
        </is>
      </c>
      <c r="S647" t="n">
        <v>0</v>
      </c>
      <c r="T647" t="n">
        <v>0</v>
      </c>
      <c r="U647" t="n">
        <v>0</v>
      </c>
      <c r="V647" t="inlineStr">
        <is>
          <t>否</t>
        </is>
      </c>
      <c r="W647" t="inlineStr">
        <is>
          <t>否</t>
        </is>
      </c>
      <c r="X647" t="inlineStr">
        <is>
          <t>历史导入:民族团结进步促进法舆情统计最终版_非支持原话全量汇总最终版.xlsx；证据状态:原始复核证据；记录类型:批次原话证据；复核:1条咨询疑问；来源:民族团结进步促进法舆情统计_含非支持来源与原话_最终完整核查版.xlsx/非支持来源与原话；重复来源数:1</t>
        </is>
      </c>
    </row>
    <row r="648">
      <c r="A648" t="inlineStr">
        <is>
          <t>hist-9b7523956690f71f</t>
        </is>
      </c>
      <c r="B648" s="82" t="n">
        <v>46252.9403587963</v>
      </c>
      <c r="D648" t="inlineStr">
        <is>
          <t>微信</t>
        </is>
      </c>
      <c r="E648" t="inlineStr">
        <is>
          <t>微信公众号/视频号</t>
        </is>
      </c>
      <c r="F648" t="inlineStr">
        <is>
          <t>批次原话证据</t>
        </is>
      </c>
      <c r="G648" t="inlineStr">
        <is>
          <t>良辰微风浅入眠</t>
        </is>
      </c>
      <c r="H648" t="inlineStr">
        <is>
          <t>新疆人在内地住宿难，找工作难，解决了吗？ 你知道很多酒店是禁止身份证65开头入住的吗？ 啥时候新疆人的行政待遇和港澳看齐了？</t>
        </is>
      </c>
      <c r="I648" t="inlineStr">
        <is>
          <t>https://mp.weixin.qq.com/s/ZMGErwUCI0aOkZmNK_vG5Q</t>
        </is>
      </c>
      <c r="J648" t="inlineStr">
        <is>
          <t>全国/平台维度</t>
        </is>
      </c>
      <c r="O648" t="inlineStr">
        <is>
          <t>中文</t>
        </is>
      </c>
      <c r="P648" t="inlineStr">
        <is>
          <t>否</t>
        </is>
      </c>
      <c r="Q648" t="inlineStr">
        <is>
          <t>公平争议</t>
        </is>
      </c>
      <c r="R648" t="inlineStr">
        <is>
          <t>地区待遇、住宿就业、公平性</t>
        </is>
      </c>
      <c r="S648" t="n">
        <v>0</v>
      </c>
      <c r="T648" t="n">
        <v>0</v>
      </c>
      <c r="U648" t="n">
        <v>0</v>
      </c>
      <c r="V648" t="inlineStr">
        <is>
          <t>否</t>
        </is>
      </c>
      <c r="W648" t="inlineStr">
        <is>
          <t>否</t>
        </is>
      </c>
      <c r="X648" t="inlineStr">
        <is>
          <t>历史导入:民族团结进步促进法舆情统计最终版_非支持原话全量汇总最终版.xlsx；证据状态:原始复核证据；记录类型:批次原话证据；复核:3条原话均来自同一母帖评论区；来源:民族团结进步促进法舆情统计_含非支持来源与原话_最终完整核查版.xlsx/非支持来源与原话；重复来源数:1</t>
        </is>
      </c>
    </row>
    <row r="649">
      <c r="A649" t="inlineStr">
        <is>
          <t>hist-c3c7d66c46e0712b</t>
        </is>
      </c>
      <c r="B649" s="82" t="n">
        <v>46252.9403587963</v>
      </c>
      <c r="D649" t="inlineStr">
        <is>
          <t>微信</t>
        </is>
      </c>
      <c r="E649" t="inlineStr">
        <is>
          <t>微信公众号/视频号</t>
        </is>
      </c>
      <c r="F649" t="inlineStr">
        <is>
          <t>批次原话证据</t>
        </is>
      </c>
      <c r="G649" t="inlineStr">
        <is>
          <t>良辰微风浅入眠</t>
        </is>
      </c>
      <c r="H649" t="inlineStr">
        <is>
          <t>民族问题一直很复杂吧。我不懂。</t>
        </is>
      </c>
      <c r="I649" t="inlineStr">
        <is>
          <t>https://mp.weixin.qq.com/s/ZMGErwUCI0aOkZmNK_vG5Q</t>
        </is>
      </c>
      <c r="J649" t="inlineStr">
        <is>
          <t>全国/平台维度</t>
        </is>
      </c>
      <c r="O649" t="inlineStr">
        <is>
          <t>中文</t>
        </is>
      </c>
      <c r="P649" t="inlineStr">
        <is>
          <t>否</t>
        </is>
      </c>
      <c r="Q649" t="inlineStr">
        <is>
          <t>不了解该法律</t>
        </is>
      </c>
      <c r="R649" t="inlineStr">
        <is>
          <t>法律认知</t>
        </is>
      </c>
      <c r="S649" t="n">
        <v>0</v>
      </c>
      <c r="T649" t="n">
        <v>0</v>
      </c>
      <c r="U649" t="n">
        <v>0</v>
      </c>
      <c r="V649" t="inlineStr">
        <is>
          <t>否</t>
        </is>
      </c>
      <c r="W649" t="inlineStr">
        <is>
          <t>否</t>
        </is>
      </c>
      <c r="X649" t="inlineStr">
        <is>
          <t>历史导入:民族团结进步促进法舆情统计最终版_非支持原话全量汇总最终版.xlsx；证据状态:原始复核证据；记录类型:批次原话证据；复核:1条不了解；来源:民族团结进步促进法舆情统计_含非支持来源与原话_最终完整核查版.xlsx/非支持来源与原话；重复来源数:1</t>
        </is>
      </c>
    </row>
    <row r="650">
      <c r="A650" t="inlineStr">
        <is>
          <t>hist-94b4e4af25de5e55</t>
        </is>
      </c>
      <c r="B650" s="82" t="n">
        <v>46252.9403587963</v>
      </c>
      <c r="D650" t="inlineStr">
        <is>
          <t>微信</t>
        </is>
      </c>
      <c r="E650" t="inlineStr">
        <is>
          <t>微信公众号/视频号</t>
        </is>
      </c>
      <c r="F650" t="inlineStr">
        <is>
          <t>批次原话证据</t>
        </is>
      </c>
      <c r="G650" t="inlineStr">
        <is>
          <t>良辰微风浅入眠</t>
        </is>
      </c>
      <c r="H650" t="inlineStr">
        <is>
          <t>确实很多麻烦的。人家也没造谣。</t>
        </is>
      </c>
      <c r="I650" t="inlineStr">
        <is>
          <t>https://mp.weixin.qq.com/s/ZMGErwUCI0aOkZmNK_vG5Q</t>
        </is>
      </c>
      <c r="J650" t="inlineStr">
        <is>
          <t>全国/平台维度</t>
        </is>
      </c>
      <c r="O650" t="inlineStr">
        <is>
          <t>中文</t>
        </is>
      </c>
      <c r="P650" t="inlineStr">
        <is>
          <t>否</t>
        </is>
      </c>
      <c r="Q650" t="inlineStr">
        <is>
          <t>明确批评</t>
        </is>
      </c>
      <c r="R650" t="inlineStr">
        <is>
          <t>对文章论述的反对</t>
        </is>
      </c>
      <c r="S650" t="n">
        <v>0</v>
      </c>
      <c r="T650" t="n">
        <v>0</v>
      </c>
      <c r="U650" t="n">
        <v>0</v>
      </c>
      <c r="V650" t="inlineStr">
        <is>
          <t>否</t>
        </is>
      </c>
      <c r="W650" t="inlineStr">
        <is>
          <t>否</t>
        </is>
      </c>
      <c r="X650" t="inlineStr">
        <is>
          <t>历史导入:民族团结进步促进法舆情统计最终版_非支持原话全量汇总最终版.xlsx；证据状态:原始复核证据；记录类型:批次原话证据；复核:1条明确反对；来源:民族团结进步促进法舆情统计_含非支持来源与原话_最终完整核查版.xlsx/非支持来源与原话；重复来源数:1</t>
        </is>
      </c>
    </row>
    <row r="651">
      <c r="A651" t="inlineStr">
        <is>
          <t>hist-d44e7338fdafc4a5</t>
        </is>
      </c>
      <c r="B651" s="82" t="n">
        <v>46252.9403587963</v>
      </c>
      <c r="D651" t="inlineStr">
        <is>
          <t>微信视频号</t>
        </is>
      </c>
      <c r="E651" t="inlineStr">
        <is>
          <t>微信公众号/视频号</t>
        </is>
      </c>
      <c r="F651" t="inlineStr">
        <is>
          <t>批次代表原话</t>
        </is>
      </c>
      <c r="G651" t="inlineStr">
        <is>
          <t>青海石榴籽家园</t>
        </is>
      </c>
      <c r="H651" t="inlineStr">
        <is>
          <t>以前学校有少数民族语言课程现在没有了（多条重复） 事实证明一切。多多走访少数民族地区，了解目前的情况。是不是重视少数民族语言文字的课程。 少数民族文化不只是音乐，语言文化，文字都需要传承，弘扬，保护。 别的少数民族不清楚，蒙古族的回鹘文面临着失传危机。 我们想保护我们的民族文化。</t>
        </is>
      </c>
      <c r="I651" t="inlineStr">
        <is>
          <t>https://weixin.qq.com/sph/AGIJ2w7cYO</t>
        </is>
      </c>
      <c r="J651" t="inlineStr">
        <is>
          <t>全国/平台维度</t>
        </is>
      </c>
      <c r="O651" t="inlineStr">
        <is>
          <t>中文</t>
        </is>
      </c>
      <c r="P651" t="inlineStr">
        <is>
          <t>否</t>
        </is>
      </c>
      <c r="Q651" t="inlineStr">
        <is>
          <t>担忧影响</t>
        </is>
      </c>
      <c r="R651" t="inlineStr">
        <is>
          <t>少数民族语言文字、文化传承</t>
        </is>
      </c>
      <c r="S651" t="n">
        <v>0</v>
      </c>
      <c r="T651" t="n">
        <v>0</v>
      </c>
      <c r="U651" t="n">
        <v>0</v>
      </c>
      <c r="V651" t="inlineStr">
        <is>
          <t>否</t>
        </is>
      </c>
      <c r="W651" t="inlineStr">
        <is>
          <t>否</t>
        </is>
      </c>
      <c r="X651" t="inlineStr">
        <is>
          <t>历史导入:民族团结进步促进法舆情统计最终版_非支持原话全量汇总最终版.xlsx；证据状态:原始复核证据；记录类型:批次代表原话；复核:共24条担忧；最终表保留了多条代表性原话，未逐条设置评论直链；来源:民族团结进步促进法舆情统计_含非支持来源与原话_最终完整核查版.xlsx/非支持来源与原话；重复来源数:1</t>
        </is>
      </c>
    </row>
    <row r="652">
      <c r="A652" t="inlineStr">
        <is>
          <t>hist-8896ca9218ee6e1c</t>
        </is>
      </c>
      <c r="B652" s="82" t="n">
        <v>46252.9403587963</v>
      </c>
      <c r="D652" t="inlineStr">
        <is>
          <t>微信视频号</t>
        </is>
      </c>
      <c r="E652" t="inlineStr">
        <is>
          <t>微信公众号/视频号</t>
        </is>
      </c>
      <c r="F652" t="inlineStr">
        <is>
          <t>批次原话证据</t>
        </is>
      </c>
      <c r="G652" t="inlineStr">
        <is>
          <t>青海石榴籽家园</t>
        </is>
      </c>
      <c r="H652" t="inlineStr">
        <is>
          <t>我曾几何时听有些汉族人说少数民族的文化是迷信，汉族的是文化。</t>
        </is>
      </c>
      <c r="I652" t="inlineStr">
        <is>
          <t>https://weixin.qq.com/sph/AGIJ2w7cYO</t>
        </is>
      </c>
      <c r="J652" t="inlineStr">
        <is>
          <t>全国/平台维度</t>
        </is>
      </c>
      <c r="O652" t="inlineStr">
        <is>
          <t>中文</t>
        </is>
      </c>
      <c r="P652" t="inlineStr">
        <is>
          <t>否</t>
        </is>
      </c>
      <c r="Q652" t="inlineStr">
        <is>
          <t>公平争议</t>
        </is>
      </c>
      <c r="R652" t="inlineStr">
        <is>
          <t>文化评价公平性</t>
        </is>
      </c>
      <c r="S652" t="n">
        <v>0</v>
      </c>
      <c r="T652" t="n">
        <v>0</v>
      </c>
      <c r="U652" t="n">
        <v>0</v>
      </c>
      <c r="V652" t="inlineStr">
        <is>
          <t>否</t>
        </is>
      </c>
      <c r="W652" t="inlineStr">
        <is>
          <t>否</t>
        </is>
      </c>
      <c r="X652" t="inlineStr">
        <is>
          <t>历史导入:民族团结进步促进法舆情统计最终版_非支持原话全量汇总最终版.xlsx；证据状态:原始复核证据；记录类型:批次原话证据；复核:1条公平争议；来源:民族团结进步促进法舆情统计_含非支持来源与原话_最终完整核查版.xlsx/非支持来源与原话；重复来源数:1</t>
        </is>
      </c>
    </row>
    <row r="653">
      <c r="A653" t="inlineStr">
        <is>
          <t>hist-8381766c669d32ac</t>
        </is>
      </c>
      <c r="B653" s="82" t="n">
        <v>46252.9403587963</v>
      </c>
      <c r="D653" t="inlineStr">
        <is>
          <t>微信视频号</t>
        </is>
      </c>
      <c r="E653" t="inlineStr">
        <is>
          <t>微信公众号/视频号</t>
        </is>
      </c>
      <c r="F653" t="inlineStr">
        <is>
          <t>批次代表原话</t>
        </is>
      </c>
      <c r="G653" t="inlineStr">
        <is>
          <t>青海石榴籽家园</t>
        </is>
      </c>
      <c r="H653" t="inlineStr">
        <is>
          <t>有可能外人看的更清楚。 难道不是吗？/不是吗？ 幼儿园开始用汉语授课，将来他是会说汉语还是少数民族语言呢，少数民族音乐在维也纳演出不等于少数民族文化有发展！ 你为何这么在意西方媒体的声音？多注重怒江州少数民族的声音不好吗？ 你能实话实说吗？</t>
        </is>
      </c>
      <c r="I653" t="inlineStr">
        <is>
          <t>https://weixin.qq.com/sph/AGIJ2w7cYO</t>
        </is>
      </c>
      <c r="J653" t="inlineStr">
        <is>
          <t>全国/平台维度</t>
        </is>
      </c>
      <c r="O653" t="inlineStr">
        <is>
          <t>中文</t>
        </is>
      </c>
      <c r="P653" t="inlineStr">
        <is>
          <t>否</t>
        </is>
      </c>
      <c r="Q653" t="inlineStr">
        <is>
          <t>明确批评</t>
        </is>
      </c>
      <c r="R653" t="inlineStr">
        <is>
          <t>少数民族语言文化、视频叙事</t>
        </is>
      </c>
      <c r="S653" t="n">
        <v>0</v>
      </c>
      <c r="T653" t="n">
        <v>0</v>
      </c>
      <c r="U653" t="n">
        <v>0</v>
      </c>
      <c r="V653" t="inlineStr">
        <is>
          <t>否</t>
        </is>
      </c>
      <c r="W653" t="inlineStr">
        <is>
          <t>否</t>
        </is>
      </c>
      <c r="X653" t="inlineStr">
        <is>
          <t>历史导入:民族团结进步促进法舆情统计最终版_非支持原话全量汇总最终版.xlsx；证据状态:原始复核证据；记录类型:批次代表原话；复核:共10条明确反对/批评；母视频链接作为证据入口；来源:民族团结进步促进法舆情统计_含非支持来源与原话_最终完整核查版.xlsx/非支持来源与原话；重复来源数:1</t>
        </is>
      </c>
    </row>
    <row r="654">
      <c r="A654" t="inlineStr">
        <is>
          <t>hist-1f4c7207cb75a215</t>
        </is>
      </c>
      <c r="B654" s="82" t="n">
        <v>46252.9403587963</v>
      </c>
      <c r="C654" s="82" t="n">
        <v>46206</v>
      </c>
      <c r="D654" t="inlineStr">
        <is>
          <t>微博</t>
        </is>
      </c>
      <c r="E654" t="inlineStr">
        <is>
          <t>微博/热榜</t>
        </is>
      </c>
      <c r="F654" t="inlineStr">
        <is>
          <t>逐条直接证据</t>
        </is>
      </c>
      <c r="G654" t="inlineStr">
        <is>
          <t>梦入虚林</t>
        </is>
      </c>
      <c r="H654" t="inlineStr">
        <is>
          <t>新华社博文评论区：怎么执行呢，处罚力度是多少</t>
        </is>
      </c>
      <c r="I654" t="inlineStr">
        <is>
          <t>微博 2026-07-03</t>
        </is>
      </c>
      <c r="J654" t="inlineStr">
        <is>
          <t>全国</t>
        </is>
      </c>
      <c r="O654" t="inlineStr">
        <is>
          <t>中文</t>
        </is>
      </c>
      <c r="P654" t="inlineStr">
        <is>
          <t>否</t>
        </is>
      </c>
      <c r="Q654" t="inlineStr">
        <is>
          <t>咨询疑问</t>
        </is>
      </c>
      <c r="R654" t="inlineStr">
        <is>
          <t>法律实施与执行</t>
        </is>
      </c>
      <c r="S654" t="n">
        <v>0</v>
      </c>
      <c r="T654" t="n">
        <v>0</v>
      </c>
      <c r="U654" t="n">
        <v>0</v>
      </c>
      <c r="V654" t="inlineStr">
        <is>
          <t>否</t>
        </is>
      </c>
      <c r="W654" t="inlineStr">
        <is>
          <t>是</t>
        </is>
      </c>
      <c r="X654" t="inlineStr">
        <is>
          <t>历史导入:民族团结进步促进法舆情统计最终版_非支持原话全量汇总最终版.xlsx；证据状态:原始复核证据；记录类型:逐条直接证据；复核:已复核：用户就法律执行提出疑问，属咨询类，非批评；态度分类无误。复核人：编号九负责人；复核时间：2026-08-06；来源:新疆区州网页与视频号舆情监测_最终修正版(1).xlsx/第一部分_有效舆情明细；重复来源数:1</t>
        </is>
      </c>
    </row>
    <row r="655">
      <c r="A655" t="inlineStr">
        <is>
          <t>hist-da8c3742f3a34ac5</t>
        </is>
      </c>
      <c r="B655" s="82" t="n">
        <v>46252.9403587963</v>
      </c>
      <c r="D655" t="inlineStr">
        <is>
          <t>微博</t>
        </is>
      </c>
      <c r="E655" t="inlineStr">
        <is>
          <t>微博/热榜</t>
        </is>
      </c>
      <c r="F655" t="inlineStr">
        <is>
          <t>逐条直接证据</t>
        </is>
      </c>
      <c r="G655" t="inlineStr">
        <is>
          <t>AAA王嫂换胎贴膜手搓尾翼掐秒表</t>
        </is>
      </c>
      <c r="H655" t="inlineStr">
        <is>
          <t>民族团结进步促进法7月1日起正式实施，而这一个月来各平台的伪史论大行其道，这是巧合吗</t>
        </is>
      </c>
      <c r="I655" t="inlineStr">
        <is>
          <t>https://weibo.com/6567311498/R9W5tpxOo?refer_flag=1001030103_</t>
        </is>
      </c>
      <c r="J655" t="inlineStr">
        <is>
          <t>全国/平台维度</t>
        </is>
      </c>
      <c r="O655" t="inlineStr">
        <is>
          <t>中文</t>
        </is>
      </c>
      <c r="P655" t="inlineStr">
        <is>
          <t>否</t>
        </is>
      </c>
      <c r="Q655" t="inlineStr">
        <is>
          <t>担忧影响</t>
        </is>
      </c>
      <c r="R655" t="inlineStr">
        <is>
          <t>法律实施、政策解读或相关讨论</t>
        </is>
      </c>
      <c r="S655" t="n">
        <v>0</v>
      </c>
      <c r="T655" t="n">
        <v>0</v>
      </c>
      <c r="U655" t="n">
        <v>0</v>
      </c>
      <c r="V655" t="inlineStr">
        <is>
          <t>否</t>
        </is>
      </c>
      <c r="W655" t="inlineStr">
        <is>
          <t>是</t>
        </is>
      </c>
      <c r="X655" t="inlineStr">
        <is>
          <t>历史导入:民族团结进步促进法舆情统计最终版_非支持原话全量汇总最终版.xlsx；证据状态:原始复核证据；记录类型:逐条直接证据；复核:该博主在该微博内容的评论区已拉黑恶意评论用户4人；来源:微博热榜平台_民族团结进步促进法舆情监测_最终修正版.xlsx；民族团结进步促进法舆情统计_含非支持来源与原话_最终完整核查版.xlsx/非支持态度复合清单；非支持来源与原话；重复来源数:2</t>
        </is>
      </c>
    </row>
    <row r="656">
      <c r="A656" t="inlineStr">
        <is>
          <t>hist-b76fb11feca64561</t>
        </is>
      </c>
      <c r="B656" s="82" t="n">
        <v>46252.9403587963</v>
      </c>
      <c r="D656" t="inlineStr">
        <is>
          <t>微博</t>
        </is>
      </c>
      <c r="E656" t="inlineStr">
        <is>
          <t>微博/热榜</t>
        </is>
      </c>
      <c r="F656" t="inlineStr">
        <is>
          <t>逐条直接证据</t>
        </is>
      </c>
      <c r="G656" t="inlineStr">
        <is>
          <t>ThomasChen</t>
        </is>
      </c>
      <c r="H656" t="inlineStr">
        <is>
          <t>至於這部新法，對台灣人、海外華人，甚至外國人可能的影響，或不是“完全沒有問題”就能化解</t>
        </is>
      </c>
      <c r="I656" t="inlineStr">
        <is>
          <t>https://weibo.com/1496863851/R6P4bA6dr?refer_flag=1001030103_</t>
        </is>
      </c>
      <c r="J656" t="inlineStr">
        <is>
          <t>全国/平台维度</t>
        </is>
      </c>
      <c r="O656" t="inlineStr">
        <is>
          <t>中文</t>
        </is>
      </c>
      <c r="P656" t="inlineStr">
        <is>
          <t>否</t>
        </is>
      </c>
      <c r="Q656" t="inlineStr">
        <is>
          <t>明确批评</t>
        </is>
      </c>
      <c r="R656" t="inlineStr">
        <is>
          <t>法律实施、政策解读或相关讨论</t>
        </is>
      </c>
      <c r="S656" t="n">
        <v>0</v>
      </c>
      <c r="T656" t="n">
        <v>0</v>
      </c>
      <c r="U656" t="n">
        <v>0</v>
      </c>
      <c r="V656" t="inlineStr">
        <is>
          <t>否</t>
        </is>
      </c>
      <c r="W656" t="inlineStr">
        <is>
          <t>是</t>
        </is>
      </c>
      <c r="X656" t="inlineStr">
        <is>
          <t>历史导入:民族团结进步促进法舆情统计最终版_非支持原话全量汇总最终版.xlsx；证据状态:原始复核证据；记录类型:逐条直接证据；复核:该博主原话为繁体字，他在微博中表明，觉得该法律对台湾人、海外华人，甚至外国人有一些不好的影响；来源:微博热榜平台_民族团结进步促进法舆情监测_最终修正版.xlsx；民族团结进步促进法舆情统计_含非支持来源与原话_最终完整核查版.xlsx/非支持态度复合清单；非支持来源与原话；重复来源数:2</t>
        </is>
      </c>
    </row>
    <row r="657">
      <c r="A657" t="inlineStr">
        <is>
          <t>hist-323dabce562f886c</t>
        </is>
      </c>
      <c r="B657" s="82" t="n">
        <v>46252.9403587963</v>
      </c>
      <c r="D657" t="inlineStr">
        <is>
          <t>微博</t>
        </is>
      </c>
      <c r="E657" t="inlineStr">
        <is>
          <t>微博/热榜</t>
        </is>
      </c>
      <c r="F657" t="inlineStr">
        <is>
          <t>逐条直接证据</t>
        </is>
      </c>
      <c r="G657" t="inlineStr">
        <is>
          <t>梅新育</t>
        </is>
      </c>
      <c r="H657" t="inlineStr">
        <is>
          <t>博主回顾当年推广国家通用语言文字遇到的阻力感慨俱往矣认为新法施行是语言政策的重要进步。微博评论区出现不同声音部分网友支持部分网友担忧少数民族语言保护问题。</t>
        </is>
      </c>
      <c r="I657" t="inlineStr">
        <is>
          <t>https://weibo.com/1259914383/5316216194596877</t>
        </is>
      </c>
      <c r="J657" t="inlineStr">
        <is>
          <t>全国/平台维度</t>
        </is>
      </c>
      <c r="O657" t="inlineStr">
        <is>
          <t>中文</t>
        </is>
      </c>
      <c r="P657" t="inlineStr">
        <is>
          <t>否</t>
        </is>
      </c>
      <c r="Q657" t="inlineStr">
        <is>
          <t>咨询疑问</t>
        </is>
      </c>
      <c r="R657" t="inlineStr">
        <is>
          <t>国家通用语言文字推广、少数民族语言保护</t>
        </is>
      </c>
      <c r="S657" t="n">
        <v>0</v>
      </c>
      <c r="T657" t="n">
        <v>0</v>
      </c>
      <c r="U657" t="n">
        <v>0</v>
      </c>
      <c r="V657" t="inlineStr">
        <is>
          <t>否</t>
        </is>
      </c>
      <c r="W657" t="inlineStr">
        <is>
          <t>否</t>
        </is>
      </c>
      <c r="X657" t="inlineStr">
        <is>
          <t>历史导入:民族团结进步促进法舆情统计最终版_非支持原话全量汇总最终版.xlsx；证据状态:原始复核证据；记录类型:逐条直接证据；复核:已计入305总量；来源:民族团结进步促进法舆情统计_含非支持来源与原话_最终完整核查版.xlsx/非支持来源与原话；重复来源数:1</t>
        </is>
      </c>
    </row>
    <row r="658">
      <c r="A658" t="inlineStr">
        <is>
          <t>hist-13a57adc3ebd89ac</t>
        </is>
      </c>
      <c r="B658" s="82" t="n">
        <v>46252.9403587963</v>
      </c>
      <c r="D658" t="inlineStr">
        <is>
          <t>微博</t>
        </is>
      </c>
      <c r="E658" t="inlineStr">
        <is>
          <t>微博/热榜</t>
        </is>
      </c>
      <c r="F658" t="inlineStr">
        <is>
          <t>逐条直接证据</t>
        </is>
      </c>
      <c r="G658" t="inlineStr">
        <is>
          <t>河边老师猛蹬三轮车</t>
        </is>
      </c>
      <c r="H658" t="inlineStr">
        <is>
          <t>作者举报微博账号“京吃”（UID：3569314904）持续发布多篇违法有害信息，称其行为严重破坏民族团结、攻击国家宗教政策等。</t>
        </is>
      </c>
      <c r="I658" t="inlineStr">
        <is>
          <t>https://weibo.com/6412018784/R8ZLrAZO3?refer_flag=1001030103_</t>
        </is>
      </c>
      <c r="J658" t="inlineStr">
        <is>
          <t>全国/平台维度</t>
        </is>
      </c>
      <c r="O658" t="inlineStr">
        <is>
          <t>中文</t>
        </is>
      </c>
      <c r="P658" t="inlineStr">
        <is>
          <t>否</t>
        </is>
      </c>
      <c r="Q658" t="inlineStr">
        <is>
          <t>投诉维权</t>
        </is>
      </c>
      <c r="R658" t="inlineStr">
        <is>
          <t>法律实施、政策解读或相关讨论</t>
        </is>
      </c>
      <c r="S658" t="n">
        <v>0</v>
      </c>
      <c r="T658" t="n">
        <v>0</v>
      </c>
      <c r="U658" t="n">
        <v>0</v>
      </c>
      <c r="V658" t="inlineStr">
        <is>
          <t>否</t>
        </is>
      </c>
      <c r="W658" t="inlineStr">
        <is>
          <t>是</t>
        </is>
      </c>
      <c r="X658" t="inlineStr">
        <is>
          <t>历史导入:民族团结进步促进法舆情统计最终版_非支持原话全量汇总最终版.xlsx；证据状态:原始复核证据；记录类型:逐条直接证据；复核:已确认举报/投诉行为本身存在；被举报账号仅对粉丝展示内容，无法进一步核实举报事项真实性，因此不对被举报内容作事实判断。；来源:微博热榜平台_民族团结进步促进法舆情监测_最终修正版.xlsx；民族团结进步促进法舆情统计_含非支持来源与原话_最终完整核查版.xlsx/非支持态度复合清单；非支持来源与原话；重复来源数:2</t>
        </is>
      </c>
    </row>
    <row r="659">
      <c r="A659" t="inlineStr">
        <is>
          <t>hist-a2e71032a246f7fd</t>
        </is>
      </c>
      <c r="B659" s="82" t="n">
        <v>46252.9403587963</v>
      </c>
      <c r="D659" t="inlineStr">
        <is>
          <t>微博</t>
        </is>
      </c>
      <c r="E659" t="inlineStr">
        <is>
          <t>微博/热榜</t>
        </is>
      </c>
      <c r="F659" t="inlineStr">
        <is>
          <t>逐条直接证据</t>
        </is>
      </c>
      <c r="G659" t="inlineStr">
        <is>
          <t>铁屋将军</t>
        </is>
      </c>
      <c r="H659" t="inlineStr">
        <is>
          <t>但是和奖励三胎一样，我担心的是，方向对了，力度不够，最后止步于此，不竟全功。 ​​​</t>
        </is>
      </c>
      <c r="I659" t="inlineStr">
        <is>
          <t>https://weibo.com/7506332448/R7VhZATbF?refer_flag=1001030103_</t>
        </is>
      </c>
      <c r="J659" t="inlineStr">
        <is>
          <t>全国/平台维度</t>
        </is>
      </c>
      <c r="O659" t="inlineStr">
        <is>
          <t>中文</t>
        </is>
      </c>
      <c r="P659" t="inlineStr">
        <is>
          <t>否</t>
        </is>
      </c>
      <c r="Q659" t="inlineStr">
        <is>
          <t>实施问题</t>
        </is>
      </c>
      <c r="R659" t="inlineStr">
        <is>
          <t>法律实施、政策解读或相关讨论</t>
        </is>
      </c>
      <c r="S659" t="n">
        <v>0</v>
      </c>
      <c r="T659" t="n">
        <v>0</v>
      </c>
      <c r="U659" t="n">
        <v>0</v>
      </c>
      <c r="V659" t="inlineStr">
        <is>
          <t>否</t>
        </is>
      </c>
      <c r="W659" t="inlineStr">
        <is>
          <t>是</t>
        </is>
      </c>
      <c r="X659" t="inlineStr">
        <is>
          <t>历史导入:民族团结进步促进法舆情统计最终版_非支持原话全量汇总最终版.xlsx；证据状态:原始复核证据；记录类型:逐条直接证据；复核:该博主是支持促进法的，但是就是担心其实施的力度；来源:微博热榜平台_民族团结进步促进法舆情监测_最终修正版.xlsx；民族团结进步促进法舆情统计_含非支持来源与原话_最终完整核查版.xlsx/非支持态度复合清单；非支持来源与原话；重复来源数:2</t>
        </is>
      </c>
    </row>
    <row r="660">
      <c r="A660" t="inlineStr">
        <is>
          <t>hist-20a13045858ae267</t>
        </is>
      </c>
      <c r="B660" s="82" t="n">
        <v>46252.9403587963</v>
      </c>
      <c r="D660" t="inlineStr">
        <is>
          <t>快手</t>
        </is>
      </c>
      <c r="E660" t="inlineStr">
        <is>
          <t>快手</t>
        </is>
      </c>
      <c r="F660" t="inlineStr">
        <is>
          <t>逐条直接证据</t>
        </is>
      </c>
      <c r="G660" t="inlineStr">
        <is>
          <t>Mr. Fu。</t>
        </is>
      </c>
      <c r="H660" t="inlineStr">
        <is>
          <t>算了，这样话不要出来讲了😂大企业都不要你不信我带你去😂</t>
        </is>
      </c>
      <c r="I660" t="inlineStr">
        <is>
          <t>https://v.kuaishou.com/KbUsbF4n</t>
        </is>
      </c>
      <c r="J660" t="inlineStr">
        <is>
          <t>全国/平台维度</t>
        </is>
      </c>
      <c r="O660" t="inlineStr">
        <is>
          <t>中文</t>
        </is>
      </c>
      <c r="P660" t="inlineStr">
        <is>
          <t>否</t>
        </is>
      </c>
      <c r="Q660" t="inlineStr">
        <is>
          <t>质疑</t>
        </is>
      </c>
      <c r="R660" t="inlineStr">
        <is>
          <t>权利保障与公平正义</t>
        </is>
      </c>
      <c r="S660" t="n">
        <v>0</v>
      </c>
      <c r="T660" t="n">
        <v>0</v>
      </c>
      <c r="U660" t="n">
        <v>0</v>
      </c>
      <c r="V660" t="inlineStr">
        <is>
          <t>否</t>
        </is>
      </c>
      <c r="W660" t="inlineStr">
        <is>
          <t>是</t>
        </is>
      </c>
      <c r="X660"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民族团结进步促进法舆情统计_含非支持来源与原话_最终完整核查版.xlsx/非支持态度复核；非支持来源与原话；重复来源数:2</t>
        </is>
      </c>
    </row>
    <row r="661">
      <c r="A661" t="inlineStr">
        <is>
          <t>hist-580519c0eb67e08b</t>
        </is>
      </c>
      <c r="B661" s="82" t="n">
        <v>46252.9403587963</v>
      </c>
      <c r="D661" t="inlineStr">
        <is>
          <t>快手</t>
        </is>
      </c>
      <c r="E661" t="inlineStr">
        <is>
          <t>快手</t>
        </is>
      </c>
      <c r="F661" t="inlineStr">
        <is>
          <t>逐条直接证据</t>
        </is>
      </c>
      <c r="G661" t="inlineStr">
        <is>
          <t>T T 惹（阿莫惹古）</t>
        </is>
      </c>
      <c r="H661" t="inlineStr">
        <is>
          <t>人家不说民族 人家只说 不要人了 难不成你去告他吗 这些话大人忽悠小孩的 😁</t>
        </is>
      </c>
      <c r="I661" t="inlineStr">
        <is>
          <t>https://v.kuaishou.com/KbUsbF4n</t>
        </is>
      </c>
      <c r="J661" t="inlineStr">
        <is>
          <t>全国/平台维度</t>
        </is>
      </c>
      <c r="O661" t="inlineStr">
        <is>
          <t>中文</t>
        </is>
      </c>
      <c r="P661" t="inlineStr">
        <is>
          <t>否</t>
        </is>
      </c>
      <c r="Q661" t="inlineStr">
        <is>
          <t>质疑</t>
        </is>
      </c>
      <c r="R661" t="inlineStr">
        <is>
          <t>权利保障与公平正义</t>
        </is>
      </c>
      <c r="S661" t="n">
        <v>0</v>
      </c>
      <c r="T661" t="n">
        <v>0</v>
      </c>
      <c r="U661" t="n">
        <v>0</v>
      </c>
      <c r="V661" t="inlineStr">
        <is>
          <t>否</t>
        </is>
      </c>
      <c r="W661" t="inlineStr">
        <is>
          <t>是</t>
        </is>
      </c>
      <c r="X661"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民族团结进步促进法舆情统计_含非支持来源与原话_最终完整核查版.xlsx/非支持态度复核；非支持来源与原话；重复来源数:2</t>
        </is>
      </c>
    </row>
    <row r="662">
      <c r="A662" t="inlineStr">
        <is>
          <t>hist-29fdd4f189022b38</t>
        </is>
      </c>
      <c r="B662" s="82" t="n">
        <v>46252.9403587963</v>
      </c>
      <c r="D662" t="inlineStr">
        <is>
          <t>快手</t>
        </is>
      </c>
      <c r="E662" t="inlineStr">
        <is>
          <t>快手</t>
        </is>
      </c>
      <c r="F662" t="inlineStr">
        <is>
          <t>逐条直接证据</t>
        </is>
      </c>
      <c r="G662" t="inlineStr">
        <is>
          <t>一得惹</t>
        </is>
      </c>
      <c r="H662" t="inlineStr">
        <is>
          <t>[捂脸]人家没说不要彝族 看看你身份证 直接说暂时不招 暂时人🈵了[捂脸][捂脸]</t>
        </is>
      </c>
      <c r="I662" t="inlineStr">
        <is>
          <t>https://v.kuaishou.com/KbUsbF4n</t>
        </is>
      </c>
      <c r="J662" t="inlineStr">
        <is>
          <t>全国/平台维度</t>
        </is>
      </c>
      <c r="O662" t="inlineStr">
        <is>
          <t>中文</t>
        </is>
      </c>
      <c r="P662" t="inlineStr">
        <is>
          <t>否</t>
        </is>
      </c>
      <c r="Q662" t="inlineStr">
        <is>
          <t>实施问题</t>
        </is>
      </c>
      <c r="R662" t="inlineStr">
        <is>
          <t>权利保障与公平正义</t>
        </is>
      </c>
      <c r="S662" t="n">
        <v>0</v>
      </c>
      <c r="T662" t="n">
        <v>0</v>
      </c>
      <c r="U662" t="n">
        <v>0</v>
      </c>
      <c r="V662" t="inlineStr">
        <is>
          <t>否</t>
        </is>
      </c>
      <c r="W662" t="inlineStr">
        <is>
          <t>是</t>
        </is>
      </c>
      <c r="X662" t="inlineStr">
        <is>
          <t>历史导入:民族团结进步促进法舆情统计最终版_非支持原话全量汇总最终版.xlsx；证据状态:原始复核证据；记录类型:逐条直接证据；复核:网民提出现实中企业用人在民族 平等方面的实施问题；来源:快手平台民族团结进步促进法舆情监测_统计修正版.xlsx；民族团结进步促进法舆情统计_含非支持来源与原话_最终完整核查版.xlsx/非支持态度复核；非支持来源与原话；重复来源数:2</t>
        </is>
      </c>
    </row>
    <row r="663">
      <c r="A663" t="inlineStr">
        <is>
          <t>hist-0eb3613a782b43e9</t>
        </is>
      </c>
      <c r="B663" s="82" t="n">
        <v>46252.9403587963</v>
      </c>
      <c r="D663" t="inlineStr">
        <is>
          <t>快手</t>
        </is>
      </c>
      <c r="E663" t="inlineStr">
        <is>
          <t>快手</t>
        </is>
      </c>
      <c r="F663" t="inlineStr">
        <is>
          <t>逐条直接证据</t>
        </is>
      </c>
      <c r="G663" t="inlineStr">
        <is>
          <t>一得惹</t>
        </is>
      </c>
      <c r="H663" t="inlineStr">
        <is>
          <t>就是（支持评论“没有用的，该不要还是不要，工作难找啊“）</t>
        </is>
      </c>
      <c r="I663" t="inlineStr">
        <is>
          <t>https://v.kuaishou.com/KbUsbF4n</t>
        </is>
      </c>
      <c r="J663" t="inlineStr">
        <is>
          <t>全国/平台维度</t>
        </is>
      </c>
      <c r="O663" t="inlineStr">
        <is>
          <t>中文</t>
        </is>
      </c>
      <c r="P663" t="inlineStr">
        <is>
          <t>否</t>
        </is>
      </c>
      <c r="Q663" t="inlineStr">
        <is>
          <t>质疑</t>
        </is>
      </c>
      <c r="R663" t="inlineStr">
        <is>
          <t>权利保障与公平正义</t>
        </is>
      </c>
      <c r="S663" t="n">
        <v>0</v>
      </c>
      <c r="T663" t="n">
        <v>0</v>
      </c>
      <c r="U663" t="n">
        <v>0</v>
      </c>
      <c r="V663" t="inlineStr">
        <is>
          <t>否</t>
        </is>
      </c>
      <c r="W663" t="inlineStr">
        <is>
          <t>是</t>
        </is>
      </c>
      <c r="X663"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非支持态度复核；重复来源数:1</t>
        </is>
      </c>
    </row>
    <row r="664">
      <c r="A664" t="inlineStr">
        <is>
          <t>hist-413c23f8c385e227</t>
        </is>
      </c>
      <c r="B664" s="82" t="n">
        <v>46252.9403587963</v>
      </c>
      <c r="D664" t="inlineStr">
        <is>
          <t>快手</t>
        </is>
      </c>
      <c r="E664" t="inlineStr">
        <is>
          <t>快手</t>
        </is>
      </c>
      <c r="F664" t="inlineStr">
        <is>
          <t>逐条直接证据</t>
        </is>
      </c>
      <c r="G664" t="inlineStr">
        <is>
          <t>一得惹</t>
        </is>
      </c>
      <c r="H664" t="inlineStr">
        <is>
          <t>意思其它民族 不违法</t>
        </is>
      </c>
      <c r="I664" t="inlineStr">
        <is>
          <t>https://v.kuaishou.com/KbUsbF4n</t>
        </is>
      </c>
      <c r="J664" t="inlineStr">
        <is>
          <t>全国/平台维度</t>
        </is>
      </c>
      <c r="O664" t="inlineStr">
        <is>
          <t>中文</t>
        </is>
      </c>
      <c r="P664" t="inlineStr">
        <is>
          <t>否</t>
        </is>
      </c>
      <c r="Q664" t="inlineStr">
        <is>
          <t>咨询疑问</t>
        </is>
      </c>
      <c r="R664" t="inlineStr">
        <is>
          <t>权利保障与公平正义</t>
        </is>
      </c>
      <c r="S664" t="n">
        <v>0</v>
      </c>
      <c r="T664" t="n">
        <v>0</v>
      </c>
      <c r="U664" t="n">
        <v>0</v>
      </c>
      <c r="V664" t="inlineStr">
        <is>
          <t>否</t>
        </is>
      </c>
      <c r="W664" t="inlineStr">
        <is>
          <t>否</t>
        </is>
      </c>
      <c r="X664"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65">
      <c r="A665" t="inlineStr">
        <is>
          <t>hist-4732cae67c978554</t>
        </is>
      </c>
      <c r="B665" s="82" t="n">
        <v>46252.9403587963</v>
      </c>
      <c r="D665" t="inlineStr">
        <is>
          <t>快手</t>
        </is>
      </c>
      <c r="E665" t="inlineStr">
        <is>
          <t>快手</t>
        </is>
      </c>
      <c r="F665" t="inlineStr">
        <is>
          <t>逐条直接证据</t>
        </is>
      </c>
      <c r="G665" t="inlineStr">
        <is>
          <t>伍佳：勇往直前</t>
        </is>
      </c>
      <c r="H665" t="inlineStr">
        <is>
          <t>招惹不起人家躲得起，对呀，何必给自己找麻烦，不缺人</t>
        </is>
      </c>
      <c r="I665" t="inlineStr">
        <is>
          <t>https://v.kuaishou.com/KbUsbF4n</t>
        </is>
      </c>
      <c r="J665" t="inlineStr">
        <is>
          <t>全国/平台维度</t>
        </is>
      </c>
      <c r="O665" t="inlineStr">
        <is>
          <t>中文</t>
        </is>
      </c>
      <c r="P665" t="inlineStr">
        <is>
          <t>否</t>
        </is>
      </c>
      <c r="Q665" t="inlineStr">
        <is>
          <t>质疑</t>
        </is>
      </c>
      <c r="R665" t="inlineStr">
        <is>
          <t>权利保障与公平正义</t>
        </is>
      </c>
      <c r="S665" t="n">
        <v>0</v>
      </c>
      <c r="T665" t="n">
        <v>0</v>
      </c>
      <c r="U665" t="n">
        <v>0</v>
      </c>
      <c r="V665" t="inlineStr">
        <is>
          <t>否</t>
        </is>
      </c>
      <c r="W665" t="inlineStr">
        <is>
          <t>是</t>
        </is>
      </c>
      <c r="X665"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民族团结进步促进法舆情统计_含非支持来源与原话_最终完整核查版.xlsx/非支持态度复核；非支持来源与原话；重复来源数:2</t>
        </is>
      </c>
    </row>
    <row r="666">
      <c r="A666" t="inlineStr">
        <is>
          <t>hist-96ccb2cda38d48a4</t>
        </is>
      </c>
      <c r="B666" s="82" t="n">
        <v>46252.9403587963</v>
      </c>
      <c r="D666" t="inlineStr">
        <is>
          <t>快手</t>
        </is>
      </c>
      <c r="E666" t="inlineStr">
        <is>
          <t>快手</t>
        </is>
      </c>
      <c r="F666" t="inlineStr">
        <is>
          <t>逐条直接证据</t>
        </is>
      </c>
      <c r="G666" t="inlineStr">
        <is>
          <t>关陇山人</t>
        </is>
      </c>
      <c r="H666" t="inlineStr">
        <is>
          <t>大家真正能一个桌子上吃饭的时候，才是一家人</t>
        </is>
      </c>
      <c r="I666" t="inlineStr">
        <is>
          <t>https://v.kuaishou.com/JeQ8Rp21</t>
        </is>
      </c>
      <c r="J666" t="inlineStr">
        <is>
          <t>全国/平台维度</t>
        </is>
      </c>
      <c r="O666" t="inlineStr">
        <is>
          <t>中文</t>
        </is>
      </c>
      <c r="P666" t="inlineStr">
        <is>
          <t>否</t>
        </is>
      </c>
      <c r="Q666" t="inlineStr">
        <is>
          <t>质疑</t>
        </is>
      </c>
      <c r="R666" t="inlineStr">
        <is>
          <t>权利保障与公平正义</t>
        </is>
      </c>
      <c r="S666" t="n">
        <v>0</v>
      </c>
      <c r="T666" t="n">
        <v>0</v>
      </c>
      <c r="U666" t="n">
        <v>0</v>
      </c>
      <c r="V666" t="inlineStr">
        <is>
          <t>否</t>
        </is>
      </c>
      <c r="W666" t="inlineStr">
        <is>
          <t>是</t>
        </is>
      </c>
      <c r="X666" t="inlineStr">
        <is>
          <t>历史导入:民族团结进步促进法舆情统计最终版_非支持原话全量汇总最终版.xlsx；证据状态:原始复核证据；记录类型:逐条直接证据；复核:网民质疑民族平等问题；来源:快手平台民族团结进步促进法舆情监测_统计修正版.xlsx；民族团结进步促进法舆情统计_含非支持来源与原话_最终完整核查版.xlsx/非支持态度复核；非支持来源与原话；重复来源数:2</t>
        </is>
      </c>
    </row>
    <row r="667">
      <c r="A667" t="inlineStr">
        <is>
          <t>hist-201d873e895bcbc2</t>
        </is>
      </c>
      <c r="B667" s="82" t="n">
        <v>46252.9403587963</v>
      </c>
      <c r="D667" t="inlineStr">
        <is>
          <t>快手</t>
        </is>
      </c>
      <c r="E667" t="inlineStr">
        <is>
          <t>快手</t>
        </is>
      </c>
      <c r="F667" t="inlineStr">
        <is>
          <t>逐条直接证据</t>
        </is>
      </c>
      <c r="G667" t="inlineStr">
        <is>
          <t>凌晨《268》</t>
        </is>
      </c>
      <c r="H667" t="inlineStr">
        <is>
          <t>不是你说了算，四川是彝族最多的，连成都都不要彝族人，😂😂😂😂</t>
        </is>
      </c>
      <c r="I667" t="inlineStr">
        <is>
          <t>https://v.kuaishou.com/KbUsbF4n</t>
        </is>
      </c>
      <c r="J667" t="inlineStr">
        <is>
          <t>全国/平台维度</t>
        </is>
      </c>
      <c r="O667" t="inlineStr">
        <is>
          <t>中文</t>
        </is>
      </c>
      <c r="P667" t="inlineStr">
        <is>
          <t>否</t>
        </is>
      </c>
      <c r="Q667" t="inlineStr">
        <is>
          <t>质疑</t>
        </is>
      </c>
      <c r="R667" t="inlineStr">
        <is>
          <t>权利保障与公平正义</t>
        </is>
      </c>
      <c r="S667" t="n">
        <v>0</v>
      </c>
      <c r="T667" t="n">
        <v>0</v>
      </c>
      <c r="U667" t="n">
        <v>0</v>
      </c>
      <c r="V667" t="inlineStr">
        <is>
          <t>否</t>
        </is>
      </c>
      <c r="W667" t="inlineStr">
        <is>
          <t>是</t>
        </is>
      </c>
      <c r="X667"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民族团结进步促进法舆情统计_含非支持来源与原话_最终完整核查版.xlsx/非支持态度复核；非支持来源与原话；重复来源数:2</t>
        </is>
      </c>
    </row>
    <row r="668">
      <c r="A668" t="inlineStr">
        <is>
          <t>hist-f0cfade018658681</t>
        </is>
      </c>
      <c r="B668" s="82" t="n">
        <v>46252.9403587963</v>
      </c>
      <c r="D668" t="inlineStr">
        <is>
          <t>快手</t>
        </is>
      </c>
      <c r="E668" t="inlineStr">
        <is>
          <t>快手</t>
        </is>
      </c>
      <c r="F668" t="inlineStr">
        <is>
          <t>逐条直接证据</t>
        </is>
      </c>
      <c r="G668" t="inlineStr">
        <is>
          <t>加州</t>
        </is>
      </c>
      <c r="H668" t="inlineStr">
        <is>
          <t>有屁用 偏见永远会在</t>
        </is>
      </c>
      <c r="I668" t="inlineStr">
        <is>
          <t>https://v.kuaishou.com/KbUsbF4n</t>
        </is>
      </c>
      <c r="J668" t="inlineStr">
        <is>
          <t>全国/平台维度</t>
        </is>
      </c>
      <c r="O668" t="inlineStr">
        <is>
          <t>中文</t>
        </is>
      </c>
      <c r="P668" t="inlineStr">
        <is>
          <t>否</t>
        </is>
      </c>
      <c r="Q668" t="inlineStr">
        <is>
          <t>明确批评</t>
        </is>
      </c>
      <c r="R668" t="inlineStr">
        <is>
          <t>权利保障与公平正义</t>
        </is>
      </c>
      <c r="S668" t="n">
        <v>0</v>
      </c>
      <c r="T668" t="n">
        <v>0</v>
      </c>
      <c r="U668" t="n">
        <v>0</v>
      </c>
      <c r="V668" t="inlineStr">
        <is>
          <t>否</t>
        </is>
      </c>
      <c r="W668" t="inlineStr">
        <is>
          <t>否</t>
        </is>
      </c>
      <c r="X668"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69">
      <c r="A669" t="inlineStr">
        <is>
          <t>hist-d1e9dc0e2df272ce</t>
        </is>
      </c>
      <c r="B669" s="82" t="n">
        <v>46252.9403587963</v>
      </c>
      <c r="D669" t="inlineStr">
        <is>
          <t>快手</t>
        </is>
      </c>
      <c r="E669" t="inlineStr">
        <is>
          <t>快手</t>
        </is>
      </c>
      <c r="F669" t="inlineStr">
        <is>
          <t>逐条直接证据</t>
        </is>
      </c>
      <c r="G669" t="inlineStr">
        <is>
          <t>平淡人生</t>
        </is>
      </c>
      <c r="H669" t="inlineStr">
        <is>
          <t>有的企业故意破坏民族团结的应该严惩</t>
        </is>
      </c>
      <c r="I669" t="inlineStr">
        <is>
          <t>https://v.kuaishou.com/KbUsbF4n</t>
        </is>
      </c>
      <c r="J669" t="inlineStr">
        <is>
          <t>全国/平台维度</t>
        </is>
      </c>
      <c r="O669" t="inlineStr">
        <is>
          <t>中文</t>
        </is>
      </c>
      <c r="P669" t="inlineStr">
        <is>
          <t>否</t>
        </is>
      </c>
      <c r="Q669" t="inlineStr">
        <is>
          <t>实施问题</t>
        </is>
      </c>
      <c r="R669" t="inlineStr">
        <is>
          <t>权利保障与公平正义</t>
        </is>
      </c>
      <c r="S669" t="n">
        <v>0</v>
      </c>
      <c r="T669" t="n">
        <v>0</v>
      </c>
      <c r="U669" t="n">
        <v>0</v>
      </c>
      <c r="V669" t="inlineStr">
        <is>
          <t>否</t>
        </is>
      </c>
      <c r="W669" t="inlineStr">
        <is>
          <t>否</t>
        </is>
      </c>
      <c r="X669"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70">
      <c r="A670" t="inlineStr">
        <is>
          <t>hist-3557ff8c2bc8e7da</t>
        </is>
      </c>
      <c r="B670" s="82" t="n">
        <v>46252.9403587963</v>
      </c>
      <c r="D670" t="inlineStr">
        <is>
          <t>快手</t>
        </is>
      </c>
      <c r="E670" t="inlineStr">
        <is>
          <t>快手</t>
        </is>
      </c>
      <c r="F670" t="inlineStr">
        <is>
          <t>逐条直接证据</t>
        </is>
      </c>
      <c r="G670" t="inlineStr">
        <is>
          <t>心随浮动</t>
        </is>
      </c>
      <c r="H670" t="inlineStr">
        <is>
          <t>就是</t>
        </is>
      </c>
      <c r="I670" t="inlineStr">
        <is>
          <t>https://v.kuaishou.com/KbUsbF4n</t>
        </is>
      </c>
      <c r="J670" t="inlineStr">
        <is>
          <t>全国/平台维度</t>
        </is>
      </c>
      <c r="O670" t="inlineStr">
        <is>
          <t>中文</t>
        </is>
      </c>
      <c r="P670" t="inlineStr">
        <is>
          <t>否</t>
        </is>
      </c>
      <c r="Q670" t="inlineStr">
        <is>
          <t>明确批评</t>
        </is>
      </c>
      <c r="R670" t="inlineStr">
        <is>
          <t>权利保障与公平正义</t>
        </is>
      </c>
      <c r="S670" t="n">
        <v>0</v>
      </c>
      <c r="T670" t="n">
        <v>0</v>
      </c>
      <c r="U670" t="n">
        <v>0</v>
      </c>
      <c r="V670" t="inlineStr">
        <is>
          <t>否</t>
        </is>
      </c>
      <c r="W670" t="inlineStr">
        <is>
          <t>否</t>
        </is>
      </c>
      <c r="X670"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71">
      <c r="A671" t="inlineStr">
        <is>
          <t>hist-0ee48b5830d6a931</t>
        </is>
      </c>
      <c r="B671" s="82" t="n">
        <v>46252.9403587963</v>
      </c>
      <c r="D671" t="inlineStr">
        <is>
          <t>快手</t>
        </is>
      </c>
      <c r="E671" t="inlineStr">
        <is>
          <t>快手</t>
        </is>
      </c>
      <c r="F671" t="inlineStr">
        <is>
          <t>逐条直接证据</t>
        </is>
      </c>
      <c r="G671" t="inlineStr">
        <is>
          <t>晓驒</t>
        </is>
      </c>
      <c r="H671" t="inlineStr">
        <is>
          <t>违法个屁，你还不知道外面现在好多厂不要四川彝族了😁😁</t>
        </is>
      </c>
      <c r="I671" t="inlineStr">
        <is>
          <t>https://v.kuaishou.com/KbUsbF4n</t>
        </is>
      </c>
      <c r="J671" t="inlineStr">
        <is>
          <t>全国/平台维度</t>
        </is>
      </c>
      <c r="O671" t="inlineStr">
        <is>
          <t>中文</t>
        </is>
      </c>
      <c r="P671" t="inlineStr">
        <is>
          <t>否</t>
        </is>
      </c>
      <c r="Q671" t="inlineStr">
        <is>
          <t>质疑</t>
        </is>
      </c>
      <c r="R671" t="inlineStr">
        <is>
          <t>权利保障与公平正义</t>
        </is>
      </c>
      <c r="S671" t="n">
        <v>0</v>
      </c>
      <c r="T671" t="n">
        <v>0</v>
      </c>
      <c r="U671" t="n">
        <v>0</v>
      </c>
      <c r="V671" t="inlineStr">
        <is>
          <t>否</t>
        </is>
      </c>
      <c r="W671" t="inlineStr">
        <is>
          <t>是</t>
        </is>
      </c>
      <c r="X671"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民族团结进步促进法舆情统计_含非支持来源与原话_最终完整核查版.xlsx/非支持态度复核；非支持来源与原话；重复来源数:2</t>
        </is>
      </c>
    </row>
    <row r="672">
      <c r="A672" t="inlineStr">
        <is>
          <t>hist-0ef9a60951a03487</t>
        </is>
      </c>
      <c r="B672" s="82" t="n">
        <v>46252.9403587963</v>
      </c>
      <c r="D672" t="inlineStr">
        <is>
          <t>快手</t>
        </is>
      </c>
      <c r="E672" t="inlineStr">
        <is>
          <t>快手</t>
        </is>
      </c>
      <c r="F672" t="inlineStr">
        <is>
          <t>逐条直接证据</t>
        </is>
      </c>
      <c r="G672" t="inlineStr">
        <is>
          <t>看客</t>
        </is>
      </c>
      <c r="H672" t="inlineStr">
        <is>
          <t>你们的话能相信吗</t>
        </is>
      </c>
      <c r="I672" t="inlineStr">
        <is>
          <t>https://v.kuaishou.com/JeQ8Rp21</t>
        </is>
      </c>
      <c r="J672" t="inlineStr">
        <is>
          <t>全国/平台维度</t>
        </is>
      </c>
      <c r="O672" t="inlineStr">
        <is>
          <t>中文</t>
        </is>
      </c>
      <c r="P672" t="inlineStr">
        <is>
          <t>否</t>
        </is>
      </c>
      <c r="Q672" t="inlineStr">
        <is>
          <t>明确批评</t>
        </is>
      </c>
      <c r="R672" t="inlineStr">
        <is>
          <t>法律施行与总体解读</t>
        </is>
      </c>
      <c r="S672" t="n">
        <v>0</v>
      </c>
      <c r="T672" t="n">
        <v>0</v>
      </c>
      <c r="U672" t="n">
        <v>0</v>
      </c>
      <c r="V672" t="inlineStr">
        <is>
          <t>否</t>
        </is>
      </c>
      <c r="W672" t="inlineStr">
        <is>
          <t>否</t>
        </is>
      </c>
      <c r="X672"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73">
      <c r="A673" t="inlineStr">
        <is>
          <t>hist-9e0a65f4132e1666</t>
        </is>
      </c>
      <c r="B673" s="82" t="n">
        <v>46252.9403587963</v>
      </c>
      <c r="D673" t="inlineStr">
        <is>
          <t>快手</t>
        </is>
      </c>
      <c r="E673" t="inlineStr">
        <is>
          <t>快手</t>
        </is>
      </c>
      <c r="F673" t="inlineStr">
        <is>
          <t>逐条直接证据</t>
        </is>
      </c>
      <c r="G673" t="inlineStr">
        <is>
          <t>罗杰</t>
        </is>
      </c>
      <c r="H673" t="inlineStr">
        <is>
          <t>很多公司不要彝族人</t>
        </is>
      </c>
      <c r="I673" t="inlineStr">
        <is>
          <t>https://v.kuaishou.com/KbUsbF4n</t>
        </is>
      </c>
      <c r="J673" t="inlineStr">
        <is>
          <t>全国/平台维度</t>
        </is>
      </c>
      <c r="O673" t="inlineStr">
        <is>
          <t>中文</t>
        </is>
      </c>
      <c r="P673" t="inlineStr">
        <is>
          <t>否</t>
        </is>
      </c>
      <c r="Q673" t="inlineStr">
        <is>
          <t>歧视偏见</t>
        </is>
      </c>
      <c r="R673" t="inlineStr">
        <is>
          <t>权利保障与公平正义</t>
        </is>
      </c>
      <c r="S673" t="n">
        <v>0</v>
      </c>
      <c r="T673" t="n">
        <v>0</v>
      </c>
      <c r="U673" t="n">
        <v>0</v>
      </c>
      <c r="V673" t="inlineStr">
        <is>
          <t>否</t>
        </is>
      </c>
      <c r="W673" t="inlineStr">
        <is>
          <t>否</t>
        </is>
      </c>
      <c r="X673"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74">
      <c r="A674" t="inlineStr">
        <is>
          <t>hist-1fac8d5e7d37b2cd</t>
        </is>
      </c>
      <c r="B674" s="82" t="n">
        <v>46252.9403587963</v>
      </c>
      <c r="D674" t="inlineStr">
        <is>
          <t>快手</t>
        </is>
      </c>
      <c r="E674" t="inlineStr">
        <is>
          <t>快手</t>
        </is>
      </c>
      <c r="F674" t="inlineStr">
        <is>
          <t>逐条直接证据</t>
        </is>
      </c>
      <c r="G674" t="inlineStr">
        <is>
          <t>胡子哥</t>
        </is>
      </c>
      <c r="H674" t="inlineStr">
        <is>
          <t>只定个法律了事，不严厉处罚，那种刻意抹黑的人还是逍遥自在的没完没了的搞破坏</t>
        </is>
      </c>
      <c r="I674" t="inlineStr">
        <is>
          <t>https://v.kuaishou.com/JeQ8Rp21</t>
        </is>
      </c>
      <c r="J674" t="inlineStr">
        <is>
          <t>全国/平台维度</t>
        </is>
      </c>
      <c r="O674" t="inlineStr">
        <is>
          <t>中文</t>
        </is>
      </c>
      <c r="P674" t="inlineStr">
        <is>
          <t>否</t>
        </is>
      </c>
      <c r="Q674" t="inlineStr">
        <is>
          <t>质疑</t>
        </is>
      </c>
      <c r="R674" t="inlineStr">
        <is>
          <t>法律施行与总体解读</t>
        </is>
      </c>
      <c r="S674" t="n">
        <v>0</v>
      </c>
      <c r="T674" t="n">
        <v>0</v>
      </c>
      <c r="U674" t="n">
        <v>0</v>
      </c>
      <c r="V674" t="inlineStr">
        <is>
          <t>否</t>
        </is>
      </c>
      <c r="W674" t="inlineStr">
        <is>
          <t>是</t>
        </is>
      </c>
      <c r="X674" t="inlineStr">
        <is>
          <t>历史导入:民族团结进步促进法舆情统计最终版_非支持原话全量汇总最终版.xlsx；证据状态:原始复核证据；记录类型:逐条直接证据；复核:网民质疑法律抑制“破坏民族团结行为”的有效性；来源:快手平台民族团结进步促进法舆情监测_统计修正版.xlsx；562e200c-ed5b-4cc5-b965-7d32697488ff.xlsx；民族团结进步促进法舆情统计_含非支持来源与原话_最终完整核查版.xlsx/非支持态度复核；非支持来源与原话；重复来源数:4</t>
        </is>
      </c>
    </row>
    <row r="675">
      <c r="A675" t="inlineStr">
        <is>
          <t>hist-f1725fbb50dea2f8</t>
        </is>
      </c>
      <c r="B675" s="82" t="n">
        <v>46252.9403587963</v>
      </c>
      <c r="D675" t="inlineStr">
        <is>
          <t>快手</t>
        </is>
      </c>
      <c r="E675" t="inlineStr">
        <is>
          <t>快手</t>
        </is>
      </c>
      <c r="F675" t="inlineStr">
        <is>
          <t>逐条直接证据</t>
        </is>
      </c>
      <c r="G675" t="inlineStr">
        <is>
          <t>胡子哥</t>
        </is>
      </c>
      <c r="H675" t="inlineStr">
        <is>
          <t>团结的民族从不说五十六</t>
        </is>
      </c>
      <c r="I675" t="inlineStr">
        <is>
          <t>https://v.kuaishou.com/JeQ8Rp21</t>
        </is>
      </c>
      <c r="J675" t="inlineStr">
        <is>
          <t>全国/平台维度</t>
        </is>
      </c>
      <c r="O675" t="inlineStr">
        <is>
          <t>中文</t>
        </is>
      </c>
      <c r="P675" t="inlineStr">
        <is>
          <t>否</t>
        </is>
      </c>
      <c r="Q675" t="inlineStr">
        <is>
          <t>批评</t>
        </is>
      </c>
      <c r="R675" t="inlineStr">
        <is>
          <t>法律施行与总体解读</t>
        </is>
      </c>
      <c r="S675" t="n">
        <v>0</v>
      </c>
      <c r="T675" t="n">
        <v>0</v>
      </c>
      <c r="U675" t="n">
        <v>0</v>
      </c>
      <c r="V675" t="inlineStr">
        <is>
          <t>否</t>
        </is>
      </c>
      <c r="W675" t="inlineStr">
        <is>
          <t>是</t>
        </is>
      </c>
      <c r="X675" t="inlineStr">
        <is>
          <t>历史导入:民族团结进步促进法舆情统计最终版_非支持原话全量汇总最终版.xlsx；证据状态:原始复核证据；记录类型:逐条直接证据；复核:网民称"团结的民族从不说五十六"，质疑"56个民族"分类话语本身；来源:快手平台民族团结进步促进法舆情监测_统计修正版.xlsx；562e200c-ed5b-4cc5-b965-7d32697488ff.xlsx；民族团结进步促进法舆情统计_含非支持来源与原话_最终完整核查版.xlsx/非支持态度复核；非支持来源与原话；重复来源数:4</t>
        </is>
      </c>
    </row>
    <row r="676">
      <c r="A676" t="inlineStr">
        <is>
          <t>hist-436c29b7fc4fb74a</t>
        </is>
      </c>
      <c r="B676" s="82" t="n">
        <v>46252.9403587963</v>
      </c>
      <c r="D676" t="inlineStr">
        <is>
          <t>快手</t>
        </is>
      </c>
      <c r="E676" t="inlineStr">
        <is>
          <t>快手</t>
        </is>
      </c>
      <c r="F676" t="inlineStr">
        <is>
          <t>逐条直接证据</t>
        </is>
      </c>
      <c r="G676" t="inlineStr">
        <is>
          <t>胡子哥</t>
        </is>
      </c>
      <c r="H676" t="inlineStr">
        <is>
          <t>我们要的不是石榴，要的是熔炉。石榴只是貌合神离，表面看起来是一个整体，但是粒粒都能剥得开，粒粒都不相连。熔炉里的铁是扳不开的。拿石榴来做比喻就是居心叵测，司马昭之心，路人皆知。</t>
        </is>
      </c>
      <c r="I676" t="inlineStr">
        <is>
          <t>https://v.kuaishou.com/JeQ8Rp21</t>
        </is>
      </c>
      <c r="J676" t="inlineStr">
        <is>
          <t>全国/平台维度</t>
        </is>
      </c>
      <c r="O676" t="inlineStr">
        <is>
          <t>中文</t>
        </is>
      </c>
      <c r="P676" t="inlineStr">
        <is>
          <t>否</t>
        </is>
      </c>
      <c r="Q676" t="inlineStr">
        <is>
          <t>批评</t>
        </is>
      </c>
      <c r="R676" t="inlineStr">
        <is>
          <t>法律施行与总体解读</t>
        </is>
      </c>
      <c r="S676" t="n">
        <v>0</v>
      </c>
      <c r="T676" t="n">
        <v>0</v>
      </c>
      <c r="U676" t="n">
        <v>0</v>
      </c>
      <c r="V676" t="inlineStr">
        <is>
          <t>否</t>
        </is>
      </c>
      <c r="W676" t="inlineStr">
        <is>
          <t>是</t>
        </is>
      </c>
      <c r="X676" t="inlineStr">
        <is>
          <t>历史导入:民族团结进步促进法舆情统计最终版_非支持原话全量汇总最终版.xlsx；证据状态:原始复核证据；记录类型:逐条直接证据；复核:网民否定"石榴"比喻、称其"貌合神离、居心叵测"，主张"熔炉"（熔合）比喻，对官方团结叙事话语提出明确批评；来源:快手平台民族团结进步促进法舆情监测_统计修正版.xlsx；562e200c-ed5b-4cc5-b965-7d32697488ff.xlsx；民族团结进步促进法舆情统计_含非支持来源与原话_最终完整核查版.xlsx/非支持态度复核；非支持来源与原话；重复来源数:4</t>
        </is>
      </c>
    </row>
    <row r="677">
      <c r="A677" t="inlineStr">
        <is>
          <t>hist-1370dfac6693fcee</t>
        </is>
      </c>
      <c r="B677" s="82" t="n">
        <v>46252.9403587963</v>
      </c>
      <c r="D677" t="inlineStr">
        <is>
          <t>快手</t>
        </is>
      </c>
      <c r="E677" t="inlineStr">
        <is>
          <t>快手</t>
        </is>
      </c>
      <c r="F677" t="inlineStr">
        <is>
          <t>逐条直接证据</t>
        </is>
      </c>
      <c r="G677" t="inlineStr">
        <is>
          <t>胡子哥</t>
        </is>
      </c>
      <c r="H677" t="inlineStr">
        <is>
          <t>是真心讲的吗，但还有部分极端者，总想远离我们这些他们认为脏的汉民，我们用过的东西他不用，，不靠近我们，我们是想拥抱在一起，可总怕某些人嫌弃呀</t>
        </is>
      </c>
      <c r="I677" t="inlineStr">
        <is>
          <t>https://v.kuaishou.com/JeQ8Rp21</t>
        </is>
      </c>
      <c r="J677" t="inlineStr">
        <is>
          <t>全国/平台维度</t>
        </is>
      </c>
      <c r="O677" t="inlineStr">
        <is>
          <t>中文</t>
        </is>
      </c>
      <c r="P677" t="inlineStr">
        <is>
          <t>否</t>
        </is>
      </c>
      <c r="Q677" t="inlineStr">
        <is>
          <t>质疑</t>
        </is>
      </c>
      <c r="R677" t="inlineStr">
        <is>
          <t>民族团结与民族关系</t>
        </is>
      </c>
      <c r="S677" t="n">
        <v>0</v>
      </c>
      <c r="T677" t="n">
        <v>0</v>
      </c>
      <c r="U677" t="n">
        <v>0</v>
      </c>
      <c r="V677" t="inlineStr">
        <is>
          <t>否</t>
        </is>
      </c>
      <c r="W677" t="inlineStr">
        <is>
          <t>是</t>
        </is>
      </c>
      <c r="X677" t="inlineStr">
        <is>
          <t>历史导入:民族团结进步促进法舆情统计最终版_非支持原话全量汇总最终版.xlsx；证据状态:原始复核证据；记录类型:逐条直接证据；复核:网民质疑"是真心讲的吗"，并称部分极端者视汉民为"脏"、回避靠近，表达"想拥抱却怕被嫌弃"的困境，自汉民视角叙述偏见排斥现象；来源:快手平台民族团结进步促进法舆情监测_统计修正版.xlsx；562e200c-ed5b-4cc5-b965-7d32697488ff.xlsx；民族团结进步促进法舆情统计_含非支持来源与原话_最终完整核查版.xlsx/非支持态度复核；非支持来源与原话；重复来源数:4</t>
        </is>
      </c>
    </row>
    <row r="678">
      <c r="A678" t="inlineStr">
        <is>
          <t>hist-13fbfbf0cd270b46</t>
        </is>
      </c>
      <c r="B678" s="82" t="n">
        <v>46252.9403587963</v>
      </c>
      <c r="D678" t="inlineStr">
        <is>
          <t>快手</t>
        </is>
      </c>
      <c r="E678" t="inlineStr">
        <is>
          <t>快手</t>
        </is>
      </c>
      <c r="F678" t="inlineStr">
        <is>
          <t>逐条直接证据</t>
        </is>
      </c>
      <c r="G678" t="inlineStr">
        <is>
          <t>胡子哥</t>
        </is>
      </c>
      <c r="H678" t="inlineStr">
        <is>
          <t>那为啥你们要补助这补助那的</t>
        </is>
      </c>
      <c r="I678" t="inlineStr">
        <is>
          <t>https://v.kuaishou.com/JeQ8Rp21</t>
        </is>
      </c>
      <c r="J678" t="inlineStr">
        <is>
          <t>全国/平台维度</t>
        </is>
      </c>
      <c r="O678" t="inlineStr">
        <is>
          <t>中文</t>
        </is>
      </c>
      <c r="P678" t="inlineStr">
        <is>
          <t>否</t>
        </is>
      </c>
      <c r="Q678" t="inlineStr">
        <is>
          <t>质疑</t>
        </is>
      </c>
      <c r="R678" t="inlineStr">
        <is>
          <t>权利保障与公平正义</t>
        </is>
      </c>
      <c r="S678" t="n">
        <v>0</v>
      </c>
      <c r="T678" t="n">
        <v>0</v>
      </c>
      <c r="U678" t="n">
        <v>0</v>
      </c>
      <c r="V678" t="inlineStr">
        <is>
          <t>否</t>
        </is>
      </c>
      <c r="W678" t="inlineStr">
        <is>
          <t>是</t>
        </is>
      </c>
      <c r="X678" t="inlineStr">
        <is>
          <t>历史导入:民族团结进步促进法舆情统计最终版_非支持原话全量汇总最终版.xlsx；证据状态:原始复核证据；记录类型:逐条直接证据；复核:网民质问"为啥你们要补助这补助那的"，质疑民族补助政策公平性；来源:快手平台民族团结进步促进法舆情监测_统计修正版.xlsx；562e200c-ed5b-4cc5-b965-7d32697488ff.xlsx；民族团结进步促进法舆情统计_含非支持来源与原话_最终完整核查版.xlsx/非支持态度复核；非支持来源与原话；重复来源数:4</t>
        </is>
      </c>
    </row>
    <row r="679">
      <c r="A679" t="inlineStr">
        <is>
          <t>hist-08df94cdc6027c1d</t>
        </is>
      </c>
      <c r="B679" s="82" t="n">
        <v>46252.9403587963</v>
      </c>
      <c r="D679" t="inlineStr">
        <is>
          <t>快手</t>
        </is>
      </c>
      <c r="E679" t="inlineStr">
        <is>
          <t>快手</t>
        </is>
      </c>
      <c r="F679" t="inlineStr">
        <is>
          <t>逐条直接证据</t>
        </is>
      </c>
      <c r="G679" t="inlineStr">
        <is>
          <t>放猪老人~迪日尔古</t>
        </is>
      </c>
      <c r="H679" t="inlineStr">
        <is>
          <t>一般不会直说，看身份证说招满了，暂时不要了你能怎么办</t>
        </is>
      </c>
      <c r="I679" t="inlineStr">
        <is>
          <t>https://v.kuaishou.com/KbUsbF4n</t>
        </is>
      </c>
      <c r="J679" t="inlineStr">
        <is>
          <t>四川/甘肃</t>
        </is>
      </c>
      <c r="L679" t="inlineStr">
        <is>
          <t>四川</t>
        </is>
      </c>
      <c r="O679" t="inlineStr">
        <is>
          <t>中文</t>
        </is>
      </c>
      <c r="P679" t="inlineStr">
        <is>
          <t>否</t>
        </is>
      </c>
      <c r="Q679" t="inlineStr">
        <is>
          <t>实施问题</t>
        </is>
      </c>
      <c r="R679" t="inlineStr">
        <is>
          <t>权利保障与公平正义</t>
        </is>
      </c>
      <c r="S679" t="n">
        <v>0</v>
      </c>
      <c r="T679" t="n">
        <v>0</v>
      </c>
      <c r="U679" t="n">
        <v>0</v>
      </c>
      <c r="V679" t="inlineStr">
        <is>
          <t>否</t>
        </is>
      </c>
      <c r="W679" t="inlineStr">
        <is>
          <t>是</t>
        </is>
      </c>
      <c r="X679"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680">
      <c r="A680" t="inlineStr">
        <is>
          <t>hist-74c3eea3f74b80e5</t>
        </is>
      </c>
      <c r="B680" s="82" t="n">
        <v>46252.9403587963</v>
      </c>
      <c r="D680" t="inlineStr">
        <is>
          <t>快手</t>
        </is>
      </c>
      <c r="E680" t="inlineStr">
        <is>
          <t>快手</t>
        </is>
      </c>
      <c r="F680" t="inlineStr">
        <is>
          <t>逐条直接证据</t>
        </is>
      </c>
      <c r="G680" t="inlineStr">
        <is>
          <t>放猪老人~迪日尔古</t>
        </is>
      </c>
      <c r="H680" t="inlineStr">
        <is>
          <t>一颗耗子屎害一锅汤</t>
        </is>
      </c>
      <c r="I680" t="inlineStr">
        <is>
          <t>https://www.kuaishou.com/f/X61LgJZvnkrW15G</t>
        </is>
      </c>
      <c r="J680" t="inlineStr">
        <is>
          <t>四川/甘肃</t>
        </is>
      </c>
      <c r="L680" t="inlineStr">
        <is>
          <t>四川</t>
        </is>
      </c>
      <c r="O680" t="inlineStr">
        <is>
          <t>中文</t>
        </is>
      </c>
      <c r="P680" t="inlineStr">
        <is>
          <t>否</t>
        </is>
      </c>
      <c r="Q680" t="inlineStr">
        <is>
          <t>公平争议</t>
        </is>
      </c>
      <c r="R680" t="inlineStr">
        <is>
          <t>就业公平；刻板印象；群体内部反思</t>
        </is>
      </c>
      <c r="S680" t="n">
        <v>0</v>
      </c>
      <c r="T680" t="n">
        <v>0</v>
      </c>
      <c r="U680" t="n">
        <v>0</v>
      </c>
      <c r="V680" t="inlineStr">
        <is>
          <t>否</t>
        </is>
      </c>
      <c r="W680" t="inlineStr">
        <is>
          <t>是</t>
        </is>
      </c>
      <c r="X68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1">
      <c r="A681" t="inlineStr">
        <is>
          <t>hist-5518f3abc2e59f57</t>
        </is>
      </c>
      <c r="B681" s="82" t="n">
        <v>46252.9403587963</v>
      </c>
      <c r="D681" t="inlineStr">
        <is>
          <t>快手</t>
        </is>
      </c>
      <c r="E681" t="inlineStr">
        <is>
          <t>快手</t>
        </is>
      </c>
      <c r="F681" t="inlineStr">
        <is>
          <t>逐条直接证据</t>
        </is>
      </c>
      <c r="G681" t="inlineStr">
        <is>
          <t>放猪老人~迪日尔古</t>
        </is>
      </c>
      <c r="H681" t="inlineStr">
        <is>
          <t>一颗耗子屎，坏了一锅粥，不怪别人</t>
        </is>
      </c>
      <c r="I681" t="inlineStr">
        <is>
          <t>https://www.kuaishou.com/f/X61LgJZvnkrW15G</t>
        </is>
      </c>
      <c r="J681" t="inlineStr">
        <is>
          <t>四川/甘肃</t>
        </is>
      </c>
      <c r="L681" t="inlineStr">
        <is>
          <t>四川</t>
        </is>
      </c>
      <c r="O681" t="inlineStr">
        <is>
          <t>中文</t>
        </is>
      </c>
      <c r="P681" t="inlineStr">
        <is>
          <t>否</t>
        </is>
      </c>
      <c r="Q681" t="inlineStr">
        <is>
          <t>公平争议</t>
        </is>
      </c>
      <c r="R681" t="inlineStr">
        <is>
          <t>就业公平；刻板印象；群体内部反思</t>
        </is>
      </c>
      <c r="S681" t="n">
        <v>0</v>
      </c>
      <c r="T681" t="n">
        <v>0</v>
      </c>
      <c r="U681" t="n">
        <v>0</v>
      </c>
      <c r="V681" t="inlineStr">
        <is>
          <t>否</t>
        </is>
      </c>
      <c r="W681" t="inlineStr">
        <is>
          <t>是</t>
        </is>
      </c>
      <c r="X68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2">
      <c r="A682" t="inlineStr">
        <is>
          <t>hist-f61495cba4b2ae40</t>
        </is>
      </c>
      <c r="B682" s="82" t="n">
        <v>46252.9403587963</v>
      </c>
      <c r="D682" t="inlineStr">
        <is>
          <t>快手</t>
        </is>
      </c>
      <c r="E682" t="inlineStr">
        <is>
          <t>快手</t>
        </is>
      </c>
      <c r="F682" t="inlineStr">
        <is>
          <t>逐条直接证据</t>
        </is>
      </c>
      <c r="G682" t="inlineStr">
        <is>
          <t>放猪老人~迪日尔古</t>
        </is>
      </c>
      <c r="H682" t="inlineStr">
        <is>
          <t>七月都快月底了，怎么我在这个地方还不招彝族人？为什么为什么？你能告诉我吗？这样下去彝族下一代没有地方打工了，你能告诉我吗？这么样解决？</t>
        </is>
      </c>
      <c r="I682" t="inlineStr">
        <is>
          <t>https://v.kuaishou.com/KbUsbF4n</t>
        </is>
      </c>
      <c r="J682" t="inlineStr">
        <is>
          <t>四川/甘肃</t>
        </is>
      </c>
      <c r="L682" t="inlineStr">
        <is>
          <t>四川</t>
        </is>
      </c>
      <c r="O682" t="inlineStr">
        <is>
          <t>中文</t>
        </is>
      </c>
      <c r="P682" t="inlineStr">
        <is>
          <t>否</t>
        </is>
      </c>
      <c r="Q682" t="inlineStr">
        <is>
          <t>担忧</t>
        </is>
      </c>
      <c r="R682" t="inlineStr">
        <is>
          <t>权利保障与公平正义</t>
        </is>
      </c>
      <c r="S682" t="n">
        <v>0</v>
      </c>
      <c r="T682" t="n">
        <v>0</v>
      </c>
      <c r="U682" t="n">
        <v>0</v>
      </c>
      <c r="V682" t="inlineStr">
        <is>
          <t>否</t>
        </is>
      </c>
      <c r="W682" t="inlineStr">
        <is>
          <t>是</t>
        </is>
      </c>
      <c r="X682" t="inlineStr">
        <is>
          <t>历史导入:民族团结进步促进法舆情统计最终版_非支持原话全量汇总最终版.xlsx；证据状态:原始复核证据；记录类型:逐条直接证据；复核:网民情绪激动，担忧彝族人就业问题；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683">
      <c r="A683" t="inlineStr">
        <is>
          <t>hist-893eb221744e20c6</t>
        </is>
      </c>
      <c r="B683" s="82" t="n">
        <v>46252.9403587963</v>
      </c>
      <c r="D683" t="inlineStr">
        <is>
          <t>快手</t>
        </is>
      </c>
      <c r="E683" t="inlineStr">
        <is>
          <t>快手</t>
        </is>
      </c>
      <c r="F683" t="inlineStr">
        <is>
          <t>逐条直接证据</t>
        </is>
      </c>
      <c r="G683" t="inlineStr">
        <is>
          <t>放猪老人~迪日尔古</t>
        </is>
      </c>
      <c r="H683" t="inlineStr">
        <is>
          <t>上个月我在甘肃庆阳工地身份证一看老板说彝族不要就一个班都没上就回去了</t>
        </is>
      </c>
      <c r="I683" t="inlineStr">
        <is>
          <t>https://v.kuaishou.com/KbUsbF4n</t>
        </is>
      </c>
      <c r="J683" t="inlineStr">
        <is>
          <t>四川/甘肃</t>
        </is>
      </c>
      <c r="L683" t="inlineStr">
        <is>
          <t>四川</t>
        </is>
      </c>
      <c r="O683" t="inlineStr">
        <is>
          <t>中文</t>
        </is>
      </c>
      <c r="P683" t="inlineStr">
        <is>
          <t>否</t>
        </is>
      </c>
      <c r="Q683" t="inlineStr">
        <is>
          <t>实施问题</t>
        </is>
      </c>
      <c r="R683" t="inlineStr">
        <is>
          <t>权利保障与公平正义</t>
        </is>
      </c>
      <c r="S683" t="n">
        <v>0</v>
      </c>
      <c r="T683" t="n">
        <v>0</v>
      </c>
      <c r="U683" t="n">
        <v>0</v>
      </c>
      <c r="V683" t="inlineStr">
        <is>
          <t>否</t>
        </is>
      </c>
      <c r="W683" t="inlineStr">
        <is>
          <t>是</t>
        </is>
      </c>
      <c r="X683"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684">
      <c r="A684" t="inlineStr">
        <is>
          <t>hist-cab6b003e5f3b07f</t>
        </is>
      </c>
      <c r="B684" s="82" t="n">
        <v>46252.9403587963</v>
      </c>
      <c r="D684" t="inlineStr">
        <is>
          <t>快手</t>
        </is>
      </c>
      <c r="E684" t="inlineStr">
        <is>
          <t>快手</t>
        </is>
      </c>
      <c r="F684" t="inlineStr">
        <is>
          <t>逐条直接证据</t>
        </is>
      </c>
      <c r="G684" t="inlineStr">
        <is>
          <t>放猪老人~迪日尔古</t>
        </is>
      </c>
      <c r="H684" t="inlineStr">
        <is>
          <t>不应该去怪别人 而是自我反省为什么被拒绝，我们诺苏一些年轻人素质教育需要改变</t>
        </is>
      </c>
      <c r="I684" t="inlineStr">
        <is>
          <t>https://www.kuaishou.com/f/X61LgJZvnkrW15G</t>
        </is>
      </c>
      <c r="J684" t="inlineStr">
        <is>
          <t>四川/甘肃</t>
        </is>
      </c>
      <c r="L684" t="inlineStr">
        <is>
          <t>四川</t>
        </is>
      </c>
      <c r="O684" t="inlineStr">
        <is>
          <t>中文</t>
        </is>
      </c>
      <c r="P684" t="inlineStr">
        <is>
          <t>否</t>
        </is>
      </c>
      <c r="Q684" t="inlineStr">
        <is>
          <t>公平争议</t>
        </is>
      </c>
      <c r="R684" t="inlineStr">
        <is>
          <t>就业公平；刻板印象；群体内部反思</t>
        </is>
      </c>
      <c r="S684" t="n">
        <v>0</v>
      </c>
      <c r="T684" t="n">
        <v>0</v>
      </c>
      <c r="U684" t="n">
        <v>0</v>
      </c>
      <c r="V684" t="inlineStr">
        <is>
          <t>否</t>
        </is>
      </c>
      <c r="W684" t="inlineStr">
        <is>
          <t>是</t>
        </is>
      </c>
      <c r="X684"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5">
      <c r="A685" t="inlineStr">
        <is>
          <t>hist-ae873e8b2a4bec6e</t>
        </is>
      </c>
      <c r="B685" s="82" t="n">
        <v>46252.9403587963</v>
      </c>
      <c r="D685" t="inlineStr">
        <is>
          <t>快手</t>
        </is>
      </c>
      <c r="E685" t="inlineStr">
        <is>
          <t>快手</t>
        </is>
      </c>
      <c r="F685" t="inlineStr">
        <is>
          <t>逐条直接证据</t>
        </is>
      </c>
      <c r="G685" t="inlineStr">
        <is>
          <t>放猪老人~迪日尔古</t>
        </is>
      </c>
      <c r="H685" t="inlineStr">
        <is>
          <t>不是你说了算</t>
        </is>
      </c>
      <c r="I685" t="inlineStr">
        <is>
          <t>https://www.kuaishou.com/f/X61LgJZvnkrW15G</t>
        </is>
      </c>
      <c r="J685" t="inlineStr">
        <is>
          <t>四川/甘肃</t>
        </is>
      </c>
      <c r="L685" t="inlineStr">
        <is>
          <t>四川</t>
        </is>
      </c>
      <c r="O685" t="inlineStr">
        <is>
          <t>中文</t>
        </is>
      </c>
      <c r="P685" t="inlineStr">
        <is>
          <t>否</t>
        </is>
      </c>
      <c r="Q685" t="inlineStr">
        <is>
          <t>明确批评</t>
        </is>
      </c>
      <c r="R685" t="inlineStr">
        <is>
          <t>执行效果质疑；纸面落实；政策可信度</t>
        </is>
      </c>
      <c r="S685" t="n">
        <v>0</v>
      </c>
      <c r="T685" t="n">
        <v>0</v>
      </c>
      <c r="U685" t="n">
        <v>0</v>
      </c>
      <c r="V685" t="inlineStr">
        <is>
          <t>否</t>
        </is>
      </c>
      <c r="W685" t="inlineStr">
        <is>
          <t>是</t>
        </is>
      </c>
      <c r="X685"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6">
      <c r="A686" t="inlineStr">
        <is>
          <t>hist-7896c1760dbc1ce1</t>
        </is>
      </c>
      <c r="B686" s="82" t="n">
        <v>46252.9403587963</v>
      </c>
      <c r="D686" t="inlineStr">
        <is>
          <t>快手</t>
        </is>
      </c>
      <c r="E686" t="inlineStr">
        <is>
          <t>快手</t>
        </is>
      </c>
      <c r="F686" t="inlineStr">
        <is>
          <t>逐条直接证据</t>
        </is>
      </c>
      <c r="G686" t="inlineStr">
        <is>
          <t>放猪老人~迪日尔古</t>
        </is>
      </c>
      <c r="H686" t="inlineStr">
        <is>
          <t>不是你说了算，四川是彝族最多的，连成都不要彝族人，</t>
        </is>
      </c>
      <c r="I686" t="inlineStr">
        <is>
          <t>https://www.kuaishou.com/f/X61LgJZvnkrW15G</t>
        </is>
      </c>
      <c r="J686" t="inlineStr">
        <is>
          <t>四川/甘肃</t>
        </is>
      </c>
      <c r="L686" t="inlineStr">
        <is>
          <t>四川</t>
        </is>
      </c>
      <c r="O686" t="inlineStr">
        <is>
          <t>中文</t>
        </is>
      </c>
      <c r="P686" t="inlineStr">
        <is>
          <t>否</t>
        </is>
      </c>
      <c r="Q686" t="inlineStr">
        <is>
          <t>实施问题</t>
        </is>
      </c>
      <c r="R686" t="inlineStr">
        <is>
          <t>隐性拒录；企业规避；执法与举证困难</t>
        </is>
      </c>
      <c r="S686" t="n">
        <v>0</v>
      </c>
      <c r="T686" t="n">
        <v>0</v>
      </c>
      <c r="U686" t="n">
        <v>0</v>
      </c>
      <c r="V686" t="inlineStr">
        <is>
          <t>否</t>
        </is>
      </c>
      <c r="W686" t="inlineStr">
        <is>
          <t>是</t>
        </is>
      </c>
      <c r="X686"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7">
      <c r="A687" t="inlineStr">
        <is>
          <t>hist-6a132a0649f82978</t>
        </is>
      </c>
      <c r="B687" s="82" t="n">
        <v>46252.9403587963</v>
      </c>
      <c r="D687" t="inlineStr">
        <is>
          <t>快手</t>
        </is>
      </c>
      <c r="E687" t="inlineStr">
        <is>
          <t>快手</t>
        </is>
      </c>
      <c r="F687" t="inlineStr">
        <is>
          <t>逐条直接证据</t>
        </is>
      </c>
      <c r="G687" t="inlineStr">
        <is>
          <t>放猪老人~迪日尔古</t>
        </is>
      </c>
      <c r="H687" t="inlineStr">
        <is>
          <t>不是你说的就算</t>
        </is>
      </c>
      <c r="I687" t="inlineStr">
        <is>
          <t>https://www.kuaishou.com/f/X61LgJZvnkrW15G</t>
        </is>
      </c>
      <c r="J687" t="inlineStr">
        <is>
          <t>四川/甘肃</t>
        </is>
      </c>
      <c r="L687" t="inlineStr">
        <is>
          <t>四川</t>
        </is>
      </c>
      <c r="O687" t="inlineStr">
        <is>
          <t>中文</t>
        </is>
      </c>
      <c r="P687" t="inlineStr">
        <is>
          <t>否</t>
        </is>
      </c>
      <c r="Q687" t="inlineStr">
        <is>
          <t>明确批评</t>
        </is>
      </c>
      <c r="R687" t="inlineStr">
        <is>
          <t>执行效果质疑；纸面落实；政策可信度</t>
        </is>
      </c>
      <c r="S687" t="n">
        <v>0</v>
      </c>
      <c r="T687" t="n">
        <v>0</v>
      </c>
      <c r="U687" t="n">
        <v>0</v>
      </c>
      <c r="V687" t="inlineStr">
        <is>
          <t>否</t>
        </is>
      </c>
      <c r="W687" t="inlineStr">
        <is>
          <t>是</t>
        </is>
      </c>
      <c r="X687"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8">
      <c r="A688" t="inlineStr">
        <is>
          <t>hist-f5e48dfaff14411d</t>
        </is>
      </c>
      <c r="B688" s="82" t="n">
        <v>46252.9403587963</v>
      </c>
      <c r="D688" t="inlineStr">
        <is>
          <t>快手</t>
        </is>
      </c>
      <c r="E688" t="inlineStr">
        <is>
          <t>快手</t>
        </is>
      </c>
      <c r="F688" t="inlineStr">
        <is>
          <t>逐条直接证据</t>
        </is>
      </c>
      <c r="G688" t="inlineStr">
        <is>
          <t>放猪老人~迪日尔古</t>
        </is>
      </c>
      <c r="H688" t="inlineStr">
        <is>
          <t>不要在网络上说这些那些了你们这些网上上说的真的是服了</t>
        </is>
      </c>
      <c r="I688" t="inlineStr">
        <is>
          <t>https://www.kuaishou.com/f/X61LgJZvnkrW15G</t>
        </is>
      </c>
      <c r="J688" t="inlineStr">
        <is>
          <t>四川/甘肃</t>
        </is>
      </c>
      <c r="L688" t="inlineStr">
        <is>
          <t>四川</t>
        </is>
      </c>
      <c r="O688" t="inlineStr">
        <is>
          <t>中文</t>
        </is>
      </c>
      <c r="P688" t="inlineStr">
        <is>
          <t>否</t>
        </is>
      </c>
      <c r="Q688" t="inlineStr">
        <is>
          <t>明确批评</t>
        </is>
      </c>
      <c r="R688" t="inlineStr">
        <is>
          <t>执行效果质疑；纸面落实；政策可信度</t>
        </is>
      </c>
      <c r="S688" t="n">
        <v>0</v>
      </c>
      <c r="T688" t="n">
        <v>0</v>
      </c>
      <c r="U688" t="n">
        <v>0</v>
      </c>
      <c r="V688" t="inlineStr">
        <is>
          <t>否</t>
        </is>
      </c>
      <c r="W688" t="inlineStr">
        <is>
          <t>是</t>
        </is>
      </c>
      <c r="X688"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9">
      <c r="A689" t="inlineStr">
        <is>
          <t>hist-3857c2060f6e71e4</t>
        </is>
      </c>
      <c r="B689" s="82" t="n">
        <v>46252.9403587963</v>
      </c>
      <c r="D689" t="inlineStr">
        <is>
          <t>快手</t>
        </is>
      </c>
      <c r="E689" t="inlineStr">
        <is>
          <t>快手</t>
        </is>
      </c>
      <c r="F689" t="inlineStr">
        <is>
          <t>逐条直接证据</t>
        </is>
      </c>
      <c r="G689" t="inlineStr">
        <is>
          <t>放猪老人~迪日尔古</t>
        </is>
      </c>
      <c r="H689" t="inlineStr">
        <is>
          <t>不要说东说西连四川省会 成都都不要彝包</t>
        </is>
      </c>
      <c r="I689" t="inlineStr">
        <is>
          <t>https://v.kuaishou.com/KbUsbF4n</t>
        </is>
      </c>
      <c r="J689" t="inlineStr">
        <is>
          <t>四川/甘肃</t>
        </is>
      </c>
      <c r="L689" t="inlineStr">
        <is>
          <t>四川</t>
        </is>
      </c>
      <c r="O689" t="inlineStr">
        <is>
          <t>中文</t>
        </is>
      </c>
      <c r="P689" t="inlineStr">
        <is>
          <t>否</t>
        </is>
      </c>
      <c r="Q689" t="inlineStr">
        <is>
          <t>质疑</t>
        </is>
      </c>
      <c r="R689" t="inlineStr">
        <is>
          <t>权利保障与公平正义</t>
        </is>
      </c>
      <c r="S689" t="n">
        <v>0</v>
      </c>
      <c r="T689" t="n">
        <v>0</v>
      </c>
      <c r="U689" t="n">
        <v>0</v>
      </c>
      <c r="V689" t="inlineStr">
        <is>
          <t>否</t>
        </is>
      </c>
      <c r="W689" t="inlineStr">
        <is>
          <t>是</t>
        </is>
      </c>
      <c r="X689"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690">
      <c r="A690" t="inlineStr">
        <is>
          <t>hist-78689961268924e4</t>
        </is>
      </c>
      <c r="B690" s="82" t="n">
        <v>46252.9403587963</v>
      </c>
      <c r="D690" t="inlineStr">
        <is>
          <t>快手</t>
        </is>
      </c>
      <c r="E690" t="inlineStr">
        <is>
          <t>快手</t>
        </is>
      </c>
      <c r="F690" t="inlineStr">
        <is>
          <t>逐条直接证据</t>
        </is>
      </c>
      <c r="G690" t="inlineStr">
        <is>
          <t>放猪老人~迪日尔古</t>
        </is>
      </c>
      <c r="H690" t="inlineStr">
        <is>
          <t>为什么不要，你们自己先找找原因</t>
        </is>
      </c>
      <c r="I690" t="inlineStr">
        <is>
          <t>https://www.kuaishou.com/f/X61LgJZvnkrW15G</t>
        </is>
      </c>
      <c r="J690" t="inlineStr">
        <is>
          <t>四川/甘肃</t>
        </is>
      </c>
      <c r="L690" t="inlineStr">
        <is>
          <t>四川</t>
        </is>
      </c>
      <c r="O690" t="inlineStr">
        <is>
          <t>中文</t>
        </is>
      </c>
      <c r="P690" t="inlineStr">
        <is>
          <t>否</t>
        </is>
      </c>
      <c r="Q690" t="inlineStr">
        <is>
          <t>公平争议</t>
        </is>
      </c>
      <c r="R690" t="inlineStr">
        <is>
          <t>就业公平；刻板印象；群体内部反思</t>
        </is>
      </c>
      <c r="S690" t="n">
        <v>0</v>
      </c>
      <c r="T690" t="n">
        <v>0</v>
      </c>
      <c r="U690" t="n">
        <v>0</v>
      </c>
      <c r="V690" t="inlineStr">
        <is>
          <t>否</t>
        </is>
      </c>
      <c r="W690" t="inlineStr">
        <is>
          <t>是</t>
        </is>
      </c>
      <c r="X69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1">
      <c r="A691" t="inlineStr">
        <is>
          <t>hist-3b8ec0c73b035844</t>
        </is>
      </c>
      <c r="B691" s="82" t="n">
        <v>46252.9403587963</v>
      </c>
      <c r="D691" t="inlineStr">
        <is>
          <t>快手</t>
        </is>
      </c>
      <c r="E691" t="inlineStr">
        <is>
          <t>快手</t>
        </is>
      </c>
      <c r="F691" t="inlineStr">
        <is>
          <t>逐条直接证据</t>
        </is>
      </c>
      <c r="G691" t="inlineStr">
        <is>
          <t>放猪老人~迪日尔古</t>
        </is>
      </c>
      <c r="H691" t="inlineStr">
        <is>
          <t>人家不说民族 人家只说 不要人了 难不成你去告他吗 这些话大人忽悠小孩的</t>
        </is>
      </c>
      <c r="I691" t="inlineStr">
        <is>
          <t>https://www.kuaishou.com/f/X61LgJZvnkrW15G</t>
        </is>
      </c>
      <c r="J691" t="inlineStr">
        <is>
          <t>四川/甘肃</t>
        </is>
      </c>
      <c r="L691" t="inlineStr">
        <is>
          <t>四川</t>
        </is>
      </c>
      <c r="O691" t="inlineStr">
        <is>
          <t>中文</t>
        </is>
      </c>
      <c r="P691" t="inlineStr">
        <is>
          <t>否</t>
        </is>
      </c>
      <c r="Q691" t="inlineStr">
        <is>
          <t>实施问题</t>
        </is>
      </c>
      <c r="R691" t="inlineStr">
        <is>
          <t>隐性拒录；企业规避；执法与举证困难</t>
        </is>
      </c>
      <c r="S691" t="n">
        <v>0</v>
      </c>
      <c r="T691" t="n">
        <v>0</v>
      </c>
      <c r="U691" t="n">
        <v>0</v>
      </c>
      <c r="V691" t="inlineStr">
        <is>
          <t>否</t>
        </is>
      </c>
      <c r="W691" t="inlineStr">
        <is>
          <t>是</t>
        </is>
      </c>
      <c r="X69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2">
      <c r="A692" t="inlineStr">
        <is>
          <t>hist-af11be25aae476fa</t>
        </is>
      </c>
      <c r="B692" s="82" t="n">
        <v>46252.9403587963</v>
      </c>
      <c r="D692" t="inlineStr">
        <is>
          <t>快手</t>
        </is>
      </c>
      <c r="E692" t="inlineStr">
        <is>
          <t>快手</t>
        </is>
      </c>
      <c r="F692" t="inlineStr">
        <is>
          <t>逐条直接证据</t>
        </is>
      </c>
      <c r="G692" t="inlineStr">
        <is>
          <t>放猪老人~迪日尔古</t>
        </is>
      </c>
      <c r="H692" t="inlineStr">
        <is>
          <t>人家企业想用你就用你 不想用你就没办法</t>
        </is>
      </c>
      <c r="I692" t="inlineStr">
        <is>
          <t>https://www.kuaishou.com/f/X61LgJZvnkrW15G</t>
        </is>
      </c>
      <c r="J692" t="inlineStr">
        <is>
          <t>四川/甘肃</t>
        </is>
      </c>
      <c r="L692" t="inlineStr">
        <is>
          <t>四川</t>
        </is>
      </c>
      <c r="O692" t="inlineStr">
        <is>
          <t>中文</t>
        </is>
      </c>
      <c r="P692" t="inlineStr">
        <is>
          <t>否</t>
        </is>
      </c>
      <c r="Q692" t="inlineStr">
        <is>
          <t>公平争议</t>
        </is>
      </c>
      <c r="R692" t="inlineStr">
        <is>
          <t>就业公平；刻板印象；群体内部反思</t>
        </is>
      </c>
      <c r="S692" t="n">
        <v>0</v>
      </c>
      <c r="T692" t="n">
        <v>0</v>
      </c>
      <c r="U692" t="n">
        <v>0</v>
      </c>
      <c r="V692" t="inlineStr">
        <is>
          <t>否</t>
        </is>
      </c>
      <c r="W692" t="inlineStr">
        <is>
          <t>是</t>
        </is>
      </c>
      <c r="X69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3">
      <c r="A693" t="inlineStr">
        <is>
          <t>hist-48a8a1f19a1ae243</t>
        </is>
      </c>
      <c r="B693" s="82" t="n">
        <v>46252.9403587963</v>
      </c>
      <c r="D693" t="inlineStr">
        <is>
          <t>快手</t>
        </is>
      </c>
      <c r="E693" t="inlineStr">
        <is>
          <t>快手</t>
        </is>
      </c>
      <c r="F693" t="inlineStr">
        <is>
          <t>逐条直接证据</t>
        </is>
      </c>
      <c r="G693" t="inlineStr">
        <is>
          <t>放猪老人~迪日尔古</t>
        </is>
      </c>
      <c r="H693" t="inlineStr">
        <is>
          <t>人家没说不要彝族 看看你身份证 直接说暂时不招 暂时人🈵了</t>
        </is>
      </c>
      <c r="I693" t="inlineStr">
        <is>
          <t>https://www.kuaishou.com/f/X61LgJZvnkrW15G</t>
        </is>
      </c>
      <c r="J693" t="inlineStr">
        <is>
          <t>四川/甘肃</t>
        </is>
      </c>
      <c r="L693" t="inlineStr">
        <is>
          <t>四川</t>
        </is>
      </c>
      <c r="O693" t="inlineStr">
        <is>
          <t>中文</t>
        </is>
      </c>
      <c r="P693" t="inlineStr">
        <is>
          <t>否</t>
        </is>
      </c>
      <c r="Q693" t="inlineStr">
        <is>
          <t>实施问题</t>
        </is>
      </c>
      <c r="R693" t="inlineStr">
        <is>
          <t>隐性拒录；企业规避；执法与举证困难</t>
        </is>
      </c>
      <c r="S693" t="n">
        <v>0</v>
      </c>
      <c r="T693" t="n">
        <v>0</v>
      </c>
      <c r="U693" t="n">
        <v>0</v>
      </c>
      <c r="V693" t="inlineStr">
        <is>
          <t>否</t>
        </is>
      </c>
      <c r="W693" t="inlineStr">
        <is>
          <t>是</t>
        </is>
      </c>
      <c r="X693"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4">
      <c r="A694" t="inlineStr">
        <is>
          <t>hist-4153368cd933ccaa</t>
        </is>
      </c>
      <c r="B694" s="82" t="n">
        <v>46252.9403587963</v>
      </c>
      <c r="D694" t="inlineStr">
        <is>
          <t>快手</t>
        </is>
      </c>
      <c r="E694" t="inlineStr">
        <is>
          <t>快手</t>
        </is>
      </c>
      <c r="F694" t="inlineStr">
        <is>
          <t>逐条直接证据</t>
        </is>
      </c>
      <c r="G694" t="inlineStr">
        <is>
          <t>放猪老人~迪日尔古</t>
        </is>
      </c>
      <c r="H694" t="inlineStr">
        <is>
          <t>人家说的是满了不是不要</t>
        </is>
      </c>
      <c r="I694" t="inlineStr">
        <is>
          <t>https://www.kuaishou.com/f/X61LgJZvnkrW15G</t>
        </is>
      </c>
      <c r="J694" t="inlineStr">
        <is>
          <t>四川/甘肃</t>
        </is>
      </c>
      <c r="L694" t="inlineStr">
        <is>
          <t>四川</t>
        </is>
      </c>
      <c r="O694" t="inlineStr">
        <is>
          <t>中文</t>
        </is>
      </c>
      <c r="P694" t="inlineStr">
        <is>
          <t>否</t>
        </is>
      </c>
      <c r="Q694" t="inlineStr">
        <is>
          <t>公平争议</t>
        </is>
      </c>
      <c r="R694" t="inlineStr">
        <is>
          <t>就业公平；刻板印象；群体内部反思</t>
        </is>
      </c>
      <c r="S694" t="n">
        <v>0</v>
      </c>
      <c r="T694" t="n">
        <v>0</v>
      </c>
      <c r="U694" t="n">
        <v>0</v>
      </c>
      <c r="V694" t="inlineStr">
        <is>
          <t>否</t>
        </is>
      </c>
      <c r="W694" t="inlineStr">
        <is>
          <t>是</t>
        </is>
      </c>
      <c r="X694"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5">
      <c r="A695" t="inlineStr">
        <is>
          <t>hist-4329b29638a37f80</t>
        </is>
      </c>
      <c r="B695" s="82" t="n">
        <v>46252.9403587963</v>
      </c>
      <c r="D695" t="inlineStr">
        <is>
          <t>快手</t>
        </is>
      </c>
      <c r="E695" t="inlineStr">
        <is>
          <t>快手</t>
        </is>
      </c>
      <c r="F695" t="inlineStr">
        <is>
          <t>逐条直接证据</t>
        </is>
      </c>
      <c r="G695" t="inlineStr">
        <is>
          <t>放猪老人~迪日尔古</t>
        </is>
      </c>
      <c r="H695" t="inlineStr">
        <is>
          <t>今天几号了，你给我看清楚 ，还是七月一号 没看到四大名族不要吗</t>
        </is>
      </c>
      <c r="I695" t="inlineStr">
        <is>
          <t>https://www.kuaishou.com/f/X61LgJZvnkrW15G</t>
        </is>
      </c>
      <c r="J695" t="inlineStr">
        <is>
          <t>四川/甘肃</t>
        </is>
      </c>
      <c r="L695" t="inlineStr">
        <is>
          <t>四川</t>
        </is>
      </c>
      <c r="O695" t="inlineStr">
        <is>
          <t>中文</t>
        </is>
      </c>
      <c r="P695" t="inlineStr">
        <is>
          <t>否</t>
        </is>
      </c>
      <c r="Q695" t="inlineStr">
        <is>
          <t>实施问题</t>
        </is>
      </c>
      <c r="R695" t="inlineStr">
        <is>
          <t>隐性拒录；企业规避；执法与举证困难</t>
        </is>
      </c>
      <c r="S695" t="n">
        <v>0</v>
      </c>
      <c r="T695" t="n">
        <v>0</v>
      </c>
      <c r="U695" t="n">
        <v>0</v>
      </c>
      <c r="V695" t="inlineStr">
        <is>
          <t>否</t>
        </is>
      </c>
      <c r="W695" t="inlineStr">
        <is>
          <t>是</t>
        </is>
      </c>
      <c r="X695"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6">
      <c r="A696" t="inlineStr">
        <is>
          <t>hist-64c55bef34df5444</t>
        </is>
      </c>
      <c r="B696" s="82" t="n">
        <v>46252.9403587963</v>
      </c>
      <c r="D696" t="inlineStr">
        <is>
          <t>快手</t>
        </is>
      </c>
      <c r="E696" t="inlineStr">
        <is>
          <t>快手</t>
        </is>
      </c>
      <c r="F696" t="inlineStr">
        <is>
          <t>逐条直接证据</t>
        </is>
      </c>
      <c r="G696" t="inlineStr">
        <is>
          <t>放猪老人~迪日尔古</t>
        </is>
      </c>
      <c r="H696" t="inlineStr">
        <is>
          <t>你先说服了再说</t>
        </is>
      </c>
      <c r="I696" t="inlineStr">
        <is>
          <t>https://www.kuaishou.com/f/X61LgJZvnkrW15G</t>
        </is>
      </c>
      <c r="J696" t="inlineStr">
        <is>
          <t>四川/甘肃</t>
        </is>
      </c>
      <c r="L696" t="inlineStr">
        <is>
          <t>四川</t>
        </is>
      </c>
      <c r="O696" t="inlineStr">
        <is>
          <t>中文</t>
        </is>
      </c>
      <c r="P696" t="inlineStr">
        <is>
          <t>否</t>
        </is>
      </c>
      <c r="Q696" t="inlineStr">
        <is>
          <t>明确批评</t>
        </is>
      </c>
      <c r="R696" t="inlineStr">
        <is>
          <t>执行效果质疑；纸面落实；政策可信度</t>
        </is>
      </c>
      <c r="S696" t="n">
        <v>0</v>
      </c>
      <c r="T696" t="n">
        <v>0</v>
      </c>
      <c r="U696" t="n">
        <v>0</v>
      </c>
      <c r="V696" t="inlineStr">
        <is>
          <t>否</t>
        </is>
      </c>
      <c r="W696" t="inlineStr">
        <is>
          <t>是</t>
        </is>
      </c>
      <c r="X696"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7">
      <c r="A697" t="inlineStr">
        <is>
          <t>hist-f1cb8b0153e47dae</t>
        </is>
      </c>
      <c r="B697" s="82" t="n">
        <v>46252.9403587963</v>
      </c>
      <c r="D697" t="inlineStr">
        <is>
          <t>快手</t>
        </is>
      </c>
      <c r="E697" t="inlineStr">
        <is>
          <t>快手</t>
        </is>
      </c>
      <c r="F697" t="inlineStr">
        <is>
          <t>逐条直接证据</t>
        </is>
      </c>
      <c r="G697" t="inlineStr">
        <is>
          <t>放猪老人~迪日尔古</t>
        </is>
      </c>
      <c r="H697" t="inlineStr">
        <is>
          <t>你相信吗？我不信。</t>
        </is>
      </c>
      <c r="I697" t="inlineStr">
        <is>
          <t>https://www.kuaishou.com/f/X61LgJZvnkrW15G</t>
        </is>
      </c>
      <c r="J697" t="inlineStr">
        <is>
          <t>四川/甘肃</t>
        </is>
      </c>
      <c r="L697" t="inlineStr">
        <is>
          <t>四川</t>
        </is>
      </c>
      <c r="O697" t="inlineStr">
        <is>
          <t>中文</t>
        </is>
      </c>
      <c r="P697" t="inlineStr">
        <is>
          <t>否</t>
        </is>
      </c>
      <c r="Q697" t="inlineStr">
        <is>
          <t>明确批评</t>
        </is>
      </c>
      <c r="R697" t="inlineStr">
        <is>
          <t>执行效果质疑；纸面落实；政策可信度</t>
        </is>
      </c>
      <c r="S697" t="n">
        <v>0</v>
      </c>
      <c r="T697" t="n">
        <v>0</v>
      </c>
      <c r="U697" t="n">
        <v>0</v>
      </c>
      <c r="V697" t="inlineStr">
        <is>
          <t>否</t>
        </is>
      </c>
      <c r="W697" t="inlineStr">
        <is>
          <t>是</t>
        </is>
      </c>
      <c r="X697"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8">
      <c r="A698" t="inlineStr">
        <is>
          <t>hist-0e0dfa3e5db94098</t>
        </is>
      </c>
      <c r="B698" s="82" t="n">
        <v>46252.9403587963</v>
      </c>
      <c r="D698" t="inlineStr">
        <is>
          <t>快手</t>
        </is>
      </c>
      <c r="E698" t="inlineStr">
        <is>
          <t>快手</t>
        </is>
      </c>
      <c r="F698" t="inlineStr">
        <is>
          <t>逐条直接证据</t>
        </is>
      </c>
      <c r="G698" t="inlineStr">
        <is>
          <t>放猪老人~迪日尔古</t>
        </is>
      </c>
      <c r="H698" t="inlineStr">
        <is>
          <t>你说个屁</t>
        </is>
      </c>
      <c r="I698" t="inlineStr">
        <is>
          <t>https://www.kuaishou.com/f/X61LgJZvnkrW15G</t>
        </is>
      </c>
      <c r="J698" t="inlineStr">
        <is>
          <t>四川/甘肃</t>
        </is>
      </c>
      <c r="L698" t="inlineStr">
        <is>
          <t>四川</t>
        </is>
      </c>
      <c r="O698" t="inlineStr">
        <is>
          <t>中文</t>
        </is>
      </c>
      <c r="P698" t="inlineStr">
        <is>
          <t>否</t>
        </is>
      </c>
      <c r="Q698" t="inlineStr">
        <is>
          <t>明确批评</t>
        </is>
      </c>
      <c r="R698" t="inlineStr">
        <is>
          <t>执行效果质疑；纸面落实；政策可信度</t>
        </is>
      </c>
      <c r="S698" t="n">
        <v>0</v>
      </c>
      <c r="T698" t="n">
        <v>0</v>
      </c>
      <c r="U698" t="n">
        <v>0</v>
      </c>
      <c r="V698" t="inlineStr">
        <is>
          <t>否</t>
        </is>
      </c>
      <c r="W698" t="inlineStr">
        <is>
          <t>是</t>
        </is>
      </c>
      <c r="X698"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9">
      <c r="A699" t="inlineStr">
        <is>
          <t>hist-dae2e8e0c606817c</t>
        </is>
      </c>
      <c r="B699" s="82" t="n">
        <v>46252.9403587963</v>
      </c>
      <c r="D699" t="inlineStr">
        <is>
          <t>快手</t>
        </is>
      </c>
      <c r="E699" t="inlineStr">
        <is>
          <t>快手</t>
        </is>
      </c>
      <c r="F699" t="inlineStr">
        <is>
          <t>逐条直接证据</t>
        </is>
      </c>
      <c r="G699" t="inlineStr">
        <is>
          <t>放猪老人~迪日尔古</t>
        </is>
      </c>
      <c r="H699" t="inlineStr">
        <is>
          <t>你说了 没有用 不要就是不要</t>
        </is>
      </c>
      <c r="I699" t="inlineStr">
        <is>
          <t>https://www.kuaishou.com/f/X61LgJZvnkrW15G</t>
        </is>
      </c>
      <c r="J699" t="inlineStr">
        <is>
          <t>四川/甘肃</t>
        </is>
      </c>
      <c r="L699" t="inlineStr">
        <is>
          <t>四川</t>
        </is>
      </c>
      <c r="O699" t="inlineStr">
        <is>
          <t>中文</t>
        </is>
      </c>
      <c r="P699" t="inlineStr">
        <is>
          <t>否</t>
        </is>
      </c>
      <c r="Q699" t="inlineStr">
        <is>
          <t>实施问题</t>
        </is>
      </c>
      <c r="R699" t="inlineStr">
        <is>
          <t>隐性拒录；企业规避；执法与举证困难</t>
        </is>
      </c>
      <c r="S699" t="n">
        <v>0</v>
      </c>
      <c r="T699" t="n">
        <v>0</v>
      </c>
      <c r="U699" t="n">
        <v>0</v>
      </c>
      <c r="V699" t="inlineStr">
        <is>
          <t>否</t>
        </is>
      </c>
      <c r="W699" t="inlineStr">
        <is>
          <t>是</t>
        </is>
      </c>
      <c r="X699"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0">
      <c r="A700" t="inlineStr">
        <is>
          <t>hist-ae3e545fadcd9c98</t>
        </is>
      </c>
      <c r="B700" s="82" t="n">
        <v>46252.9403587963</v>
      </c>
      <c r="D700" t="inlineStr">
        <is>
          <t>快手</t>
        </is>
      </c>
      <c r="E700" t="inlineStr">
        <is>
          <t>快手</t>
        </is>
      </c>
      <c r="F700" t="inlineStr">
        <is>
          <t>逐条直接证据</t>
        </is>
      </c>
      <c r="G700" t="inlineStr">
        <is>
          <t>放猪老人~迪日尔古</t>
        </is>
      </c>
      <c r="H700" t="inlineStr">
        <is>
          <t>你说了有个屁用</t>
        </is>
      </c>
      <c r="I700" t="inlineStr">
        <is>
          <t>https://www.kuaishou.com/f/X61LgJZvnkrW15G</t>
        </is>
      </c>
      <c r="J700" t="inlineStr">
        <is>
          <t>四川/甘肃</t>
        </is>
      </c>
      <c r="L700" t="inlineStr">
        <is>
          <t>四川</t>
        </is>
      </c>
      <c r="O700" t="inlineStr">
        <is>
          <t>中文</t>
        </is>
      </c>
      <c r="P700" t="inlineStr">
        <is>
          <t>否</t>
        </is>
      </c>
      <c r="Q700" t="inlineStr">
        <is>
          <t>明确批评</t>
        </is>
      </c>
      <c r="R700" t="inlineStr">
        <is>
          <t>执行效果质疑；纸面落实；政策可信度</t>
        </is>
      </c>
      <c r="S700" t="n">
        <v>0</v>
      </c>
      <c r="T700" t="n">
        <v>0</v>
      </c>
      <c r="U700" t="n">
        <v>0</v>
      </c>
      <c r="V700" t="inlineStr">
        <is>
          <t>否</t>
        </is>
      </c>
      <c r="W700" t="inlineStr">
        <is>
          <t>是</t>
        </is>
      </c>
      <c r="X70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1">
      <c r="A701" t="inlineStr">
        <is>
          <t>hist-d1b8f1434c300d07</t>
        </is>
      </c>
      <c r="B701" s="82" t="n">
        <v>46252.9403587963</v>
      </c>
      <c r="D701" t="inlineStr">
        <is>
          <t>快手</t>
        </is>
      </c>
      <c r="E701" t="inlineStr">
        <is>
          <t>快手</t>
        </is>
      </c>
      <c r="F701" t="inlineStr">
        <is>
          <t>逐条直接证据</t>
        </is>
      </c>
      <c r="G701" t="inlineStr">
        <is>
          <t>放猪老人~迪日尔古</t>
        </is>
      </c>
      <c r="H701" t="inlineStr">
        <is>
          <t>你说的是废话</t>
        </is>
      </c>
      <c r="I701" t="inlineStr">
        <is>
          <t>https://www.kuaishou.com/f/X61LgJZvnkrW15G</t>
        </is>
      </c>
      <c r="J701" t="inlineStr">
        <is>
          <t>四川/甘肃</t>
        </is>
      </c>
      <c r="L701" t="inlineStr">
        <is>
          <t>四川</t>
        </is>
      </c>
      <c r="O701" t="inlineStr">
        <is>
          <t>中文</t>
        </is>
      </c>
      <c r="P701" t="inlineStr">
        <is>
          <t>否</t>
        </is>
      </c>
      <c r="Q701" t="inlineStr">
        <is>
          <t>明确批评</t>
        </is>
      </c>
      <c r="R701" t="inlineStr">
        <is>
          <t>执行效果质疑；纸面落实；政策可信度</t>
        </is>
      </c>
      <c r="S701" t="n">
        <v>0</v>
      </c>
      <c r="T701" t="n">
        <v>0</v>
      </c>
      <c r="U701" t="n">
        <v>0</v>
      </c>
      <c r="V701" t="inlineStr">
        <is>
          <t>否</t>
        </is>
      </c>
      <c r="W701" t="inlineStr">
        <is>
          <t>是</t>
        </is>
      </c>
      <c r="X70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2">
      <c r="A702" t="inlineStr">
        <is>
          <t>hist-c6c790b7e56f851b</t>
        </is>
      </c>
      <c r="B702" s="82" t="n">
        <v>46252.9403587963</v>
      </c>
      <c r="D702" t="inlineStr">
        <is>
          <t>快手</t>
        </is>
      </c>
      <c r="E702" t="inlineStr">
        <is>
          <t>快手</t>
        </is>
      </c>
      <c r="F702" t="inlineStr">
        <is>
          <t>逐条直接证据</t>
        </is>
      </c>
      <c r="G702" t="inlineStr">
        <is>
          <t>放猪老人~迪日尔古</t>
        </is>
      </c>
      <c r="H702" t="inlineStr">
        <is>
          <t>你说的是真的吗？</t>
        </is>
      </c>
      <c r="I702" t="inlineStr">
        <is>
          <t>https://www.kuaishou.com/f/X61LgJZvnkrW15G</t>
        </is>
      </c>
      <c r="J702" t="inlineStr">
        <is>
          <t>四川/甘肃</t>
        </is>
      </c>
      <c r="L702" t="inlineStr">
        <is>
          <t>四川</t>
        </is>
      </c>
      <c r="O702" t="inlineStr">
        <is>
          <t>中文</t>
        </is>
      </c>
      <c r="P702" t="inlineStr">
        <is>
          <t>否</t>
        </is>
      </c>
      <c r="Q702" t="inlineStr">
        <is>
          <t>咨询疑问</t>
        </is>
      </c>
      <c r="R702" t="inlineStr">
        <is>
          <t>政策层级；救济渠道；就业年龄</t>
        </is>
      </c>
      <c r="S702" t="n">
        <v>0</v>
      </c>
      <c r="T702" t="n">
        <v>0</v>
      </c>
      <c r="U702" t="n">
        <v>0</v>
      </c>
      <c r="V702" t="inlineStr">
        <is>
          <t>否</t>
        </is>
      </c>
      <c r="W702" t="inlineStr">
        <is>
          <t>是</t>
        </is>
      </c>
      <c r="X70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3">
      <c r="A703" t="inlineStr">
        <is>
          <t>hist-14a19b00b8113816</t>
        </is>
      </c>
      <c r="B703" s="82" t="n">
        <v>46252.9403587963</v>
      </c>
      <c r="D703" t="inlineStr">
        <is>
          <t>快手</t>
        </is>
      </c>
      <c r="E703" t="inlineStr">
        <is>
          <t>快手</t>
        </is>
      </c>
      <c r="F703" t="inlineStr">
        <is>
          <t>逐条直接证据</t>
        </is>
      </c>
      <c r="G703" t="inlineStr">
        <is>
          <t>放猪老人~迪日尔古</t>
        </is>
      </c>
      <c r="H703" t="inlineStr">
        <is>
          <t>公司秘密招人，一看身份证就彝族人，就是说临时不招，到时候招人了通知你们，这句话就完了</t>
        </is>
      </c>
      <c r="I703" t="inlineStr">
        <is>
          <t>https://v.kuaishou.com/KbUsbF4n</t>
        </is>
      </c>
      <c r="J703" t="inlineStr">
        <is>
          <t>四川/甘肃</t>
        </is>
      </c>
      <c r="L703" t="inlineStr">
        <is>
          <t>四川</t>
        </is>
      </c>
      <c r="O703" t="inlineStr">
        <is>
          <t>中文</t>
        </is>
      </c>
      <c r="P703" t="inlineStr">
        <is>
          <t>否</t>
        </is>
      </c>
      <c r="Q703" t="inlineStr">
        <is>
          <t>实施问题</t>
        </is>
      </c>
      <c r="R703" t="inlineStr">
        <is>
          <t>权利保障与公平正义</t>
        </is>
      </c>
      <c r="S703" t="n">
        <v>0</v>
      </c>
      <c r="T703" t="n">
        <v>0</v>
      </c>
      <c r="U703" t="n">
        <v>0</v>
      </c>
      <c r="V703" t="inlineStr">
        <is>
          <t>否</t>
        </is>
      </c>
      <c r="W703" t="inlineStr">
        <is>
          <t>是</t>
        </is>
      </c>
      <c r="X703"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04">
      <c r="A704" t="inlineStr">
        <is>
          <t>hist-0fa7f92eb9a090fd</t>
        </is>
      </c>
      <c r="B704" s="82" t="n">
        <v>46252.9403587963</v>
      </c>
      <c r="D704" t="inlineStr">
        <is>
          <t>快手</t>
        </is>
      </c>
      <c r="E704" t="inlineStr">
        <is>
          <t>快手</t>
        </is>
      </c>
      <c r="F704" t="inlineStr">
        <is>
          <t>逐条直接证据</t>
        </is>
      </c>
      <c r="G704" t="inlineStr">
        <is>
          <t>放猪老人~迪日尔古</t>
        </is>
      </c>
      <c r="H704" t="inlineStr">
        <is>
          <t>公司老板都嫌弃彝族工难</t>
        </is>
      </c>
      <c r="I704" t="inlineStr">
        <is>
          <t>https://v.kuaishou.com/KbUsbF4n</t>
        </is>
      </c>
      <c r="J704" t="inlineStr">
        <is>
          <t>四川/甘肃</t>
        </is>
      </c>
      <c r="L704" t="inlineStr">
        <is>
          <t>四川</t>
        </is>
      </c>
      <c r="O704" t="inlineStr">
        <is>
          <t>中文</t>
        </is>
      </c>
      <c r="P704" t="inlineStr">
        <is>
          <t>否</t>
        </is>
      </c>
      <c r="Q704" t="inlineStr">
        <is>
          <t>实施问题</t>
        </is>
      </c>
      <c r="R704" t="inlineStr">
        <is>
          <t>权利保障与公平正义</t>
        </is>
      </c>
      <c r="S704" t="n">
        <v>0</v>
      </c>
      <c r="T704" t="n">
        <v>0</v>
      </c>
      <c r="U704" t="n">
        <v>0</v>
      </c>
      <c r="V704" t="inlineStr">
        <is>
          <t>否</t>
        </is>
      </c>
      <c r="W704" t="inlineStr">
        <is>
          <t>是</t>
        </is>
      </c>
      <c r="X704"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05">
      <c r="A705" t="inlineStr">
        <is>
          <t>hist-f60eefb72ea0911a</t>
        </is>
      </c>
      <c r="B705" s="82" t="n">
        <v>46252.9403587963</v>
      </c>
      <c r="D705" t="inlineStr">
        <is>
          <t>快手</t>
        </is>
      </c>
      <c r="E705" t="inlineStr">
        <is>
          <t>快手</t>
        </is>
      </c>
      <c r="F705" t="inlineStr">
        <is>
          <t>逐条直接证据</t>
        </is>
      </c>
      <c r="G705" t="inlineStr">
        <is>
          <t>放猪老人~迪日尔古</t>
        </is>
      </c>
      <c r="H705" t="inlineStr">
        <is>
          <t>反正彝族找工作好难老是不要，感觉打工都打不下去了，</t>
        </is>
      </c>
      <c r="I705" t="inlineStr">
        <is>
          <t>https://v.kuaishou.com/KbUsbF4n</t>
        </is>
      </c>
      <c r="J705" t="inlineStr">
        <is>
          <t>四川/甘肃</t>
        </is>
      </c>
      <c r="L705" t="inlineStr">
        <is>
          <t>四川</t>
        </is>
      </c>
      <c r="O705" t="inlineStr">
        <is>
          <t>中文</t>
        </is>
      </c>
      <c r="P705" t="inlineStr">
        <is>
          <t>否</t>
        </is>
      </c>
      <c r="Q705" t="inlineStr">
        <is>
          <t>实施问题</t>
        </is>
      </c>
      <c r="R705" t="inlineStr">
        <is>
          <t>权利保障与公平正义</t>
        </is>
      </c>
      <c r="S705" t="n">
        <v>0</v>
      </c>
      <c r="T705" t="n">
        <v>0</v>
      </c>
      <c r="U705" t="n">
        <v>0</v>
      </c>
      <c r="V705" t="inlineStr">
        <is>
          <t>否</t>
        </is>
      </c>
      <c r="W705" t="inlineStr">
        <is>
          <t>是</t>
        </is>
      </c>
      <c r="X705"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06">
      <c r="A706" t="inlineStr">
        <is>
          <t>hist-cf34dab0fe1deb9d</t>
        </is>
      </c>
      <c r="B706" s="82" t="n">
        <v>46252.9403587963</v>
      </c>
      <c r="D706" t="inlineStr">
        <is>
          <t>快手</t>
        </is>
      </c>
      <c r="E706" t="inlineStr">
        <is>
          <t>快手</t>
        </is>
      </c>
      <c r="F706" t="inlineStr">
        <is>
          <t>逐条直接证据</t>
        </is>
      </c>
      <c r="G706" t="inlineStr">
        <is>
          <t>放猪老人~迪日尔古</t>
        </is>
      </c>
      <c r="H706" t="inlineStr">
        <is>
          <t>只是嘴巴说说没用，我都知道好几个公司都不要彝族的 工程都在凉山的</t>
        </is>
      </c>
      <c r="I706" t="inlineStr">
        <is>
          <t>https://v.kuaishou.com/KbUsbF4n</t>
        </is>
      </c>
      <c r="J706" t="inlineStr">
        <is>
          <t>四川/甘肃</t>
        </is>
      </c>
      <c r="L706" t="inlineStr">
        <is>
          <t>四川</t>
        </is>
      </c>
      <c r="O706" t="inlineStr">
        <is>
          <t>中文</t>
        </is>
      </c>
      <c r="P706" t="inlineStr">
        <is>
          <t>否</t>
        </is>
      </c>
      <c r="Q706" t="inlineStr">
        <is>
          <t>质疑</t>
        </is>
      </c>
      <c r="R706" t="inlineStr">
        <is>
          <t>权利保障与公平正义</t>
        </is>
      </c>
      <c r="S706" t="n">
        <v>0</v>
      </c>
      <c r="T706" t="n">
        <v>0</v>
      </c>
      <c r="U706" t="n">
        <v>0</v>
      </c>
      <c r="V706" t="inlineStr">
        <is>
          <t>否</t>
        </is>
      </c>
      <c r="W706" t="inlineStr">
        <is>
          <t>是</t>
        </is>
      </c>
      <c r="X706" t="inlineStr">
        <is>
          <t>历史导入:民族团结进步促进法舆情统计最终版_非支持原话全量汇总最终版.xlsx；证据状态:原始复核证据；记录类型:逐条直接证据；复核:网民指出“嘴巴说说没用”，表达 对法律实施的质疑；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07">
      <c r="A707" t="inlineStr">
        <is>
          <t>hist-9bff2acf43afd7eb</t>
        </is>
      </c>
      <c r="B707" s="82" t="n">
        <v>46252.9403587963</v>
      </c>
      <c r="D707" t="inlineStr">
        <is>
          <t>快手</t>
        </is>
      </c>
      <c r="E707" t="inlineStr">
        <is>
          <t>快手</t>
        </is>
      </c>
      <c r="F707" t="inlineStr">
        <is>
          <t>逐条直接证据</t>
        </is>
      </c>
      <c r="G707" t="inlineStr">
        <is>
          <t>放猪老人~迪日尔古</t>
        </is>
      </c>
      <c r="H707" t="inlineStr">
        <is>
          <t>国内不要 后辈好好的学习 我们诺苏后辈要不止步于国内 要走向世界</t>
        </is>
      </c>
      <c r="I707" t="inlineStr">
        <is>
          <t>https://www.kuaishou.com/f/X61LgJZvnkrW15G</t>
        </is>
      </c>
      <c r="J707" t="inlineStr">
        <is>
          <t>四川/甘肃</t>
        </is>
      </c>
      <c r="L707" t="inlineStr">
        <is>
          <t>四川</t>
        </is>
      </c>
      <c r="O707" t="inlineStr">
        <is>
          <t>中文</t>
        </is>
      </c>
      <c r="P707" t="inlineStr">
        <is>
          <t>否</t>
        </is>
      </c>
      <c r="Q707" t="inlineStr">
        <is>
          <t>担忧影响</t>
        </is>
      </c>
      <c r="R707" t="inlineStr">
        <is>
          <t>就业前景；偏见持续；下一代发展</t>
        </is>
      </c>
      <c r="S707" t="n">
        <v>0</v>
      </c>
      <c r="T707" t="n">
        <v>0</v>
      </c>
      <c r="U707" t="n">
        <v>0</v>
      </c>
      <c r="V707" t="inlineStr">
        <is>
          <t>否</t>
        </is>
      </c>
      <c r="W707" t="inlineStr">
        <is>
          <t>是</t>
        </is>
      </c>
      <c r="X707"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8">
      <c r="A708" t="inlineStr">
        <is>
          <t>hist-6b52ed7c028ff250</t>
        </is>
      </c>
      <c r="B708" s="82" t="n">
        <v>46252.9403587963</v>
      </c>
      <c r="D708" t="inlineStr">
        <is>
          <t>快手</t>
        </is>
      </c>
      <c r="E708" t="inlineStr">
        <is>
          <t>快手</t>
        </is>
      </c>
      <c r="F708" t="inlineStr">
        <is>
          <t>逐条直接证据</t>
        </is>
      </c>
      <c r="G708" t="inlineStr">
        <is>
          <t>放猪老人~迪日尔古</t>
        </is>
      </c>
      <c r="H708" t="inlineStr">
        <is>
          <t>垃圾太多了，不要怪你别人</t>
        </is>
      </c>
      <c r="I708" t="inlineStr">
        <is>
          <t>https://www.kuaishou.com/f/X61LgJZvnkrW15G</t>
        </is>
      </c>
      <c r="J708" t="inlineStr">
        <is>
          <t>四川/甘肃</t>
        </is>
      </c>
      <c r="L708" t="inlineStr">
        <is>
          <t>四川</t>
        </is>
      </c>
      <c r="O708" t="inlineStr">
        <is>
          <t>中文</t>
        </is>
      </c>
      <c r="P708" t="inlineStr">
        <is>
          <t>否</t>
        </is>
      </c>
      <c r="Q708" t="inlineStr">
        <is>
          <t>公平争议</t>
        </is>
      </c>
      <c r="R708" t="inlineStr">
        <is>
          <t>就业公平；刻板印象；群体内部反思</t>
        </is>
      </c>
      <c r="S708" t="n">
        <v>0</v>
      </c>
      <c r="T708" t="n">
        <v>0</v>
      </c>
      <c r="U708" t="n">
        <v>0</v>
      </c>
      <c r="V708" t="inlineStr">
        <is>
          <t>否</t>
        </is>
      </c>
      <c r="W708" t="inlineStr">
        <is>
          <t>是</t>
        </is>
      </c>
      <c r="X708"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9">
      <c r="A709" t="inlineStr">
        <is>
          <t>hist-cd7df77b351c564a</t>
        </is>
      </c>
      <c r="B709" s="82" t="n">
        <v>46252.9403587963</v>
      </c>
      <c r="D709" t="inlineStr">
        <is>
          <t>快手</t>
        </is>
      </c>
      <c r="E709" t="inlineStr">
        <is>
          <t>快手</t>
        </is>
      </c>
      <c r="F709" t="inlineStr">
        <is>
          <t>逐条直接证据</t>
        </is>
      </c>
      <c r="G709" t="inlineStr">
        <is>
          <t>放猪老人~迪日尔古</t>
        </is>
      </c>
      <c r="H709" t="inlineStr">
        <is>
          <t>对于不用我们彝族的这点事你觉得会实现不、怎么就一天天的说这些没用的废话呐</t>
        </is>
      </c>
      <c r="I709" t="inlineStr">
        <is>
          <t>https://v.kuaishou.com/KbUsbF4n</t>
        </is>
      </c>
      <c r="J709" t="inlineStr">
        <is>
          <t>四川/甘肃</t>
        </is>
      </c>
      <c r="L709" t="inlineStr">
        <is>
          <t>四川</t>
        </is>
      </c>
      <c r="O709" t="inlineStr">
        <is>
          <t>中文</t>
        </is>
      </c>
      <c r="P709" t="inlineStr">
        <is>
          <t>否</t>
        </is>
      </c>
      <c r="Q709" t="inlineStr">
        <is>
          <t>批评</t>
        </is>
      </c>
      <c r="R709" t="inlineStr">
        <is>
          <t>权利保障与公平正义</t>
        </is>
      </c>
      <c r="S709" t="n">
        <v>0</v>
      </c>
      <c r="T709" t="n">
        <v>0</v>
      </c>
      <c r="U709" t="n">
        <v>0</v>
      </c>
      <c r="V709" t="inlineStr">
        <is>
          <t>否</t>
        </is>
      </c>
      <c r="W709" t="inlineStr">
        <is>
          <t>是</t>
        </is>
      </c>
      <c r="X709" t="inlineStr">
        <is>
          <t>历史导入:民族团结进步促进法舆情统计最终版_非支持原话全量汇总最终版.xlsx；证据状态:原始复核证据；记录类型:逐条直接证据；复核:网民批评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10">
      <c r="A710" t="inlineStr">
        <is>
          <t>hist-e8ba6c4f3411b628</t>
        </is>
      </c>
      <c r="B710" s="82" t="n">
        <v>46252.9403587963</v>
      </c>
      <c r="D710" t="inlineStr">
        <is>
          <t>快手</t>
        </is>
      </c>
      <c r="E710" t="inlineStr">
        <is>
          <t>快手</t>
        </is>
      </c>
      <c r="F710" t="inlineStr">
        <is>
          <t>逐条直接证据</t>
        </is>
      </c>
      <c r="G710" t="inlineStr">
        <is>
          <t>放猪老人~迪日尔古</t>
        </is>
      </c>
      <c r="H710" t="inlineStr">
        <is>
          <t>工厂不要彝族人去那个部门?</t>
        </is>
      </c>
      <c r="I710" t="inlineStr">
        <is>
          <t>https://www.kuaishou.com/f/X61LgJZvnkrW15G</t>
        </is>
      </c>
      <c r="J710" t="inlineStr">
        <is>
          <t>四川/甘肃</t>
        </is>
      </c>
      <c r="L710" t="inlineStr">
        <is>
          <t>四川</t>
        </is>
      </c>
      <c r="O710" t="inlineStr">
        <is>
          <t>中文</t>
        </is>
      </c>
      <c r="P710" t="inlineStr">
        <is>
          <t>否</t>
        </is>
      </c>
      <c r="Q710" t="inlineStr">
        <is>
          <t>咨询疑问</t>
        </is>
      </c>
      <c r="R710" t="inlineStr">
        <is>
          <t>政策层级；救济渠道；就业年龄</t>
        </is>
      </c>
      <c r="S710" t="n">
        <v>0</v>
      </c>
      <c r="T710" t="n">
        <v>0</v>
      </c>
      <c r="U710" t="n">
        <v>0</v>
      </c>
      <c r="V710" t="inlineStr">
        <is>
          <t>否</t>
        </is>
      </c>
      <c r="W710" t="inlineStr">
        <is>
          <t>是</t>
        </is>
      </c>
      <c r="X71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11">
      <c r="A711" t="inlineStr">
        <is>
          <t>hist-7296bc3fd06ff15a</t>
        </is>
      </c>
      <c r="B711" s="82" t="n">
        <v>46252.9403587963</v>
      </c>
      <c r="D711" t="inlineStr">
        <is>
          <t>快手</t>
        </is>
      </c>
      <c r="E711" t="inlineStr">
        <is>
          <t>快手</t>
        </is>
      </c>
      <c r="F711" t="inlineStr">
        <is>
          <t>逐条直接证据</t>
        </is>
      </c>
      <c r="G711" t="inlineStr">
        <is>
          <t>放猪老人~迪日尔古</t>
        </is>
      </c>
      <c r="H711" t="inlineStr">
        <is>
          <t>广东那边怎么说</t>
        </is>
      </c>
      <c r="I711" t="inlineStr">
        <is>
          <t>https://www.kuaishou.com/f/X61LgJZvnkrW15G</t>
        </is>
      </c>
      <c r="J711" t="inlineStr">
        <is>
          <t>四川/甘肃</t>
        </is>
      </c>
      <c r="L711" t="inlineStr">
        <is>
          <t>四川</t>
        </is>
      </c>
      <c r="O711" t="inlineStr">
        <is>
          <t>中文</t>
        </is>
      </c>
      <c r="P711" t="inlineStr">
        <is>
          <t>否</t>
        </is>
      </c>
      <c r="Q711" t="inlineStr">
        <is>
          <t>咨询疑问</t>
        </is>
      </c>
      <c r="R711" t="inlineStr">
        <is>
          <t>政策层级；救济渠道；就业年龄</t>
        </is>
      </c>
      <c r="S711" t="n">
        <v>0</v>
      </c>
      <c r="T711" t="n">
        <v>0</v>
      </c>
      <c r="U711" t="n">
        <v>0</v>
      </c>
      <c r="V711" t="inlineStr">
        <is>
          <t>否</t>
        </is>
      </c>
      <c r="W711" t="inlineStr">
        <is>
          <t>是</t>
        </is>
      </c>
      <c r="X71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12">
      <c r="A712" t="inlineStr">
        <is>
          <t>hist-92abf22c6674af57</t>
        </is>
      </c>
      <c r="B712" s="82" t="n">
        <v>46252.9403587963</v>
      </c>
      <c r="D712" t="inlineStr">
        <is>
          <t>快手</t>
        </is>
      </c>
      <c r="E712" t="inlineStr">
        <is>
          <t>快手</t>
        </is>
      </c>
      <c r="F712" t="inlineStr">
        <is>
          <t>逐条直接证据</t>
        </is>
      </c>
      <c r="G712" t="inlineStr">
        <is>
          <t>放猪老人~迪日尔古</t>
        </is>
      </c>
      <c r="H712" t="inlineStr">
        <is>
          <t>彝族已满</t>
        </is>
      </c>
      <c r="I712" t="inlineStr">
        <is>
          <t>https://www.kuaishou.com/f/X61LgJZvnkrW15G</t>
        </is>
      </c>
      <c r="J712" t="inlineStr">
        <is>
          <t>四川/甘肃</t>
        </is>
      </c>
      <c r="L712" t="inlineStr">
        <is>
          <t>四川</t>
        </is>
      </c>
      <c r="O712" t="inlineStr">
        <is>
          <t>中文</t>
        </is>
      </c>
      <c r="P712" t="inlineStr">
        <is>
          <t>否</t>
        </is>
      </c>
      <c r="Q712" t="inlineStr">
        <is>
          <t>实施问题</t>
        </is>
      </c>
      <c r="R712" t="inlineStr">
        <is>
          <t>隐性拒录；企业规避；执法与举证困难</t>
        </is>
      </c>
      <c r="S712" t="n">
        <v>0</v>
      </c>
      <c r="T712" t="n">
        <v>0</v>
      </c>
      <c r="U712" t="n">
        <v>0</v>
      </c>
      <c r="V712" t="inlineStr">
        <is>
          <t>否</t>
        </is>
      </c>
      <c r="W712" t="inlineStr">
        <is>
          <t>是</t>
        </is>
      </c>
      <c r="X71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13">
      <c r="A713" t="inlineStr">
        <is>
          <t>hist-e028d268c4423c7a</t>
        </is>
      </c>
      <c r="B713" s="82" t="n">
        <v>46252.9403587963</v>
      </c>
      <c r="D713" t="inlineStr">
        <is>
          <t>快手</t>
        </is>
      </c>
      <c r="E713" t="inlineStr">
        <is>
          <t>快手</t>
        </is>
      </c>
      <c r="F713" t="inlineStr">
        <is>
          <t>逐条直接证据</t>
        </is>
      </c>
      <c r="G713" t="inlineStr">
        <is>
          <t>放猪老人~迪日尔古</t>
        </is>
      </c>
      <c r="H713" t="inlineStr">
        <is>
          <t>很多公司不要彝族人</t>
        </is>
      </c>
      <c r="I713" t="inlineStr">
        <is>
          <t>https://v.kuaishou.com/KbUsbF4n</t>
        </is>
      </c>
      <c r="J713" t="inlineStr">
        <is>
          <t>四川/甘肃</t>
        </is>
      </c>
      <c r="L713" t="inlineStr">
        <is>
          <t>四川</t>
        </is>
      </c>
      <c r="O713" t="inlineStr">
        <is>
          <t>中文</t>
        </is>
      </c>
      <c r="P713" t="inlineStr">
        <is>
          <t>否</t>
        </is>
      </c>
      <c r="Q713" t="inlineStr">
        <is>
          <t>实施问题</t>
        </is>
      </c>
      <c r="R713" t="inlineStr">
        <is>
          <t>隐性拒录；企业规避；执法与举证困难</t>
        </is>
      </c>
      <c r="S713" t="n">
        <v>0</v>
      </c>
      <c r="T713" t="n">
        <v>0</v>
      </c>
      <c r="U713" t="n">
        <v>0</v>
      </c>
      <c r="V713" t="inlineStr">
        <is>
          <t>否</t>
        </is>
      </c>
      <c r="W713" t="inlineStr">
        <is>
          <t>是</t>
        </is>
      </c>
      <c r="X713"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6</t>
        </is>
      </c>
    </row>
    <row r="714">
      <c r="A714" t="inlineStr">
        <is>
          <t>hist-0590d5c413130a8a</t>
        </is>
      </c>
      <c r="B714" s="82" t="n">
        <v>46252.9403587963</v>
      </c>
      <c r="D714" t="inlineStr">
        <is>
          <t>快手</t>
        </is>
      </c>
      <c r="E714" t="inlineStr">
        <is>
          <t>快手</t>
        </is>
      </c>
      <c r="F714" t="inlineStr">
        <is>
          <t>逐条直接证据</t>
        </is>
      </c>
      <c r="G714" t="inlineStr">
        <is>
          <t>放猪老人~迪日尔古</t>
        </is>
      </c>
      <c r="H714" t="inlineStr">
        <is>
          <t>怎么都没有用的</t>
        </is>
      </c>
      <c r="I714" t="inlineStr">
        <is>
          <t>https://www.kuaishou.com/f/X61LgJZvnkrW15G</t>
        </is>
      </c>
      <c r="J714" t="inlineStr">
        <is>
          <t>四川/甘肃</t>
        </is>
      </c>
      <c r="L714" t="inlineStr">
        <is>
          <t>四川</t>
        </is>
      </c>
      <c r="O714" t="inlineStr">
        <is>
          <t>中文</t>
        </is>
      </c>
      <c r="P714" t="inlineStr">
        <is>
          <t>否</t>
        </is>
      </c>
      <c r="Q714" t="inlineStr">
        <is>
          <t>明确批评</t>
        </is>
      </c>
      <c r="R714" t="inlineStr">
        <is>
          <t>执行效果质疑；纸面落实；政策可信度</t>
        </is>
      </c>
      <c r="S714" t="n">
        <v>0</v>
      </c>
      <c r="T714" t="n">
        <v>0</v>
      </c>
      <c r="U714" t="n">
        <v>0</v>
      </c>
      <c r="V714" t="inlineStr">
        <is>
          <t>否</t>
        </is>
      </c>
      <c r="W714" t="inlineStr">
        <is>
          <t>是</t>
        </is>
      </c>
      <c r="X714"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15">
      <c r="A715" t="inlineStr">
        <is>
          <t>hist-220e73ba5160f9af</t>
        </is>
      </c>
      <c r="B715" s="82" t="n">
        <v>46252.9403587963</v>
      </c>
      <c r="D715" t="inlineStr">
        <is>
          <t>快手</t>
        </is>
      </c>
      <c r="E715" t="inlineStr">
        <is>
          <t>快手</t>
        </is>
      </c>
      <c r="F715" t="inlineStr">
        <is>
          <t>逐条直接证据</t>
        </is>
      </c>
      <c r="G715" t="inlineStr">
        <is>
          <t>放猪老人~迪日尔古</t>
        </is>
      </c>
      <c r="H715" t="inlineStr">
        <is>
          <t>我不想要你就不要你，你能把我怎样？因为用你我闲的麻烦。就是事实</t>
        </is>
      </c>
      <c r="I715" t="inlineStr">
        <is>
          <t>https://v.kuaishou.com/KbUsbF4n</t>
        </is>
      </c>
      <c r="J715" t="inlineStr">
        <is>
          <t>四川/甘肃</t>
        </is>
      </c>
      <c r="L715" t="inlineStr">
        <is>
          <t>四川</t>
        </is>
      </c>
      <c r="O715" t="inlineStr">
        <is>
          <t>中文</t>
        </is>
      </c>
      <c r="P715" t="inlineStr">
        <is>
          <t>否</t>
        </is>
      </c>
      <c r="Q715" t="inlineStr">
        <is>
          <t>质疑</t>
        </is>
      </c>
      <c r="R715" t="inlineStr">
        <is>
          <t>权利保障与公平正义</t>
        </is>
      </c>
      <c r="S715" t="n">
        <v>0</v>
      </c>
      <c r="T715" t="n">
        <v>0</v>
      </c>
      <c r="U715" t="n">
        <v>0</v>
      </c>
      <c r="V715" t="inlineStr">
        <is>
          <t>否</t>
        </is>
      </c>
      <c r="W715" t="inlineStr">
        <is>
          <t>是</t>
        </is>
      </c>
      <c r="X715"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16">
      <c r="A716" t="inlineStr">
        <is>
          <t>hist-58b8e0d6a7dc2e13</t>
        </is>
      </c>
      <c r="B716" s="82" t="n">
        <v>46252.9403587963</v>
      </c>
      <c r="D716" t="inlineStr">
        <is>
          <t>快手</t>
        </is>
      </c>
      <c r="E716" t="inlineStr">
        <is>
          <t>快手</t>
        </is>
      </c>
      <c r="F716" t="inlineStr">
        <is>
          <t>逐条直接证据</t>
        </is>
      </c>
      <c r="G716" t="inlineStr">
        <is>
          <t>放猪老人~迪日尔古</t>
        </is>
      </c>
      <c r="H716" t="inlineStr">
        <is>
          <t>我也是彝族是诺苏来自云南。但广东这边找工作他都要我，她们说只是不要四川大凉山的彝族。</t>
        </is>
      </c>
      <c r="I716" t="inlineStr">
        <is>
          <t>https://v.kuaishou.com/KbUsbF4n</t>
        </is>
      </c>
      <c r="J716" t="inlineStr">
        <is>
          <t>四川/甘肃</t>
        </is>
      </c>
      <c r="L716" t="inlineStr">
        <is>
          <t>四川</t>
        </is>
      </c>
      <c r="O716" t="inlineStr">
        <is>
          <t>中文</t>
        </is>
      </c>
      <c r="P716" t="inlineStr">
        <is>
          <t>否</t>
        </is>
      </c>
      <c r="Q716" t="inlineStr">
        <is>
          <t>实施问题</t>
        </is>
      </c>
      <c r="R716" t="inlineStr">
        <is>
          <t>权利保障与公平正义</t>
        </is>
      </c>
      <c r="S716" t="n">
        <v>0</v>
      </c>
      <c r="T716" t="n">
        <v>0</v>
      </c>
      <c r="U716" t="n">
        <v>0</v>
      </c>
      <c r="V716" t="inlineStr">
        <is>
          <t>否</t>
        </is>
      </c>
      <c r="W716" t="inlineStr">
        <is>
          <t>是</t>
        </is>
      </c>
      <c r="X716" t="inlineStr">
        <is>
          <t>历史导入:民族团结进步促进法舆情统计最终版_非支持原话全量汇总最终版.xlsx；证据状态:原始复核证据；记录类型:逐条直接证据；复核:网民陈述部分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17">
      <c r="A717" t="inlineStr">
        <is>
          <t>hist-601323b72c6324d5</t>
        </is>
      </c>
      <c r="B717" s="82" t="n">
        <v>46252.9403587963</v>
      </c>
      <c r="D717" t="inlineStr">
        <is>
          <t>快手</t>
        </is>
      </c>
      <c r="E717" t="inlineStr">
        <is>
          <t>快手</t>
        </is>
      </c>
      <c r="F717" t="inlineStr">
        <is>
          <t>逐条直接证据</t>
        </is>
      </c>
      <c r="G717" t="inlineStr">
        <is>
          <t>放猪老人~迪日尔古</t>
        </is>
      </c>
      <c r="H717" t="inlineStr">
        <is>
          <t>我都告了3年了！根本没人管</t>
        </is>
      </c>
      <c r="I717" t="inlineStr">
        <is>
          <t>https://v.kuaishou.com/KbUsbF4n</t>
        </is>
      </c>
      <c r="J717" t="inlineStr">
        <is>
          <t>四川/甘肃</t>
        </is>
      </c>
      <c r="L717" t="inlineStr">
        <is>
          <t>四川</t>
        </is>
      </c>
      <c r="O717" t="inlineStr">
        <is>
          <t>中文</t>
        </is>
      </c>
      <c r="P717" t="inlineStr">
        <is>
          <t>否</t>
        </is>
      </c>
      <c r="Q717" t="inlineStr">
        <is>
          <t>实施问题</t>
        </is>
      </c>
      <c r="R717" t="inlineStr">
        <is>
          <t>权利保障与公平正义</t>
        </is>
      </c>
      <c r="S717" t="n">
        <v>0</v>
      </c>
      <c r="T717" t="n">
        <v>0</v>
      </c>
      <c r="U717" t="n">
        <v>0</v>
      </c>
      <c r="V717" t="inlineStr">
        <is>
          <t>否</t>
        </is>
      </c>
      <c r="W717" t="inlineStr">
        <is>
          <t>是</t>
        </is>
      </c>
      <c r="X717"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18">
      <c r="A718" t="inlineStr">
        <is>
          <t>hist-12793102310d74d7</t>
        </is>
      </c>
      <c r="B718" s="82" t="n">
        <v>46252.9403587963</v>
      </c>
      <c r="D718" t="inlineStr">
        <is>
          <t>快手</t>
        </is>
      </c>
      <c r="E718" t="inlineStr">
        <is>
          <t>快手</t>
        </is>
      </c>
      <c r="F718" t="inlineStr">
        <is>
          <t>逐条直接证据</t>
        </is>
      </c>
      <c r="G718" t="inlineStr">
        <is>
          <t>放猪老人~迪日尔古</t>
        </is>
      </c>
      <c r="H718" t="inlineStr">
        <is>
          <t>找工作明面上不说不要，你去找工作一听说你是彝族就直接以各种理由不接收你，所以没有办法的，只能改变自身让以后自己的子孙提高素质 和教育文化程度 渐渐在2 30年以后也许就会少一点</t>
        </is>
      </c>
      <c r="I718" t="inlineStr">
        <is>
          <t>https://v.kuaishou.com/KbUsbF4n</t>
        </is>
      </c>
      <c r="J718" t="inlineStr">
        <is>
          <t>四川/甘肃</t>
        </is>
      </c>
      <c r="L718" t="inlineStr">
        <is>
          <t>四川</t>
        </is>
      </c>
      <c r="O718" t="inlineStr">
        <is>
          <t>中文</t>
        </is>
      </c>
      <c r="P718" t="inlineStr">
        <is>
          <t>否</t>
        </is>
      </c>
      <c r="Q718" t="inlineStr">
        <is>
          <t>实施问题</t>
        </is>
      </c>
      <c r="R718" t="inlineStr">
        <is>
          <t>权利保障与公平正义</t>
        </is>
      </c>
      <c r="S718" t="n">
        <v>0</v>
      </c>
      <c r="T718" t="n">
        <v>0</v>
      </c>
      <c r="U718" t="n">
        <v>0</v>
      </c>
      <c r="V718" t="inlineStr">
        <is>
          <t>否</t>
        </is>
      </c>
      <c r="W718" t="inlineStr">
        <is>
          <t>是</t>
        </is>
      </c>
      <c r="X718"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19">
      <c r="A719" t="inlineStr">
        <is>
          <t>hist-cce3e11f9b2e8d8d</t>
        </is>
      </c>
      <c r="B719" s="82" t="n">
        <v>46252.9403587963</v>
      </c>
      <c r="D719" t="inlineStr">
        <is>
          <t>快手</t>
        </is>
      </c>
      <c r="E719" t="inlineStr">
        <is>
          <t>快手</t>
        </is>
      </c>
      <c r="F719" t="inlineStr">
        <is>
          <t>逐条直接证据</t>
        </is>
      </c>
      <c r="G719" t="inlineStr">
        <is>
          <t>放猪老人~迪日尔古</t>
        </is>
      </c>
      <c r="H719" t="inlineStr">
        <is>
          <t>教育落后，</t>
        </is>
      </c>
      <c r="I719" t="inlineStr">
        <is>
          <t>https://www.kuaishou.com/f/X61LgJZvnkrW15G</t>
        </is>
      </c>
      <c r="J719" t="inlineStr">
        <is>
          <t>四川/甘肃</t>
        </is>
      </c>
      <c r="L719" t="inlineStr">
        <is>
          <t>四川</t>
        </is>
      </c>
      <c r="O719" t="inlineStr">
        <is>
          <t>中文</t>
        </is>
      </c>
      <c r="P719" t="inlineStr">
        <is>
          <t>否</t>
        </is>
      </c>
      <c r="Q719" t="inlineStr">
        <is>
          <t>公平争议</t>
        </is>
      </c>
      <c r="R719" t="inlineStr">
        <is>
          <t>就业公平；刻板印象；群体内部反思</t>
        </is>
      </c>
      <c r="S719" t="n">
        <v>0</v>
      </c>
      <c r="T719" t="n">
        <v>0</v>
      </c>
      <c r="U719" t="n">
        <v>0</v>
      </c>
      <c r="V719" t="inlineStr">
        <is>
          <t>否</t>
        </is>
      </c>
      <c r="W719" t="inlineStr">
        <is>
          <t>是</t>
        </is>
      </c>
      <c r="X719"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0">
      <c r="A720" t="inlineStr">
        <is>
          <t>hist-cf09b0b77f6bd211</t>
        </is>
      </c>
      <c r="B720" s="82" t="n">
        <v>46252.9403587963</v>
      </c>
      <c r="D720" t="inlineStr">
        <is>
          <t>快手</t>
        </is>
      </c>
      <c r="E720" t="inlineStr">
        <is>
          <t>快手</t>
        </is>
      </c>
      <c r="F720" t="inlineStr">
        <is>
          <t>逐条直接证据</t>
        </is>
      </c>
      <c r="G720" t="inlineStr">
        <is>
          <t>放猪老人~迪日尔古</t>
        </is>
      </c>
      <c r="H720" t="inlineStr">
        <is>
          <t>有什么用，只会纸上谈兵</t>
        </is>
      </c>
      <c r="I720" t="inlineStr">
        <is>
          <t>https://www.kuaishou.com/f/X61LgJZvnkrW15G</t>
        </is>
      </c>
      <c r="J720" t="inlineStr">
        <is>
          <t>四川/甘肃</t>
        </is>
      </c>
      <c r="L720" t="inlineStr">
        <is>
          <t>四川</t>
        </is>
      </c>
      <c r="O720" t="inlineStr">
        <is>
          <t>中文</t>
        </is>
      </c>
      <c r="P720" t="inlineStr">
        <is>
          <t>否</t>
        </is>
      </c>
      <c r="Q720" t="inlineStr">
        <is>
          <t>明确批评</t>
        </is>
      </c>
      <c r="R720" t="inlineStr">
        <is>
          <t>执行效果质疑；纸面落实；政策可信度</t>
        </is>
      </c>
      <c r="S720" t="n">
        <v>0</v>
      </c>
      <c r="T720" t="n">
        <v>0</v>
      </c>
      <c r="U720" t="n">
        <v>0</v>
      </c>
      <c r="V720" t="inlineStr">
        <is>
          <t>否</t>
        </is>
      </c>
      <c r="W720" t="inlineStr">
        <is>
          <t>是</t>
        </is>
      </c>
      <c r="X72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1">
      <c r="A721" t="inlineStr">
        <is>
          <t>hist-b7bf6764ea24f81c</t>
        </is>
      </c>
      <c r="B721" s="82" t="n">
        <v>46252.9403587963</v>
      </c>
      <c r="D721" t="inlineStr">
        <is>
          <t>快手</t>
        </is>
      </c>
      <c r="E721" t="inlineStr">
        <is>
          <t>快手</t>
        </is>
      </c>
      <c r="F721" t="inlineStr">
        <is>
          <t>逐条直接证据</t>
        </is>
      </c>
      <c r="G721" t="inlineStr">
        <is>
          <t>放猪老人~迪日尔古</t>
        </is>
      </c>
      <c r="H721" t="inlineStr">
        <is>
          <t>有屁用 偏见永远会在</t>
        </is>
      </c>
      <c r="I721" t="inlineStr">
        <is>
          <t>https://v.kuaishou.com/KbUsbF4n</t>
        </is>
      </c>
      <c r="J721" t="inlineStr">
        <is>
          <t>四川/甘肃</t>
        </is>
      </c>
      <c r="L721" t="inlineStr">
        <is>
          <t>四川</t>
        </is>
      </c>
      <c r="O721" t="inlineStr">
        <is>
          <t>中文</t>
        </is>
      </c>
      <c r="P721" t="inlineStr">
        <is>
          <t>否</t>
        </is>
      </c>
      <c r="Q721" t="inlineStr">
        <is>
          <t>批评</t>
        </is>
      </c>
      <c r="R721" t="inlineStr">
        <is>
          <t>就业前景；偏见持续；下一代发展</t>
        </is>
      </c>
      <c r="S721" t="n">
        <v>0</v>
      </c>
      <c r="T721" t="n">
        <v>0</v>
      </c>
      <c r="U721" t="n">
        <v>0</v>
      </c>
      <c r="V721" t="inlineStr">
        <is>
          <t>否</t>
        </is>
      </c>
      <c r="W721" t="inlineStr">
        <is>
          <t>是</t>
        </is>
      </c>
      <c r="X721" t="inlineStr">
        <is>
          <t>历史导入:民族团结进步促进法舆情统计最终版_非支持原话全量汇总最终版.xlsx；证据状态:原始复核证据；记录类型:逐条直接证据；复核:网民批评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6</t>
        </is>
      </c>
    </row>
    <row r="722">
      <c r="A722" t="inlineStr">
        <is>
          <t>hist-cc076aba3cdda2a0</t>
        </is>
      </c>
      <c r="B722" s="82" t="n">
        <v>46252.9403587963</v>
      </c>
      <c r="D722" t="inlineStr">
        <is>
          <t>快手</t>
        </is>
      </c>
      <c r="E722" t="inlineStr">
        <is>
          <t>快手</t>
        </is>
      </c>
      <c r="F722" t="inlineStr">
        <is>
          <t>逐条直接证据</t>
        </is>
      </c>
      <c r="G722" t="inlineStr">
        <is>
          <t>放猪老人~迪日尔古</t>
        </is>
      </c>
      <c r="H722" t="inlineStr">
        <is>
          <t>来江浙沪走一圈就知道了</t>
        </is>
      </c>
      <c r="I722" t="inlineStr">
        <is>
          <t>https://www.kuaishou.com/f/X61LgJZvnkrW15G</t>
        </is>
      </c>
      <c r="J722" t="inlineStr">
        <is>
          <t>四川/甘肃</t>
        </is>
      </c>
      <c r="L722" t="inlineStr">
        <is>
          <t>四川</t>
        </is>
      </c>
      <c r="O722" t="inlineStr">
        <is>
          <t>中文</t>
        </is>
      </c>
      <c r="P722" t="inlineStr">
        <is>
          <t>否</t>
        </is>
      </c>
      <c r="Q722" t="inlineStr">
        <is>
          <t>实施问题</t>
        </is>
      </c>
      <c r="R722" t="inlineStr">
        <is>
          <t>隐性拒录；企业规避；执法与举证困难</t>
        </is>
      </c>
      <c r="S722" t="n">
        <v>0</v>
      </c>
      <c r="T722" t="n">
        <v>0</v>
      </c>
      <c r="U722" t="n">
        <v>0</v>
      </c>
      <c r="V722" t="inlineStr">
        <is>
          <t>否</t>
        </is>
      </c>
      <c r="W722" t="inlineStr">
        <is>
          <t>是</t>
        </is>
      </c>
      <c r="X72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3">
      <c r="A723" t="inlineStr">
        <is>
          <t>hist-cb2249a676b99f07</t>
        </is>
      </c>
      <c r="B723" s="82" t="n">
        <v>46252.9403587963</v>
      </c>
      <c r="D723" t="inlineStr">
        <is>
          <t>快手</t>
        </is>
      </c>
      <c r="E723" t="inlineStr">
        <is>
          <t>快手</t>
        </is>
      </c>
      <c r="F723" t="inlineStr">
        <is>
          <t>逐条直接证据</t>
        </is>
      </c>
      <c r="G723" t="inlineStr">
        <is>
          <t>放猪老人~迪日尔古</t>
        </is>
      </c>
      <c r="H723" t="inlineStr">
        <is>
          <t>没事儿，多积点德 留给将来你的孙子孙女，在这里说这些没用的，什么新f，现在他们自己都难，还让你分蛋糕吃，痴心妄想</t>
        </is>
      </c>
      <c r="I723" t="inlineStr">
        <is>
          <t>https://v.kuaishou.com/KbUsbF4n</t>
        </is>
      </c>
      <c r="J723" t="inlineStr">
        <is>
          <t>四川/甘肃</t>
        </is>
      </c>
      <c r="L723" t="inlineStr">
        <is>
          <t>四川</t>
        </is>
      </c>
      <c r="O723" t="inlineStr">
        <is>
          <t>中文</t>
        </is>
      </c>
      <c r="P723" t="inlineStr">
        <is>
          <t>否</t>
        </is>
      </c>
      <c r="Q723" t="inlineStr">
        <is>
          <t>质疑</t>
        </is>
      </c>
      <c r="R723" t="inlineStr">
        <is>
          <t>权利保障与公平正义</t>
        </is>
      </c>
      <c r="S723" t="n">
        <v>0</v>
      </c>
      <c r="T723" t="n">
        <v>0</v>
      </c>
      <c r="U723" t="n">
        <v>0</v>
      </c>
      <c r="V723" t="inlineStr">
        <is>
          <t>否</t>
        </is>
      </c>
      <c r="W723" t="inlineStr">
        <is>
          <t>是</t>
        </is>
      </c>
      <c r="X723"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24">
      <c r="A724" t="inlineStr">
        <is>
          <t>hist-297239bde76ed66e</t>
        </is>
      </c>
      <c r="B724" s="82" t="n">
        <v>46252.9403587963</v>
      </c>
      <c r="D724" t="inlineStr">
        <is>
          <t>快手</t>
        </is>
      </c>
      <c r="E724" t="inlineStr">
        <is>
          <t>快手</t>
        </is>
      </c>
      <c r="F724" t="inlineStr">
        <is>
          <t>逐条直接证据</t>
        </is>
      </c>
      <c r="G724" t="inlineStr">
        <is>
          <t>放猪老人~迪日尔古</t>
        </is>
      </c>
      <c r="H724" t="inlineStr">
        <is>
          <t>没有技术的永远富不起来的，所以让我们下一代把科技技术学好，自给自足，自己开企业，工厂</t>
        </is>
      </c>
      <c r="I724" t="inlineStr">
        <is>
          <t>https://www.kuaishou.com/f/X61LgJZvnkrW15G</t>
        </is>
      </c>
      <c r="J724" t="inlineStr">
        <is>
          <t>四川/甘肃</t>
        </is>
      </c>
      <c r="L724" t="inlineStr">
        <is>
          <t>四川</t>
        </is>
      </c>
      <c r="O724" t="inlineStr">
        <is>
          <t>中文</t>
        </is>
      </c>
      <c r="P724" t="inlineStr">
        <is>
          <t>否</t>
        </is>
      </c>
      <c r="Q724" t="inlineStr">
        <is>
          <t>公平争议</t>
        </is>
      </c>
      <c r="R724" t="inlineStr">
        <is>
          <t>就业公平；刻板印象；群体内部反思</t>
        </is>
      </c>
      <c r="S724" t="n">
        <v>0</v>
      </c>
      <c r="T724" t="n">
        <v>0</v>
      </c>
      <c r="U724" t="n">
        <v>0</v>
      </c>
      <c r="V724" t="inlineStr">
        <is>
          <t>否</t>
        </is>
      </c>
      <c r="W724" t="inlineStr">
        <is>
          <t>是</t>
        </is>
      </c>
      <c r="X724"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5">
      <c r="A725" t="inlineStr">
        <is>
          <t>hist-618b4b2a422f40a6</t>
        </is>
      </c>
      <c r="B725" s="82" t="n">
        <v>46252.9403587963</v>
      </c>
      <c r="D725" t="inlineStr">
        <is>
          <t>快手</t>
        </is>
      </c>
      <c r="E725" t="inlineStr">
        <is>
          <t>快手</t>
        </is>
      </c>
      <c r="F725" t="inlineStr">
        <is>
          <t>逐条直接证据</t>
        </is>
      </c>
      <c r="G725" t="inlineStr">
        <is>
          <t>放猪老人~迪日尔古</t>
        </is>
      </c>
      <c r="H725" t="inlineStr">
        <is>
          <t>没有用的</t>
        </is>
      </c>
      <c r="I725" t="inlineStr">
        <is>
          <t>https://www.kuaishou.com/f/X61LgJZvnkrW15G</t>
        </is>
      </c>
      <c r="J725" t="inlineStr">
        <is>
          <t>四川/甘肃</t>
        </is>
      </c>
      <c r="L725" t="inlineStr">
        <is>
          <t>四川</t>
        </is>
      </c>
      <c r="O725" t="inlineStr">
        <is>
          <t>中文</t>
        </is>
      </c>
      <c r="P725" t="inlineStr">
        <is>
          <t>否</t>
        </is>
      </c>
      <c r="Q725" t="inlineStr">
        <is>
          <t>明确批评</t>
        </is>
      </c>
      <c r="R725" t="inlineStr">
        <is>
          <t>执行效果质疑；纸面落实；政策可信度</t>
        </is>
      </c>
      <c r="S725" t="n">
        <v>0</v>
      </c>
      <c r="T725" t="n">
        <v>0</v>
      </c>
      <c r="U725" t="n">
        <v>0</v>
      </c>
      <c r="V725" t="inlineStr">
        <is>
          <t>否</t>
        </is>
      </c>
      <c r="W725" t="inlineStr">
        <is>
          <t>是</t>
        </is>
      </c>
      <c r="X725"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6">
      <c r="A726" t="inlineStr">
        <is>
          <t>hist-e12f29e495eedae9</t>
        </is>
      </c>
      <c r="B726" s="82" t="n">
        <v>46252.9403587963</v>
      </c>
      <c r="D726" t="inlineStr">
        <is>
          <t>快手</t>
        </is>
      </c>
      <c r="E726" t="inlineStr">
        <is>
          <t>快手</t>
        </is>
      </c>
      <c r="F726" t="inlineStr">
        <is>
          <t>逐条直接证据</t>
        </is>
      </c>
      <c r="G726" t="inlineStr">
        <is>
          <t>放猪老人~迪日尔古</t>
        </is>
      </c>
      <c r="H726" t="inlineStr">
        <is>
          <t>没有用的，该不要还是不要，工作难找啊</t>
        </is>
      </c>
      <c r="I726" t="inlineStr">
        <is>
          <t>https://v.kuaishou.com/KbUsbF4n</t>
        </is>
      </c>
      <c r="J726" t="inlineStr">
        <is>
          <t>四川/甘肃</t>
        </is>
      </c>
      <c r="L726" t="inlineStr">
        <is>
          <t>四川</t>
        </is>
      </c>
      <c r="O726" t="inlineStr">
        <is>
          <t>中文</t>
        </is>
      </c>
      <c r="P726" t="inlineStr">
        <is>
          <t>否</t>
        </is>
      </c>
      <c r="Q726" t="inlineStr">
        <is>
          <t>质疑</t>
        </is>
      </c>
      <c r="R726" t="inlineStr">
        <is>
          <t>权利保障与公平正义</t>
        </is>
      </c>
      <c r="S726" t="n">
        <v>0</v>
      </c>
      <c r="T726" t="n">
        <v>0</v>
      </c>
      <c r="U726" t="n">
        <v>0</v>
      </c>
      <c r="V726" t="inlineStr">
        <is>
          <t>否</t>
        </is>
      </c>
      <c r="W726" t="inlineStr">
        <is>
          <t>是</t>
        </is>
      </c>
      <c r="X726"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27">
      <c r="A727" t="inlineStr">
        <is>
          <t>hist-c5b42d1e32c51852</t>
        </is>
      </c>
      <c r="B727" s="82" t="n">
        <v>46252.9403587963</v>
      </c>
      <c r="D727" t="inlineStr">
        <is>
          <t>快手</t>
        </is>
      </c>
      <c r="E727" t="inlineStr">
        <is>
          <t>快手</t>
        </is>
      </c>
      <c r="F727" t="inlineStr">
        <is>
          <t>逐条直接证据</t>
        </is>
      </c>
      <c r="G727" t="inlineStr">
        <is>
          <t>放猪老人~迪日尔古</t>
        </is>
      </c>
      <c r="H727" t="inlineStr">
        <is>
          <t>没用。人家看了你的身份证以后才说各种各样的理由拒绝你</t>
        </is>
      </c>
      <c r="I727" t="inlineStr">
        <is>
          <t>https://v.kuaishou.com/KbUsbF4n</t>
        </is>
      </c>
      <c r="J727" t="inlineStr">
        <is>
          <t>四川/甘肃</t>
        </is>
      </c>
      <c r="L727" t="inlineStr">
        <is>
          <t>四川</t>
        </is>
      </c>
      <c r="O727" t="inlineStr">
        <is>
          <t>中文</t>
        </is>
      </c>
      <c r="P727" t="inlineStr">
        <is>
          <t>否</t>
        </is>
      </c>
      <c r="Q727" t="inlineStr">
        <is>
          <t>质疑</t>
        </is>
      </c>
      <c r="R727" t="inlineStr">
        <is>
          <t>权利保障与公平正义</t>
        </is>
      </c>
      <c r="S727" t="n">
        <v>0</v>
      </c>
      <c r="T727" t="n">
        <v>0</v>
      </c>
      <c r="U727" t="n">
        <v>0</v>
      </c>
      <c r="V727" t="inlineStr">
        <is>
          <t>否</t>
        </is>
      </c>
      <c r="W727" t="inlineStr">
        <is>
          <t>是</t>
        </is>
      </c>
      <c r="X727"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28">
      <c r="A728" t="inlineStr">
        <is>
          <t>hist-55002fd3abf6e500</t>
        </is>
      </c>
      <c r="B728" s="82" t="n">
        <v>46252.9403587963</v>
      </c>
      <c r="D728" t="inlineStr">
        <is>
          <t>快手</t>
        </is>
      </c>
      <c r="E728" t="inlineStr">
        <is>
          <t>快手</t>
        </is>
      </c>
      <c r="F728" t="inlineStr">
        <is>
          <t>逐条直接证据</t>
        </is>
      </c>
      <c r="G728" t="inlineStr">
        <is>
          <t>放猪老人~迪日尔古</t>
        </is>
      </c>
      <c r="H728" t="inlineStr">
        <is>
          <t>没用的人家找各种理不要你</t>
        </is>
      </c>
      <c r="I728" t="inlineStr">
        <is>
          <t>https://www.kuaishou.com/f/X61LgJZvnkrW15G</t>
        </is>
      </c>
      <c r="J728" t="inlineStr">
        <is>
          <t>四川/甘肃</t>
        </is>
      </c>
      <c r="L728" t="inlineStr">
        <is>
          <t>四川</t>
        </is>
      </c>
      <c r="O728" t="inlineStr">
        <is>
          <t>中文</t>
        </is>
      </c>
      <c r="P728" t="inlineStr">
        <is>
          <t>否</t>
        </is>
      </c>
      <c r="Q728" t="inlineStr">
        <is>
          <t>实施问题</t>
        </is>
      </c>
      <c r="R728" t="inlineStr">
        <is>
          <t>隐性拒录；企业规避；执法与举证困难</t>
        </is>
      </c>
      <c r="S728" t="n">
        <v>0</v>
      </c>
      <c r="T728" t="n">
        <v>0</v>
      </c>
      <c r="U728" t="n">
        <v>0</v>
      </c>
      <c r="V728" t="inlineStr">
        <is>
          <t>否</t>
        </is>
      </c>
      <c r="W728" t="inlineStr">
        <is>
          <t>是</t>
        </is>
      </c>
      <c r="X728"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9">
      <c r="A729" t="inlineStr">
        <is>
          <t>hist-a419fe62391e4148</t>
        </is>
      </c>
      <c r="B729" s="82" t="n">
        <v>46252.9403587963</v>
      </c>
      <c r="D729" t="inlineStr">
        <is>
          <t>快手</t>
        </is>
      </c>
      <c r="E729" t="inlineStr">
        <is>
          <t>快手</t>
        </is>
      </c>
      <c r="F729" t="inlineStr">
        <is>
          <t>逐条直接证据</t>
        </is>
      </c>
      <c r="G729" t="inlineStr">
        <is>
          <t>放猪老人~迪日尔古</t>
        </is>
      </c>
      <c r="H729" t="inlineStr">
        <is>
          <t>浙江我这个公司现在说不要彝族人了，</t>
        </is>
      </c>
      <c r="I729" t="inlineStr">
        <is>
          <t>https://v.kuaishou.com/KbUsbF4n</t>
        </is>
      </c>
      <c r="J729" t="inlineStr">
        <is>
          <t>四川/甘肃</t>
        </is>
      </c>
      <c r="L729" t="inlineStr">
        <is>
          <t>四川</t>
        </is>
      </c>
      <c r="O729" t="inlineStr">
        <is>
          <t>中文</t>
        </is>
      </c>
      <c r="P729" t="inlineStr">
        <is>
          <t>否</t>
        </is>
      </c>
      <c r="Q729" t="inlineStr">
        <is>
          <t>实施问题</t>
        </is>
      </c>
      <c r="R729" t="inlineStr">
        <is>
          <t>权利保障与公平正义</t>
        </is>
      </c>
      <c r="S729" t="n">
        <v>0</v>
      </c>
      <c r="T729" t="n">
        <v>0</v>
      </c>
      <c r="U729" t="n">
        <v>0</v>
      </c>
      <c r="V729" t="inlineStr">
        <is>
          <t>否</t>
        </is>
      </c>
      <c r="W729" t="inlineStr">
        <is>
          <t>是</t>
        </is>
      </c>
      <c r="X729"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30">
      <c r="A730" t="inlineStr">
        <is>
          <t>hist-9adfc40b92cc8cf5</t>
        </is>
      </c>
      <c r="B730" s="82" t="n">
        <v>46252.9403587963</v>
      </c>
      <c r="D730" t="inlineStr">
        <is>
          <t>快手</t>
        </is>
      </c>
      <c r="E730" t="inlineStr">
        <is>
          <t>快手</t>
        </is>
      </c>
      <c r="F730" t="inlineStr">
        <is>
          <t>逐条直接证据</t>
        </is>
      </c>
      <c r="G730" t="inlineStr">
        <is>
          <t>放猪老人~迪日尔古</t>
        </is>
      </c>
      <c r="H730" t="inlineStr">
        <is>
          <t>珠三角大部分工厂不要四大名族</t>
        </is>
      </c>
      <c r="I730" t="inlineStr">
        <is>
          <t>https://v.kuaishou.com/KbUsbF4n</t>
        </is>
      </c>
      <c r="J730" t="inlineStr">
        <is>
          <t>四川/甘肃</t>
        </is>
      </c>
      <c r="L730" t="inlineStr">
        <is>
          <t>四川</t>
        </is>
      </c>
      <c r="O730" t="inlineStr">
        <is>
          <t>中文</t>
        </is>
      </c>
      <c r="P730" t="inlineStr">
        <is>
          <t>否</t>
        </is>
      </c>
      <c r="Q730" t="inlineStr">
        <is>
          <t>实施问题</t>
        </is>
      </c>
      <c r="R730" t="inlineStr">
        <is>
          <t>权利保障与公平正义</t>
        </is>
      </c>
      <c r="S730" t="n">
        <v>0</v>
      </c>
      <c r="T730" t="n">
        <v>0</v>
      </c>
      <c r="U730" t="n">
        <v>0</v>
      </c>
      <c r="V730" t="inlineStr">
        <is>
          <t>否</t>
        </is>
      </c>
      <c r="W730" t="inlineStr">
        <is>
          <t>是</t>
        </is>
      </c>
      <c r="X730" t="inlineStr">
        <is>
          <t>历史导入:民族团结进步促进法舆情统计最终版_非支持原话全量汇总最终版.xlsx；证据状态:原始复核证据；记录类型:逐条直接证据；复核:网民陈述少数民族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31">
      <c r="A731" t="inlineStr">
        <is>
          <t>hist-134bb4cbe8ef0293</t>
        </is>
      </c>
      <c r="B731" s="82" t="n">
        <v>46252.9403587963</v>
      </c>
      <c r="D731" t="inlineStr">
        <is>
          <t>快手</t>
        </is>
      </c>
      <c r="E731" t="inlineStr">
        <is>
          <t>快手</t>
        </is>
      </c>
      <c r="F731" t="inlineStr">
        <is>
          <t>逐条直接证据</t>
        </is>
      </c>
      <c r="G731" t="inlineStr">
        <is>
          <t>放猪老人~迪日尔古</t>
        </is>
      </c>
      <c r="H731" t="inlineStr">
        <is>
          <t>瓜娃子我劝你不要胡说八道休息洗洗睡觉自欺欺人</t>
        </is>
      </c>
      <c r="I731" t="inlineStr">
        <is>
          <t>https://www.kuaishou.com/f/X61LgJZvnkrW15G</t>
        </is>
      </c>
      <c r="J731" t="inlineStr">
        <is>
          <t>四川/甘肃</t>
        </is>
      </c>
      <c r="L731" t="inlineStr">
        <is>
          <t>四川</t>
        </is>
      </c>
      <c r="O731" t="inlineStr">
        <is>
          <t>中文</t>
        </is>
      </c>
      <c r="P731" t="inlineStr">
        <is>
          <t>否</t>
        </is>
      </c>
      <c r="Q731" t="inlineStr">
        <is>
          <t>明确批评</t>
        </is>
      </c>
      <c r="R731" t="inlineStr">
        <is>
          <t>执行效果质疑；纸面落实；政策可信度</t>
        </is>
      </c>
      <c r="S731" t="n">
        <v>0</v>
      </c>
      <c r="T731" t="n">
        <v>0</v>
      </c>
      <c r="U731" t="n">
        <v>0</v>
      </c>
      <c r="V731" t="inlineStr">
        <is>
          <t>否</t>
        </is>
      </c>
      <c r="W731" t="inlineStr">
        <is>
          <t>是</t>
        </is>
      </c>
      <c r="X73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32">
      <c r="A732" t="inlineStr">
        <is>
          <t>hist-1ca9db420f16a609</t>
        </is>
      </c>
      <c r="B732" s="82" t="n">
        <v>46252.9403587963</v>
      </c>
      <c r="D732" t="inlineStr">
        <is>
          <t>快手</t>
        </is>
      </c>
      <c r="E732" t="inlineStr">
        <is>
          <t>快手</t>
        </is>
      </c>
      <c r="F732" t="inlineStr">
        <is>
          <t>逐条直接证据</t>
        </is>
      </c>
      <c r="G732" t="inlineStr">
        <is>
          <t>放猪老人~迪日尔古</t>
        </is>
      </c>
      <c r="H732" t="inlineStr">
        <is>
          <t>瓜娃子，就是不要，你有啥办法？</t>
        </is>
      </c>
      <c r="I732" t="inlineStr">
        <is>
          <t>https://www.kuaishou.com/f/X61LgJZvnkrW15G</t>
        </is>
      </c>
      <c r="J732" t="inlineStr">
        <is>
          <t>四川/甘肃</t>
        </is>
      </c>
      <c r="L732" t="inlineStr">
        <is>
          <t>四川</t>
        </is>
      </c>
      <c r="O732" t="inlineStr">
        <is>
          <t>中文</t>
        </is>
      </c>
      <c r="P732" t="inlineStr">
        <is>
          <t>否</t>
        </is>
      </c>
      <c r="Q732" t="inlineStr">
        <is>
          <t>实施问题</t>
        </is>
      </c>
      <c r="R732" t="inlineStr">
        <is>
          <t>隐性拒录；企业规避；执法与举证困难</t>
        </is>
      </c>
      <c r="S732" t="n">
        <v>0</v>
      </c>
      <c r="T732" t="n">
        <v>0</v>
      </c>
      <c r="U732" t="n">
        <v>0</v>
      </c>
      <c r="V732" t="inlineStr">
        <is>
          <t>否</t>
        </is>
      </c>
      <c r="W732" t="inlineStr">
        <is>
          <t>是</t>
        </is>
      </c>
      <c r="X73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33">
      <c r="A733" t="inlineStr">
        <is>
          <t>hist-dc19014efb1a7ebf</t>
        </is>
      </c>
      <c r="B733" s="82" t="n">
        <v>46252.9403587963</v>
      </c>
      <c r="D733" t="inlineStr">
        <is>
          <t>快手</t>
        </is>
      </c>
      <c r="E733" t="inlineStr">
        <is>
          <t>快手</t>
        </is>
      </c>
      <c r="F733" t="inlineStr">
        <is>
          <t>逐条直接证据</t>
        </is>
      </c>
      <c r="G733" t="inlineStr">
        <is>
          <t>放猪老人~迪日尔古</t>
        </is>
      </c>
      <c r="H733" t="inlineStr">
        <is>
          <t>白搭的 ，，人家又不会直接说 不要彝族啥的</t>
        </is>
      </c>
      <c r="I733" t="inlineStr">
        <is>
          <t>https://v.kuaishou.com/KbUsbF4n</t>
        </is>
      </c>
      <c r="J733" t="inlineStr">
        <is>
          <t>四川/甘肃</t>
        </is>
      </c>
      <c r="L733" t="inlineStr">
        <is>
          <t>四川</t>
        </is>
      </c>
      <c r="O733" t="inlineStr">
        <is>
          <t>中文</t>
        </is>
      </c>
      <c r="P733" t="inlineStr">
        <is>
          <t>否</t>
        </is>
      </c>
      <c r="Q733" t="inlineStr">
        <is>
          <t>质疑</t>
        </is>
      </c>
      <c r="R733" t="inlineStr">
        <is>
          <t>权利保障与公平正义</t>
        </is>
      </c>
      <c r="S733" t="n">
        <v>0</v>
      </c>
      <c r="T733" t="n">
        <v>0</v>
      </c>
      <c r="U733" t="n">
        <v>0</v>
      </c>
      <c r="V733" t="inlineStr">
        <is>
          <t>否</t>
        </is>
      </c>
      <c r="W733" t="inlineStr">
        <is>
          <t>是</t>
        </is>
      </c>
      <c r="X733"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34">
      <c r="A734" t="inlineStr">
        <is>
          <t>hist-77587dc4550b88c6</t>
        </is>
      </c>
      <c r="B734" s="82" t="n">
        <v>46252.9403587963</v>
      </c>
      <c r="D734" t="inlineStr">
        <is>
          <t>快手</t>
        </is>
      </c>
      <c r="E734" t="inlineStr">
        <is>
          <t>快手</t>
        </is>
      </c>
      <c r="F734" t="inlineStr">
        <is>
          <t>逐条直接证据</t>
        </is>
      </c>
      <c r="G734" t="inlineStr">
        <is>
          <t>放猪老人~迪日尔古</t>
        </is>
      </c>
      <c r="H734" t="inlineStr">
        <is>
          <t>百分之七十是不要了的</t>
        </is>
      </c>
      <c r="I734" t="inlineStr">
        <is>
          <t>https://www.kuaishou.com/f/X61LgJZvnkrW15G</t>
        </is>
      </c>
      <c r="J734" t="inlineStr">
        <is>
          <t>四川/甘肃</t>
        </is>
      </c>
      <c r="L734" t="inlineStr">
        <is>
          <t>四川</t>
        </is>
      </c>
      <c r="O734" t="inlineStr">
        <is>
          <t>中文</t>
        </is>
      </c>
      <c r="P734" t="inlineStr">
        <is>
          <t>否</t>
        </is>
      </c>
      <c r="Q734" t="inlineStr">
        <is>
          <t>实施问题</t>
        </is>
      </c>
      <c r="R734" t="inlineStr">
        <is>
          <t>隐性拒录；企业规避；执法与举证困难</t>
        </is>
      </c>
      <c r="S734" t="n">
        <v>0</v>
      </c>
      <c r="T734" t="n">
        <v>0</v>
      </c>
      <c r="U734" t="n">
        <v>0</v>
      </c>
      <c r="V734" t="inlineStr">
        <is>
          <t>否</t>
        </is>
      </c>
      <c r="W734" t="inlineStr">
        <is>
          <t>是</t>
        </is>
      </c>
      <c r="X734"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35">
      <c r="A735" t="inlineStr">
        <is>
          <t>hist-eca6769eadec7825</t>
        </is>
      </c>
      <c r="B735" s="82" t="n">
        <v>46252.9403587963</v>
      </c>
      <c r="D735" t="inlineStr">
        <is>
          <t>快手</t>
        </is>
      </c>
      <c r="E735" t="inlineStr">
        <is>
          <t>快手</t>
        </is>
      </c>
      <c r="F735" t="inlineStr">
        <is>
          <t>逐条直接证据</t>
        </is>
      </c>
      <c r="G735" t="inlineStr">
        <is>
          <t>放猪老人~迪日尔古</t>
        </is>
      </c>
      <c r="H735" t="inlineStr">
        <is>
          <t>直接在某个火车站，居然不让我们彝族人住，还理直气壮的说是派出所规定的，你说怎么解？</t>
        </is>
      </c>
      <c r="I735" t="inlineStr">
        <is>
          <t>https://v.kuaishou.com/KbUsbF4n</t>
        </is>
      </c>
      <c r="J735" t="inlineStr">
        <is>
          <t>四川/甘肃</t>
        </is>
      </c>
      <c r="L735" t="inlineStr">
        <is>
          <t>四川</t>
        </is>
      </c>
      <c r="O735" t="inlineStr">
        <is>
          <t>中文</t>
        </is>
      </c>
      <c r="P735" t="inlineStr">
        <is>
          <t>否</t>
        </is>
      </c>
      <c r="Q735" t="inlineStr">
        <is>
          <t>质疑</t>
        </is>
      </c>
      <c r="R735" t="inlineStr">
        <is>
          <t>权利保障与公平正义</t>
        </is>
      </c>
      <c r="S735" t="n">
        <v>0</v>
      </c>
      <c r="T735" t="n">
        <v>0</v>
      </c>
      <c r="U735" t="n">
        <v>0</v>
      </c>
      <c r="V735" t="inlineStr">
        <is>
          <t>否</t>
        </is>
      </c>
      <c r="W735" t="inlineStr">
        <is>
          <t>是</t>
        </is>
      </c>
      <c r="X735" t="inlineStr">
        <is>
          <t>历史导入:民族团结进步促进法舆情统计最终版_非支持原话全量汇总最终版.xlsx；证据状态:原始复核证据；记录类型:逐条直接证据；复核:网民陈述自己遇到的歧视事件；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36">
      <c r="A736" t="inlineStr">
        <is>
          <t>hist-fff8c7f3b98f0013</t>
        </is>
      </c>
      <c r="B736" s="82" t="n">
        <v>46252.9403587963</v>
      </c>
      <c r="D736" t="inlineStr">
        <is>
          <t>快手</t>
        </is>
      </c>
      <c r="E736" t="inlineStr">
        <is>
          <t>快手</t>
        </is>
      </c>
      <c r="F736" t="inlineStr">
        <is>
          <t>逐条直接证据</t>
        </is>
      </c>
      <c r="G736" t="inlineStr">
        <is>
          <t>放猪老人~迪日尔古</t>
        </is>
      </c>
      <c r="H736" t="inlineStr">
        <is>
          <t>真真假假 假假真真</t>
        </is>
      </c>
      <c r="I736" t="inlineStr">
        <is>
          <t>https://www.kuaishou.com/f/X61LgJZvnkrW15G</t>
        </is>
      </c>
      <c r="J736" t="inlineStr">
        <is>
          <t>四川/甘肃</t>
        </is>
      </c>
      <c r="L736" t="inlineStr">
        <is>
          <t>四川</t>
        </is>
      </c>
      <c r="O736" t="inlineStr">
        <is>
          <t>中文</t>
        </is>
      </c>
      <c r="P736" t="inlineStr">
        <is>
          <t>否</t>
        </is>
      </c>
      <c r="Q736" t="inlineStr">
        <is>
          <t>担忧影响</t>
        </is>
      </c>
      <c r="R736" t="inlineStr">
        <is>
          <t>就业前景；偏见持续；下一代发展</t>
        </is>
      </c>
      <c r="S736" t="n">
        <v>0</v>
      </c>
      <c r="T736" t="n">
        <v>0</v>
      </c>
      <c r="U736" t="n">
        <v>0</v>
      </c>
      <c r="V736" t="inlineStr">
        <is>
          <t>否</t>
        </is>
      </c>
      <c r="W736" t="inlineStr">
        <is>
          <t>是</t>
        </is>
      </c>
      <c r="X736"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37">
      <c r="A737" t="inlineStr">
        <is>
          <t>hist-789ae489249b6844</t>
        </is>
      </c>
      <c r="B737" s="82" t="n">
        <v>46252.9403587963</v>
      </c>
      <c r="D737" t="inlineStr">
        <is>
          <t>快手</t>
        </is>
      </c>
      <c r="E737" t="inlineStr">
        <is>
          <t>快手</t>
        </is>
      </c>
      <c r="F737" t="inlineStr">
        <is>
          <t>逐条直接证据</t>
        </is>
      </c>
      <c r="G737" t="inlineStr">
        <is>
          <t>放猪老人~迪日尔古</t>
        </is>
      </c>
      <c r="H737" t="inlineStr">
        <is>
          <t>算了，这样话不要出来讲了大企业都不要 你不信我带你去</t>
        </is>
      </c>
      <c r="I737" t="inlineStr">
        <is>
          <t>https://www.kuaishou.com/f/X61LgJZvnkrW15G</t>
        </is>
      </c>
      <c r="J737" t="inlineStr">
        <is>
          <t>四川/甘肃</t>
        </is>
      </c>
      <c r="L737" t="inlineStr">
        <is>
          <t>四川</t>
        </is>
      </c>
      <c r="O737" t="inlineStr">
        <is>
          <t>中文</t>
        </is>
      </c>
      <c r="P737" t="inlineStr">
        <is>
          <t>否</t>
        </is>
      </c>
      <c r="Q737" t="inlineStr">
        <is>
          <t>实施问题</t>
        </is>
      </c>
      <c r="R737" t="inlineStr">
        <is>
          <t>隐性拒录；企业规避；执法与举证困难</t>
        </is>
      </c>
      <c r="S737" t="n">
        <v>0</v>
      </c>
      <c r="T737" t="n">
        <v>0</v>
      </c>
      <c r="U737" t="n">
        <v>0</v>
      </c>
      <c r="V737" t="inlineStr">
        <is>
          <t>否</t>
        </is>
      </c>
      <c r="W737" t="inlineStr">
        <is>
          <t>是</t>
        </is>
      </c>
      <c r="X737"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38">
      <c r="A738" t="inlineStr">
        <is>
          <t>hist-6da5a5b4255ed79e</t>
        </is>
      </c>
      <c r="B738" s="82" t="n">
        <v>46252.9403587963</v>
      </c>
      <c r="D738" t="inlineStr">
        <is>
          <t>快手</t>
        </is>
      </c>
      <c r="E738" t="inlineStr">
        <is>
          <t>快手</t>
        </is>
      </c>
      <c r="F738" t="inlineStr">
        <is>
          <t>逐条直接证据</t>
        </is>
      </c>
      <c r="G738" t="inlineStr">
        <is>
          <t>放猪老人~迪日尔古</t>
        </is>
      </c>
      <c r="H738" t="inlineStr">
        <is>
          <t>自觉点吧！这些是没用的</t>
        </is>
      </c>
      <c r="I738" t="inlineStr">
        <is>
          <t>https://v.kuaishou.com/KbUsbF4n</t>
        </is>
      </c>
      <c r="J738" t="inlineStr">
        <is>
          <t>四川/甘肃</t>
        </is>
      </c>
      <c r="L738" t="inlineStr">
        <is>
          <t>四川</t>
        </is>
      </c>
      <c r="O738" t="inlineStr">
        <is>
          <t>中文</t>
        </is>
      </c>
      <c r="P738" t="inlineStr">
        <is>
          <t>否</t>
        </is>
      </c>
      <c r="Q738" t="inlineStr">
        <is>
          <t>批评</t>
        </is>
      </c>
      <c r="R738" t="inlineStr">
        <is>
          <t>权利保障与公平正义</t>
        </is>
      </c>
      <c r="S738" t="n">
        <v>0</v>
      </c>
      <c r="T738" t="n">
        <v>0</v>
      </c>
      <c r="U738" t="n">
        <v>0</v>
      </c>
      <c r="V738" t="inlineStr">
        <is>
          <t>否</t>
        </is>
      </c>
      <c r="W738" t="inlineStr">
        <is>
          <t>是</t>
        </is>
      </c>
      <c r="X738" t="inlineStr">
        <is>
          <t>历史导入:民族团结进步促进法舆情统计最终版_非支持原话全量汇总最终版.xlsx；证据状态:原始复核证据；记录类型:逐条直接证据；复核:网民批评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39">
      <c r="A739" t="inlineStr">
        <is>
          <t>hist-6d893aecbd1d3d4b</t>
        </is>
      </c>
      <c r="B739" s="82" t="n">
        <v>46252.9403587963</v>
      </c>
      <c r="D739" t="inlineStr">
        <is>
          <t>快手</t>
        </is>
      </c>
      <c r="E739" t="inlineStr">
        <is>
          <t>快手</t>
        </is>
      </c>
      <c r="F739" t="inlineStr">
        <is>
          <t>逐条直接证据</t>
        </is>
      </c>
      <c r="G739" t="inlineStr">
        <is>
          <t>放猪老人~迪日尔古</t>
        </is>
      </c>
      <c r="H739" t="inlineStr">
        <is>
          <t>说一大堆 成为一个饼</t>
        </is>
      </c>
      <c r="I739" t="inlineStr">
        <is>
          <t>https://www.kuaishou.com/f/X61LgJZvnkrW15G</t>
        </is>
      </c>
      <c r="J739" t="inlineStr">
        <is>
          <t>四川/甘肃</t>
        </is>
      </c>
      <c r="L739" t="inlineStr">
        <is>
          <t>四川</t>
        </is>
      </c>
      <c r="O739" t="inlineStr">
        <is>
          <t>中文</t>
        </is>
      </c>
      <c r="P739" t="inlineStr">
        <is>
          <t>否</t>
        </is>
      </c>
      <c r="Q739" t="inlineStr">
        <is>
          <t>明确批评</t>
        </is>
      </c>
      <c r="R739" t="inlineStr">
        <is>
          <t>执行效果质疑；纸面落实；政策可信度</t>
        </is>
      </c>
      <c r="S739" t="n">
        <v>0</v>
      </c>
      <c r="T739" t="n">
        <v>0</v>
      </c>
      <c r="U739" t="n">
        <v>0</v>
      </c>
      <c r="V739" t="inlineStr">
        <is>
          <t>否</t>
        </is>
      </c>
      <c r="W739" t="inlineStr">
        <is>
          <t>是</t>
        </is>
      </c>
      <c r="X739"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0">
      <c r="A740" t="inlineStr">
        <is>
          <t>hist-e94f9400977b0e83</t>
        </is>
      </c>
      <c r="B740" s="82" t="n">
        <v>46252.9403587963</v>
      </c>
      <c r="D740" t="inlineStr">
        <is>
          <t>快手</t>
        </is>
      </c>
      <c r="E740" t="inlineStr">
        <is>
          <t>快手</t>
        </is>
      </c>
      <c r="F740" t="inlineStr">
        <is>
          <t>逐条直接证据</t>
        </is>
      </c>
      <c r="G740" t="inlineStr">
        <is>
          <t>放猪老人~迪日尔古</t>
        </is>
      </c>
      <c r="H740" t="inlineStr">
        <is>
          <t>说不说一样</t>
        </is>
      </c>
      <c r="I740" t="inlineStr">
        <is>
          <t>https://www.kuaishou.com/f/X61LgJZvnkrW15G</t>
        </is>
      </c>
      <c r="J740" t="inlineStr">
        <is>
          <t>四川/甘肃</t>
        </is>
      </c>
      <c r="L740" t="inlineStr">
        <is>
          <t>四川</t>
        </is>
      </c>
      <c r="O740" t="inlineStr">
        <is>
          <t>中文</t>
        </is>
      </c>
      <c r="P740" t="inlineStr">
        <is>
          <t>否</t>
        </is>
      </c>
      <c r="Q740" t="inlineStr">
        <is>
          <t>明确批评</t>
        </is>
      </c>
      <c r="R740" t="inlineStr">
        <is>
          <t>执行效果质疑；纸面落实；政策可信度</t>
        </is>
      </c>
      <c r="S740" t="n">
        <v>0</v>
      </c>
      <c r="T740" t="n">
        <v>0</v>
      </c>
      <c r="U740" t="n">
        <v>0</v>
      </c>
      <c r="V740" t="inlineStr">
        <is>
          <t>否</t>
        </is>
      </c>
      <c r="W740" t="inlineStr">
        <is>
          <t>是</t>
        </is>
      </c>
      <c r="X74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1">
      <c r="A741" t="inlineStr">
        <is>
          <t>hist-1a0aca79e8521b32</t>
        </is>
      </c>
      <c r="B741" s="82" t="n">
        <v>46252.9403587963</v>
      </c>
      <c r="D741" t="inlineStr">
        <is>
          <t>快手</t>
        </is>
      </c>
      <c r="E741" t="inlineStr">
        <is>
          <t>快手</t>
        </is>
      </c>
      <c r="F741" t="inlineStr">
        <is>
          <t>逐条直接证据</t>
        </is>
      </c>
      <c r="G741" t="inlineStr">
        <is>
          <t>放猪老人~迪日尔古</t>
        </is>
      </c>
      <c r="H741" t="inlineStr">
        <is>
          <t>说的屁话</t>
        </is>
      </c>
      <c r="I741" t="inlineStr">
        <is>
          <t>https://www.kuaishou.com/f/X61LgJZvnkrW15G</t>
        </is>
      </c>
      <c r="J741" t="inlineStr">
        <is>
          <t>四川/甘肃</t>
        </is>
      </c>
      <c r="L741" t="inlineStr">
        <is>
          <t>四川</t>
        </is>
      </c>
      <c r="O741" t="inlineStr">
        <is>
          <t>中文</t>
        </is>
      </c>
      <c r="P741" t="inlineStr">
        <is>
          <t>否</t>
        </is>
      </c>
      <c r="Q741" t="inlineStr">
        <is>
          <t>明确批评</t>
        </is>
      </c>
      <c r="R741" t="inlineStr">
        <is>
          <t>执行效果质疑；纸面落实；政策可信度</t>
        </is>
      </c>
      <c r="S741" t="n">
        <v>0</v>
      </c>
      <c r="T741" t="n">
        <v>0</v>
      </c>
      <c r="U741" t="n">
        <v>0</v>
      </c>
      <c r="V741" t="inlineStr">
        <is>
          <t>否</t>
        </is>
      </c>
      <c r="W741" t="inlineStr">
        <is>
          <t>是</t>
        </is>
      </c>
      <c r="X74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2">
      <c r="A742" t="inlineStr">
        <is>
          <t>hist-b9b4c1267d5ae367</t>
        </is>
      </c>
      <c r="B742" s="82" t="n">
        <v>46252.9403587963</v>
      </c>
      <c r="D742" t="inlineStr">
        <is>
          <t>快手</t>
        </is>
      </c>
      <c r="E742" t="inlineStr">
        <is>
          <t>快手</t>
        </is>
      </c>
      <c r="F742" t="inlineStr">
        <is>
          <t>逐条直接证据</t>
        </is>
      </c>
      <c r="G742" t="inlineStr">
        <is>
          <t>放猪老人~迪日尔古</t>
        </is>
      </c>
      <c r="H742" t="inlineStr">
        <is>
          <t>这是中央文件还是四川省文件呢 是中央文件就好了</t>
        </is>
      </c>
      <c r="I742" t="inlineStr">
        <is>
          <t>https://www.kuaishou.com/f/X61LgJZvnkrW15G</t>
        </is>
      </c>
      <c r="J742" t="inlineStr">
        <is>
          <t>四川/甘肃</t>
        </is>
      </c>
      <c r="L742" t="inlineStr">
        <is>
          <t>四川</t>
        </is>
      </c>
      <c r="O742" t="inlineStr">
        <is>
          <t>中文</t>
        </is>
      </c>
      <c r="P742" t="inlineStr">
        <is>
          <t>否</t>
        </is>
      </c>
      <c r="Q742" t="inlineStr">
        <is>
          <t>咨询疑问</t>
        </is>
      </c>
      <c r="R742" t="inlineStr">
        <is>
          <t>政策层级；救济渠道；就业年龄</t>
        </is>
      </c>
      <c r="S742" t="n">
        <v>0</v>
      </c>
      <c r="T742" t="n">
        <v>0</v>
      </c>
      <c r="U742" t="n">
        <v>0</v>
      </c>
      <c r="V742" t="inlineStr">
        <is>
          <t>否</t>
        </is>
      </c>
      <c r="W742" t="inlineStr">
        <is>
          <t>是</t>
        </is>
      </c>
      <c r="X74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3">
      <c r="A743" t="inlineStr">
        <is>
          <t>hist-f1e193d88e55670a</t>
        </is>
      </c>
      <c r="B743" s="82" t="n">
        <v>46252.9403587963</v>
      </c>
      <c r="D743" t="inlineStr">
        <is>
          <t>快手</t>
        </is>
      </c>
      <c r="E743" t="inlineStr">
        <is>
          <t>快手</t>
        </is>
      </c>
      <c r="F743" t="inlineStr">
        <is>
          <t>逐条直接证据</t>
        </is>
      </c>
      <c r="G743" t="inlineStr">
        <is>
          <t>放猪老人~迪日尔古</t>
        </is>
      </c>
      <c r="H743" t="inlineStr">
        <is>
          <t>违法个屁，你还不知道外面现在好多厂不要四川彝族了</t>
        </is>
      </c>
      <c r="I743" t="inlineStr">
        <is>
          <t>https://www.kuaishou.com/f/X61LgJZvnkrW15G</t>
        </is>
      </c>
      <c r="J743" t="inlineStr">
        <is>
          <t>四川/甘肃</t>
        </is>
      </c>
      <c r="L743" t="inlineStr">
        <is>
          <t>四川</t>
        </is>
      </c>
      <c r="O743" t="inlineStr">
        <is>
          <t>中文</t>
        </is>
      </c>
      <c r="P743" t="inlineStr">
        <is>
          <t>否</t>
        </is>
      </c>
      <c r="Q743" t="inlineStr">
        <is>
          <t>明确批评</t>
        </is>
      </c>
      <c r="R743" t="inlineStr">
        <is>
          <t>执行效果质疑；纸面落实；政策可信度</t>
        </is>
      </c>
      <c r="S743" t="n">
        <v>0</v>
      </c>
      <c r="T743" t="n">
        <v>0</v>
      </c>
      <c r="U743" t="n">
        <v>0</v>
      </c>
      <c r="V743" t="inlineStr">
        <is>
          <t>否</t>
        </is>
      </c>
      <c r="W743" t="inlineStr">
        <is>
          <t>是</t>
        </is>
      </c>
      <c r="X743"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4">
      <c r="A744" t="inlineStr">
        <is>
          <t>hist-508eb11bd0061a9f</t>
        </is>
      </c>
      <c r="B744" s="82" t="n">
        <v>46252.9403587963</v>
      </c>
      <c r="D744" t="inlineStr">
        <is>
          <t>快手</t>
        </is>
      </c>
      <c r="E744" t="inlineStr">
        <is>
          <t>快手</t>
        </is>
      </c>
      <c r="F744" t="inlineStr">
        <is>
          <t>逐条直接证据</t>
        </is>
      </c>
      <c r="G744" t="inlineStr">
        <is>
          <t>放猪老人~迪日尔古</t>
        </is>
      </c>
      <c r="H744" t="inlineStr">
        <is>
          <t>违法你又能拿他们有什么办法?</t>
        </is>
      </c>
      <c r="I744" t="inlineStr">
        <is>
          <t>https://v.kuaishou.com/KbUsbF4n</t>
        </is>
      </c>
      <c r="J744" t="inlineStr">
        <is>
          <t>四川/甘肃</t>
        </is>
      </c>
      <c r="L744" t="inlineStr">
        <is>
          <t>四川</t>
        </is>
      </c>
      <c r="O744" t="inlineStr">
        <is>
          <t>中文</t>
        </is>
      </c>
      <c r="P744" t="inlineStr">
        <is>
          <t>否</t>
        </is>
      </c>
      <c r="Q744" t="inlineStr">
        <is>
          <t>质疑</t>
        </is>
      </c>
      <c r="R744" t="inlineStr">
        <is>
          <t>权利保障与公平正义</t>
        </is>
      </c>
      <c r="S744" t="n">
        <v>0</v>
      </c>
      <c r="T744" t="n">
        <v>0</v>
      </c>
      <c r="U744" t="n">
        <v>0</v>
      </c>
      <c r="V744" t="inlineStr">
        <is>
          <t>否</t>
        </is>
      </c>
      <c r="W744" t="inlineStr">
        <is>
          <t>是</t>
        </is>
      </c>
      <c r="X744"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45">
      <c r="A745" t="inlineStr">
        <is>
          <t>hist-2a14d5d3c16f5e7a</t>
        </is>
      </c>
      <c r="B745" s="82" t="n">
        <v>46252.9403587963</v>
      </c>
      <c r="D745" t="inlineStr">
        <is>
          <t>快手</t>
        </is>
      </c>
      <c r="E745" t="inlineStr">
        <is>
          <t>快手</t>
        </is>
      </c>
      <c r="F745" t="inlineStr">
        <is>
          <t>逐条直接证据</t>
        </is>
      </c>
      <c r="G745" t="inlineStr">
        <is>
          <t>放猪老人~迪日尔古</t>
        </is>
      </c>
      <c r="H745" t="inlineStr">
        <is>
          <t>那55岁以上不要的是怎么办呀？</t>
        </is>
      </c>
      <c r="I745" t="inlineStr">
        <is>
          <t>https://www.kuaishou.com/f/X61LgJZvnkrW15G</t>
        </is>
      </c>
      <c r="J745" t="inlineStr">
        <is>
          <t>四川/甘肃</t>
        </is>
      </c>
      <c r="L745" t="inlineStr">
        <is>
          <t>四川</t>
        </is>
      </c>
      <c r="O745" t="inlineStr">
        <is>
          <t>中文</t>
        </is>
      </c>
      <c r="P745" t="inlineStr">
        <is>
          <t>否</t>
        </is>
      </c>
      <c r="Q745" t="inlineStr">
        <is>
          <t>咨询疑问</t>
        </is>
      </c>
      <c r="R745" t="inlineStr">
        <is>
          <t>政策层级；救济渠道；就业年龄</t>
        </is>
      </c>
      <c r="S745" t="n">
        <v>0</v>
      </c>
      <c r="T745" t="n">
        <v>0</v>
      </c>
      <c r="U745" t="n">
        <v>0</v>
      </c>
      <c r="V745" t="inlineStr">
        <is>
          <t>否</t>
        </is>
      </c>
      <c r="W745" t="inlineStr">
        <is>
          <t>是</t>
        </is>
      </c>
      <c r="X745"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6">
      <c r="A746" t="inlineStr">
        <is>
          <t>hist-97acdd0a9078f000</t>
        </is>
      </c>
      <c r="B746" s="82" t="n">
        <v>46252.9403587963</v>
      </c>
      <c r="D746" t="inlineStr">
        <is>
          <t>快手</t>
        </is>
      </c>
      <c r="E746" t="inlineStr">
        <is>
          <t>快手</t>
        </is>
      </c>
      <c r="F746" t="inlineStr">
        <is>
          <t>逐条直接证据</t>
        </is>
      </c>
      <c r="G746" t="inlineStr">
        <is>
          <t>放猪老人~迪日尔古</t>
        </is>
      </c>
      <c r="H746" t="inlineStr">
        <is>
          <t>那也没多大用</t>
        </is>
      </c>
      <c r="I746" t="inlineStr">
        <is>
          <t>https://www.kuaishou.com/f/X61LgJZvnkrW15G</t>
        </is>
      </c>
      <c r="J746" t="inlineStr">
        <is>
          <t>四川/甘肃</t>
        </is>
      </c>
      <c r="L746" t="inlineStr">
        <is>
          <t>四川</t>
        </is>
      </c>
      <c r="O746" t="inlineStr">
        <is>
          <t>中文</t>
        </is>
      </c>
      <c r="P746" t="inlineStr">
        <is>
          <t>否</t>
        </is>
      </c>
      <c r="Q746" t="inlineStr">
        <is>
          <t>明确批评</t>
        </is>
      </c>
      <c r="R746" t="inlineStr">
        <is>
          <t>执行效果质疑；纸面落实；政策可信度</t>
        </is>
      </c>
      <c r="S746" t="n">
        <v>0</v>
      </c>
      <c r="T746" t="n">
        <v>0</v>
      </c>
      <c r="U746" t="n">
        <v>0</v>
      </c>
      <c r="V746" t="inlineStr">
        <is>
          <t>否</t>
        </is>
      </c>
      <c r="W746" t="inlineStr">
        <is>
          <t>是</t>
        </is>
      </c>
      <c r="X746"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7">
      <c r="A747" t="inlineStr">
        <is>
          <t>hist-7ae14d4072dc93d9</t>
        </is>
      </c>
      <c r="B747" s="82" t="n">
        <v>46252.9403587963</v>
      </c>
      <c r="D747" t="inlineStr">
        <is>
          <t>快手</t>
        </is>
      </c>
      <c r="E747" t="inlineStr">
        <is>
          <t>快手</t>
        </is>
      </c>
      <c r="F747" t="inlineStr">
        <is>
          <t>逐条直接证据</t>
        </is>
      </c>
      <c r="G747" t="inlineStr">
        <is>
          <t>放猪老人~迪日尔古</t>
        </is>
      </c>
      <c r="H747" t="inlineStr">
        <is>
          <t>那也没有办法去面试的时候一说是四川的，直接给你找各种理由了不是说人满了就是招满了</t>
        </is>
      </c>
      <c r="I747" t="inlineStr">
        <is>
          <t>https://v.kuaishou.com/KbUsbF4n</t>
        </is>
      </c>
      <c r="J747" t="inlineStr">
        <is>
          <t>四川/甘肃</t>
        </is>
      </c>
      <c r="L747" t="inlineStr">
        <is>
          <t>四川</t>
        </is>
      </c>
      <c r="O747" t="inlineStr">
        <is>
          <t>中文</t>
        </is>
      </c>
      <c r="P747" t="inlineStr">
        <is>
          <t>否</t>
        </is>
      </c>
      <c r="Q747" t="inlineStr">
        <is>
          <t>质疑</t>
        </is>
      </c>
      <c r="R747" t="inlineStr">
        <is>
          <t>权利保障与公平正义</t>
        </is>
      </c>
      <c r="S747" t="n">
        <v>0</v>
      </c>
      <c r="T747" t="n">
        <v>0</v>
      </c>
      <c r="U747" t="n">
        <v>0</v>
      </c>
      <c r="V747" t="inlineStr">
        <is>
          <t>否</t>
        </is>
      </c>
      <c r="W747" t="inlineStr">
        <is>
          <t>是</t>
        </is>
      </c>
      <c r="X747"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48">
      <c r="A748" t="inlineStr">
        <is>
          <t>hist-b4775570666447f0</t>
        </is>
      </c>
      <c r="B748" s="82" t="n">
        <v>46252.9403587963</v>
      </c>
      <c r="D748" t="inlineStr">
        <is>
          <t>快手</t>
        </is>
      </c>
      <c r="E748" t="inlineStr">
        <is>
          <t>快手</t>
        </is>
      </c>
      <c r="F748" t="inlineStr">
        <is>
          <t>逐条直接证据</t>
        </is>
      </c>
      <c r="G748" t="inlineStr">
        <is>
          <t>放猪老人~迪日尔古</t>
        </is>
      </c>
      <c r="H748" t="inlineStr">
        <is>
          <t>那是不可能的 四川电力公司都不要</t>
        </is>
      </c>
      <c r="I748" t="inlineStr">
        <is>
          <t>https://v.kuaishou.com/KbUsbF4n</t>
        </is>
      </c>
      <c r="J748" t="inlineStr">
        <is>
          <t>四川/甘肃</t>
        </is>
      </c>
      <c r="L748" t="inlineStr">
        <is>
          <t>四川</t>
        </is>
      </c>
      <c r="O748" t="inlineStr">
        <is>
          <t>中文</t>
        </is>
      </c>
      <c r="P748" t="inlineStr">
        <is>
          <t>否</t>
        </is>
      </c>
      <c r="Q748" t="inlineStr">
        <is>
          <t>质疑</t>
        </is>
      </c>
      <c r="R748" t="inlineStr">
        <is>
          <t>权利保障与公平正义</t>
        </is>
      </c>
      <c r="S748" t="n">
        <v>0</v>
      </c>
      <c r="T748" t="n">
        <v>0</v>
      </c>
      <c r="U748" t="n">
        <v>0</v>
      </c>
      <c r="V748" t="inlineStr">
        <is>
          <t>否</t>
        </is>
      </c>
      <c r="W748" t="inlineStr">
        <is>
          <t>是</t>
        </is>
      </c>
      <c r="X748" t="inlineStr">
        <is>
          <t>历史导入:民族团结进步促进法舆情统计最终版_非支持原话全量汇总最终版.xlsx；证据状态:原始复核证据；记录类型:逐条直接证据；复核:网民明确指出“不可能”，体现质 疑态度；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49">
      <c r="A749" t="inlineStr">
        <is>
          <t>hist-cc9c4e43c5bd9903</t>
        </is>
      </c>
      <c r="B749" s="82" t="n">
        <v>46252.9403587963</v>
      </c>
      <c r="D749" t="inlineStr">
        <is>
          <t>快手</t>
        </is>
      </c>
      <c r="E749" t="inlineStr">
        <is>
          <t>快手</t>
        </is>
      </c>
      <c r="F749" t="inlineStr">
        <is>
          <t>逐条直接证据</t>
        </is>
      </c>
      <c r="G749" t="inlineStr">
        <is>
          <t>放猪老人~迪日尔古</t>
        </is>
      </c>
      <c r="H749" t="inlineStr">
        <is>
          <t>那老人认识字吗会说普通话吗？你说个屁</t>
        </is>
      </c>
      <c r="I749" t="inlineStr">
        <is>
          <t>https://www.kuaishou.com/f/X61LgJZvnkrW15G</t>
        </is>
      </c>
      <c r="J749" t="inlineStr">
        <is>
          <t>四川/甘肃</t>
        </is>
      </c>
      <c r="L749" t="inlineStr">
        <is>
          <t>四川</t>
        </is>
      </c>
      <c r="O749" t="inlineStr">
        <is>
          <t>中文</t>
        </is>
      </c>
      <c r="P749" t="inlineStr">
        <is>
          <t>否</t>
        </is>
      </c>
      <c r="Q749" t="inlineStr">
        <is>
          <t>公平争议</t>
        </is>
      </c>
      <c r="R749" t="inlineStr">
        <is>
          <t>就业公平；刻板印象；群体内部反思</t>
        </is>
      </c>
      <c r="S749" t="n">
        <v>0</v>
      </c>
      <c r="T749" t="n">
        <v>0</v>
      </c>
      <c r="U749" t="n">
        <v>0</v>
      </c>
      <c r="V749" t="inlineStr">
        <is>
          <t>否</t>
        </is>
      </c>
      <c r="W749" t="inlineStr">
        <is>
          <t>是</t>
        </is>
      </c>
      <c r="X749"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50">
      <c r="A750" t="inlineStr">
        <is>
          <t>hist-eb1db990bce74393</t>
        </is>
      </c>
      <c r="B750" s="82" t="n">
        <v>46252.9403587963</v>
      </c>
      <c r="D750" t="inlineStr">
        <is>
          <t>快手</t>
        </is>
      </c>
      <c r="E750" t="inlineStr">
        <is>
          <t>快手</t>
        </is>
      </c>
      <c r="F750" t="inlineStr">
        <is>
          <t>逐条直接证据</t>
        </is>
      </c>
      <c r="G750" t="inlineStr">
        <is>
          <t>临夏.马文华</t>
        </is>
      </c>
      <c r="H750" t="inlineStr">
        <is>
          <t>胡扯淡</t>
        </is>
      </c>
      <c r="I750" t="inlineStr">
        <is>
          <t>https://v.kuaishou.com/Ksxz5S91</t>
        </is>
      </c>
      <c r="J750" t="inlineStr">
        <is>
          <t>甘肃</t>
        </is>
      </c>
      <c r="L750" t="inlineStr">
        <is>
          <t>甘肃</t>
        </is>
      </c>
      <c r="O750" t="inlineStr">
        <is>
          <t>中文</t>
        </is>
      </c>
      <c r="P750" t="inlineStr">
        <is>
          <t>否</t>
        </is>
      </c>
      <c r="Q750" t="inlineStr">
        <is>
          <t>明确批评</t>
        </is>
      </c>
      <c r="R750" t="inlineStr">
        <is>
          <t>低信息量负面评价</t>
        </is>
      </c>
      <c r="S750" t="n">
        <v>0</v>
      </c>
      <c r="T750" t="n">
        <v>0</v>
      </c>
      <c r="U750" t="n">
        <v>0</v>
      </c>
      <c r="V750" t="inlineStr">
        <is>
          <t>否</t>
        </is>
      </c>
      <c r="W750" t="inlineStr">
        <is>
          <t>是</t>
        </is>
      </c>
      <c r="X750" t="inlineStr">
        <is>
          <t>历史导入:民族团结进步促进法舆情统计最终版_非支持原话全量汇总最终版.xlsx；证据状态:原始复核证据；记录类型:逐条直接证据；复核:原话、母帖截图、评论日期及公开地区均可见；复核后维持“明确批评”分类。母帖主要内容为本法解读，该评论为直接负面评价。；来源:562e200c-ed5b-4cc5-b965-7d32697488ff.xlsx；民族团结进步促进法舆情统计_含非支持来源与原话_最终完整核查版.xlsx/非支持态度复核；非支持来源与原话；重复来源数:2</t>
        </is>
      </c>
    </row>
    <row r="751">
      <c r="A751" t="inlineStr">
        <is>
          <t>hist-91383b49b5ee2130</t>
        </is>
      </c>
      <c r="B751" s="82" t="n">
        <v>46252.9403587963</v>
      </c>
      <c r="D751" t="inlineStr">
        <is>
          <t>快手</t>
        </is>
      </c>
      <c r="E751" t="inlineStr">
        <is>
          <t>快手</t>
        </is>
      </c>
      <c r="F751" t="inlineStr">
        <is>
          <t>逐条直接证据</t>
        </is>
      </c>
      <c r="G751" t="inlineStr">
        <is>
          <t>临夏.马文华</t>
        </is>
      </c>
      <c r="H751" t="inlineStr">
        <is>
          <t>讨论这些问题干嘛</t>
        </is>
      </c>
      <c r="I751" t="inlineStr">
        <is>
          <t>https://v.kuaishou.com/Ksxz5S91</t>
        </is>
      </c>
      <c r="J751" t="inlineStr">
        <is>
          <t>甘肃</t>
        </is>
      </c>
      <c r="L751" t="inlineStr">
        <is>
          <t>甘肃</t>
        </is>
      </c>
      <c r="O751" t="inlineStr">
        <is>
          <t>中文</t>
        </is>
      </c>
      <c r="P751" t="inlineStr">
        <is>
          <t>否</t>
        </is>
      </c>
      <c r="Q751" t="inlineStr">
        <is>
          <t>明确批评</t>
        </is>
      </c>
      <c r="R751" t="inlineStr">
        <is>
          <t>讨论必要性质疑；法律宣传</t>
        </is>
      </c>
      <c r="S751" t="n">
        <v>0</v>
      </c>
      <c r="T751" t="n">
        <v>0</v>
      </c>
      <c r="U751" t="n">
        <v>0</v>
      </c>
      <c r="V751" t="inlineStr">
        <is>
          <t>否</t>
        </is>
      </c>
      <c r="W751" t="inlineStr">
        <is>
          <t>是</t>
        </is>
      </c>
      <c r="X751" t="inlineStr">
        <is>
          <t>历史导入:民族团结进步促进法舆情统计最终版_非支持原话全量汇总最终版.xlsx；证据状态:原始复核证据；记录类型:逐条直接证据；复核:原话、母帖截图、评论日期及公开地区均可见；复核后维持“明确批评”分类。对母帖讨论本法议题本身提出直接负面质疑。；来源:562e200c-ed5b-4cc5-b965-7d32697488ff.xlsx；民族团结进步促进法舆情统计_含非支持来源与原话_最终完整核查版.xlsx/非支持态度复核；非支持来源与原话；重复来源数:2</t>
        </is>
      </c>
    </row>
    <row r="752">
      <c r="A752" t="inlineStr">
        <is>
          <t>hist-cc335573c4ae6d2a</t>
        </is>
      </c>
      <c r="B752" s="82" t="n">
        <v>46252.9403587963</v>
      </c>
      <c r="D752" t="inlineStr">
        <is>
          <t>快手</t>
        </is>
      </c>
      <c r="E752" t="inlineStr">
        <is>
          <t>快手</t>
        </is>
      </c>
      <c r="F752" t="inlineStr">
        <is>
          <t>逐条直接证据</t>
        </is>
      </c>
      <c r="G752" t="inlineStr">
        <is>
          <t>临夏.马文华</t>
        </is>
      </c>
      <c r="H752" t="inlineStr">
        <is>
          <t>这是针对你的法律</t>
        </is>
      </c>
      <c r="I752" t="inlineStr">
        <is>
          <t>https://v.kuaishou.com/Ksxz5S91</t>
        </is>
      </c>
      <c r="J752" t="inlineStr">
        <is>
          <t>甘肃</t>
        </is>
      </c>
      <c r="L752" t="inlineStr">
        <is>
          <t>甘肃</t>
        </is>
      </c>
      <c r="O752" t="inlineStr">
        <is>
          <t>中文</t>
        </is>
      </c>
      <c r="P752" t="inlineStr">
        <is>
          <t>否</t>
        </is>
      </c>
      <c r="Q752" t="inlineStr">
        <is>
          <t>明确批评</t>
        </is>
      </c>
      <c r="R752" t="inlineStr">
        <is>
          <t>人身针对；负面评价</t>
        </is>
      </c>
      <c r="S752" t="n">
        <v>0</v>
      </c>
      <c r="T752" t="n">
        <v>0</v>
      </c>
      <c r="U752" t="n">
        <v>0</v>
      </c>
      <c r="V752" t="inlineStr">
        <is>
          <t>否</t>
        </is>
      </c>
      <c r="W752" t="inlineStr">
        <is>
          <t>是</t>
        </is>
      </c>
      <c r="X752" t="inlineStr">
        <is>
          <t>历史导入:民族团结进步促进法舆情统计最终版_非支持原话全量汇总最终版.xlsx；证据状态:原始复核证据；记录类型:逐条直接证据；复核:原话、母帖截图、评论日期及公开地区均可见；复核后维持“明确批评”分类。将法律指向作者个人，属于直接负面/讽刺性评论。；来源:562e200c-ed5b-4cc5-b965-7d32697488ff.xlsx；民族团结进步促进法舆情统计_含非支持来源与原话_最终完整核查版.xlsx/非支持态度复核；非支持来源与原话；重复来源数:2</t>
        </is>
      </c>
    </row>
    <row r="753">
      <c r="A753" t="inlineStr">
        <is>
          <t>hist-71b8d1b764316557</t>
        </is>
      </c>
      <c r="B753" s="82" t="n">
        <v>46252.9403587963</v>
      </c>
      <c r="D753" t="inlineStr">
        <is>
          <t>快手</t>
        </is>
      </c>
      <c r="E753" t="inlineStr">
        <is>
          <t>快手</t>
        </is>
      </c>
      <c r="F753" t="inlineStr">
        <is>
          <t>逐条直接证据</t>
        </is>
      </c>
      <c r="G753" t="inlineStr">
        <is>
          <t>果酒微甜</t>
        </is>
      </c>
      <c r="H753" t="inlineStr">
        <is>
          <t>无聊</t>
        </is>
      </c>
      <c r="I753" t="inlineStr">
        <is>
          <t>https://v.kuaishou.com/JGjD1bGL</t>
        </is>
      </c>
      <c r="J753" t="inlineStr">
        <is>
          <t>甘肃</t>
        </is>
      </c>
      <c r="L753" t="inlineStr">
        <is>
          <t>甘肃</t>
        </is>
      </c>
      <c r="O753" t="inlineStr">
        <is>
          <t>中文</t>
        </is>
      </c>
      <c r="P753" t="inlineStr">
        <is>
          <t>否</t>
        </is>
      </c>
      <c r="Q753" t="inlineStr">
        <is>
          <t>明确批评</t>
        </is>
      </c>
      <c r="R753" t="inlineStr">
        <is>
          <t>低信息量负面评价</t>
        </is>
      </c>
      <c r="S753" t="n">
        <v>0</v>
      </c>
      <c r="T753" t="n">
        <v>0</v>
      </c>
      <c r="U753" t="n">
        <v>0</v>
      </c>
      <c r="V753" t="inlineStr">
        <is>
          <t>否</t>
        </is>
      </c>
      <c r="W753" t="inlineStr">
        <is>
          <t>是</t>
        </is>
      </c>
      <c r="X753" t="inlineStr">
        <is>
          <t>历史导入:民族团结进步促进法舆情统计最终版_非支持原话全量汇总最终版.xlsx；证据状态:原始复核证据；记录类型:逐条直接证据；复核:原话、母帖截图、评论日期及公开地区均可见；复核后维持“明确批评”分类。母帖内容单一围绕本法，该评论为直接负面评价，按低信息量明确批评计入。；来源:562e200c-ed5b-4cc5-b965-7d32697488ff.xlsx；民族团结进步促进法舆情统计_含非支持来源与原话_最终完整核查版.xlsx/非支持态度复核；非支持来源与原话；重复来源数:2</t>
        </is>
      </c>
    </row>
    <row r="754">
      <c r="A754" t="inlineStr">
        <is>
          <t>hist-7d32095e274848ec</t>
        </is>
      </c>
      <c r="B754" s="82" t="n">
        <v>46252.9403587963</v>
      </c>
      <c r="D754" t="inlineStr">
        <is>
          <t>快手</t>
        </is>
      </c>
      <c r="E754" t="inlineStr">
        <is>
          <t>快手</t>
        </is>
      </c>
      <c r="F754" t="inlineStr">
        <is>
          <t>逐条直接证据</t>
        </is>
      </c>
      <c r="G754" t="inlineStr">
        <is>
          <t>果酒微甜</t>
        </is>
      </c>
      <c r="H754" t="inlineStr">
        <is>
          <t>民族不等于≠宗教！！！</t>
        </is>
      </c>
      <c r="I754" t="inlineStr">
        <is>
          <t>https://v.kuaishou.com/JGjD1bGL</t>
        </is>
      </c>
      <c r="J754" t="inlineStr">
        <is>
          <t>甘肃</t>
        </is>
      </c>
      <c r="L754" t="inlineStr">
        <is>
          <t>甘肃</t>
        </is>
      </c>
      <c r="O754" t="inlineStr">
        <is>
          <t>中文</t>
        </is>
      </c>
      <c r="P754" t="inlineStr">
        <is>
          <t>否</t>
        </is>
      </c>
      <c r="Q754" t="inlineStr">
        <is>
          <t>公平争议</t>
        </is>
      </c>
      <c r="R754" t="inlineStr">
        <is>
          <t>民族与宗教概念边界；法律解释</t>
        </is>
      </c>
      <c r="S754" t="n">
        <v>0</v>
      </c>
      <c r="T754" t="n">
        <v>0</v>
      </c>
      <c r="U754" t="n">
        <v>0</v>
      </c>
      <c r="V754" t="inlineStr">
        <is>
          <t>否</t>
        </is>
      </c>
      <c r="W754" t="inlineStr">
        <is>
          <t>是</t>
        </is>
      </c>
      <c r="X754" t="inlineStr">
        <is>
          <t>历史导入:民族团结进步促进法舆情统计最终版_非支持原话全量汇总最终版.xlsx；证据状态:原始复核证据；记录类型:逐条直接证据；复核:原话、母帖截图、评论日期及公开地区均可见；复核后维持“公平争议”分类。对母帖将民族议题与宗教议题混合表达提出概念边界质疑。；来源:562e200c-ed5b-4cc5-b965-7d32697488ff.xlsx；民族团结进步促进法舆情统计_含非支持来源与原话_最终完整核查版.xlsx/非支持态度复核；非支持来源与原话；重复来源数:2</t>
        </is>
      </c>
    </row>
    <row r="755">
      <c r="A755" t="inlineStr">
        <is>
          <t>hist-74362aa4626f4298</t>
        </is>
      </c>
      <c r="B755" s="82" t="n">
        <v>46252.9403587963</v>
      </c>
      <c r="D755" t="inlineStr">
        <is>
          <t>快手</t>
        </is>
      </c>
      <c r="E755" t="inlineStr">
        <is>
          <t>快手</t>
        </is>
      </c>
      <c r="F755" t="inlineStr">
        <is>
          <t>逐条直接证据</t>
        </is>
      </c>
      <c r="G755" t="inlineStr">
        <is>
          <t>果酒微甜</t>
        </is>
      </c>
      <c r="H755" t="inlineStr">
        <is>
          <t>诋毁他人信仰、公然歧视他人饮食习惯和禁忌算不算极端？！</t>
        </is>
      </c>
      <c r="I755" t="inlineStr">
        <is>
          <t>https://v.kuaishou.com/JGjD1bGL</t>
        </is>
      </c>
      <c r="J755" t="inlineStr">
        <is>
          <t>甘肃</t>
        </is>
      </c>
      <c r="L755" t="inlineStr">
        <is>
          <t>甘肃</t>
        </is>
      </c>
      <c r="O755" t="inlineStr">
        <is>
          <t>中文</t>
        </is>
      </c>
      <c r="P755" t="inlineStr">
        <is>
          <t>否</t>
        </is>
      </c>
      <c r="Q755" t="inlineStr">
        <is>
          <t>公平争议</t>
        </is>
      </c>
      <c r="R755" t="inlineStr">
        <is>
          <t>宗教信仰；饮食习惯；歧视争议</t>
        </is>
      </c>
      <c r="S755" t="n">
        <v>0</v>
      </c>
      <c r="T755" t="n">
        <v>0</v>
      </c>
      <c r="U755" t="n">
        <v>0</v>
      </c>
      <c r="V755" t="inlineStr">
        <is>
          <t>否</t>
        </is>
      </c>
      <c r="W755" t="inlineStr">
        <is>
          <t>是</t>
        </is>
      </c>
      <c r="X755" t="inlineStr">
        <is>
          <t>历史导入:民族团结进步促进法舆情统计最终版_非支持原话全量汇总最终版.xlsx；证据状态:原始复核证据；记录类型:逐条直接证据；复核:原话、母帖截图、评论日期及公开地区均可见；复核后维持“公平争议”分类。对母帖关于宗教、饮食与极端化的表述提出公平性追问，直接相关。；来源:562e200c-ed5b-4cc5-b965-7d32697488ff.xlsx；民族团结进步促进法舆情统计_含非支持来源与原话_最终完整核查版.xlsx/非支持态度复核；非支持来源与原话；重复来源数:2</t>
        </is>
      </c>
    </row>
    <row r="756">
      <c r="A756" t="inlineStr">
        <is>
          <t>hist-a8171e566e6ad574</t>
        </is>
      </c>
      <c r="B756" s="82" t="n">
        <v>46252.9403587963</v>
      </c>
      <c r="D756" t="inlineStr">
        <is>
          <t>快手</t>
        </is>
      </c>
      <c r="E756" t="inlineStr">
        <is>
          <t>快手</t>
        </is>
      </c>
      <c r="F756" t="inlineStr">
        <is>
          <t>逐条直接证据</t>
        </is>
      </c>
      <c r="G756" t="inlineStr">
        <is>
          <t>果酒微甜</t>
        </is>
      </c>
      <c r="H756" t="inlineStr">
        <is>
          <t>诋毁他人信仰包括无神论，我信仰共产主义马列思想，但我不信什么上帝呀，真主呀，这些乱七八糟的神，看又看不见摸又摸不着的东西。这点你不会诋毁我吧！再就是吃饭，你有你……（截图后文折叠）</t>
        </is>
      </c>
      <c r="I756" t="inlineStr">
        <is>
          <t>https://v.kuaishou.com/JGjD1bGL</t>
        </is>
      </c>
      <c r="J756" t="inlineStr">
        <is>
          <t>甘肃</t>
        </is>
      </c>
      <c r="L756" t="inlineStr">
        <is>
          <t>甘肃</t>
        </is>
      </c>
      <c r="O756" t="inlineStr">
        <is>
          <t>中文</t>
        </is>
      </c>
      <c r="P756" t="inlineStr">
        <is>
          <t>否</t>
        </is>
      </c>
      <c r="Q756" t="inlineStr">
        <is>
          <t>公平争议</t>
        </is>
      </c>
      <c r="R756" t="inlineStr">
        <is>
          <t>宗教信仰；无神论；平等尊重</t>
        </is>
      </c>
      <c r="S756" t="n">
        <v>0</v>
      </c>
      <c r="T756" t="n">
        <v>0</v>
      </c>
      <c r="U756" t="n">
        <v>0</v>
      </c>
      <c r="V756" t="inlineStr">
        <is>
          <t>否</t>
        </is>
      </c>
      <c r="W756" t="inlineStr">
        <is>
          <t>是</t>
        </is>
      </c>
      <c r="X756" t="inlineStr">
        <is>
          <t>历史导入:民族团结进步促进法舆情统计最终版_非支持原话全量汇总最终版.xlsx；证据状态:原始复核证据；记录类型:逐条直接证据；复核:原话、母帖截图、评论日期及公开地区均可见；复核后维持“公平争议”分类。围绕不同信仰/无神论是否应被平等尊重展开，直接相关；仅记录截图可见文字。；来源:562e200c-ed5b-4cc5-b965-7d32697488ff.xlsx；民族团结进步促进法舆情统计_含非支持来源与原话_最终完整核查版.xlsx/非支持态度复核；非支持来源与原话；重复来源数:2</t>
        </is>
      </c>
    </row>
    <row r="757">
      <c r="A757" t="inlineStr">
        <is>
          <t>hist-9d55682e84fd9cc4</t>
        </is>
      </c>
      <c r="B757" s="82" t="n">
        <v>46252.9403587963</v>
      </c>
      <c r="D757" t="inlineStr">
        <is>
          <t>快手</t>
        </is>
      </c>
      <c r="E757" t="inlineStr">
        <is>
          <t>快手</t>
        </is>
      </c>
      <c r="F757" t="inlineStr">
        <is>
          <t>逐条直接证据</t>
        </is>
      </c>
      <c r="G757" t="inlineStr">
        <is>
          <t>果酒微甜</t>
        </is>
      </c>
      <c r="H757" t="inlineStr">
        <is>
          <t>这只是你个人观点吧？😂</t>
        </is>
      </c>
      <c r="I757" t="inlineStr">
        <is>
          <t>https://v.kuaishou.com/JGjD1bGL</t>
        </is>
      </c>
      <c r="J757" t="inlineStr">
        <is>
          <t>甘肃</t>
        </is>
      </c>
      <c r="L757" t="inlineStr">
        <is>
          <t>甘肃</t>
        </is>
      </c>
      <c r="O757" t="inlineStr">
        <is>
          <t>中文</t>
        </is>
      </c>
      <c r="P757" t="inlineStr">
        <is>
          <t>否</t>
        </is>
      </c>
      <c r="Q757" t="inlineStr">
        <is>
          <t>明确批评</t>
        </is>
      </c>
      <c r="R757" t="inlineStr">
        <is>
          <t>个人解读质疑；法律解释</t>
        </is>
      </c>
      <c r="S757" t="n">
        <v>0</v>
      </c>
      <c r="T757" t="n">
        <v>0</v>
      </c>
      <c r="U757" t="n">
        <v>0</v>
      </c>
      <c r="V757" t="inlineStr">
        <is>
          <t>否</t>
        </is>
      </c>
      <c r="W757" t="inlineStr">
        <is>
          <t>是</t>
        </is>
      </c>
      <c r="X757" t="inlineStr">
        <is>
          <t>历史导入:民族团结进步促进法舆情统计最终版_非支持原话全量汇总最终版.xlsx；证据状态:原始复核证据；记录类型:逐条直接证据；复核:原话、母帖截图、评论日期及公开地区均可见；复核后维持“明确批评”分类。直接质疑母帖将个人观点作为法律解释的做法。；来源:562e200c-ed5b-4cc5-b965-7d32697488ff.xlsx；民族团结进步促进法舆情统计_含非支持来源与原话_最终完整核查版.xlsx/非支持态度复核；非支持来源与原话；重复来源数:2</t>
        </is>
      </c>
    </row>
    <row r="758">
      <c r="A758" t="inlineStr">
        <is>
          <t>hist-d14ae3a51f8c2b54</t>
        </is>
      </c>
      <c r="B758" s="82" t="n">
        <v>46252.9403587963</v>
      </c>
      <c r="D758" t="inlineStr">
        <is>
          <t>快手</t>
        </is>
      </c>
      <c r="E758" t="inlineStr">
        <is>
          <t>快手</t>
        </is>
      </c>
      <c r="F758" t="inlineStr">
        <is>
          <t>逐条直接证据</t>
        </is>
      </c>
      <c r="G758" t="inlineStr">
        <is>
          <t>胡子哥</t>
        </is>
      </c>
      <c r="H758" t="inlineStr">
        <is>
          <t>[图片文字可见：这是回民馆子／不允许汉民们在这边摆摊]</t>
        </is>
      </c>
      <c r="I758" t="inlineStr">
        <is>
          <t>https://v.kuaishou.com/KnkLfjuc</t>
        </is>
      </c>
      <c r="J758" t="inlineStr">
        <is>
          <t>甘肃</t>
        </is>
      </c>
      <c r="L758" t="inlineStr">
        <is>
          <t>甘肃</t>
        </is>
      </c>
      <c r="O758" t="inlineStr">
        <is>
          <t>中文</t>
        </is>
      </c>
      <c r="P758" t="inlineStr">
        <is>
          <t>否</t>
        </is>
      </c>
      <c r="Q758" t="inlineStr">
        <is>
          <t>公平争议</t>
        </is>
      </c>
      <c r="R758" t="inlineStr">
        <is>
          <t>公共服务/经营公平；民族差别待遇</t>
        </is>
      </c>
      <c r="S758" t="n">
        <v>0</v>
      </c>
      <c r="T758" t="n">
        <v>0</v>
      </c>
      <c r="U758" t="n">
        <v>0</v>
      </c>
      <c r="V758" t="inlineStr">
        <is>
          <t>否</t>
        </is>
      </c>
      <c r="W758" t="inlineStr">
        <is>
          <t>是</t>
        </is>
      </c>
      <c r="X758" t="inlineStr">
        <is>
          <t>历史导入:民族团结进步促进法舆情统计最终版_非支持原话全量汇总最终版.xlsx；证据状态:原始复核证据；记录类型:逐条直接证据；复核:评论日期2026-07-05，公开地区辽宁；原话在截图可见。复核后维持“公平争议”分类。图片文字表达对民族身份差别待遇的公平争议。；来源:562e200c-ed5b-4cc5-b965-7d32697488ff.xlsx；民族团结进步促进法舆情统计_含非支持来源与原话_最终完整核查版.xlsx/非支持态度复核；非支持来源与原话；重复来源数:2</t>
        </is>
      </c>
    </row>
    <row r="759">
      <c r="A759" t="inlineStr">
        <is>
          <t>hist-9f5a99be76fd00fd</t>
        </is>
      </c>
      <c r="B759" s="82" t="n">
        <v>46252.9403587963</v>
      </c>
      <c r="D759" t="inlineStr">
        <is>
          <t>快手</t>
        </is>
      </c>
      <c r="E759" t="inlineStr">
        <is>
          <t>快手</t>
        </is>
      </c>
      <c r="F759" t="inlineStr">
        <is>
          <t>逐条直接证据</t>
        </is>
      </c>
      <c r="G759" t="inlineStr">
        <is>
          <t>胡子哥</t>
        </is>
      </c>
      <c r="H759" t="inlineStr">
        <is>
          <t>一家人一辈子的吃穿住行你报销吗</t>
        </is>
      </c>
      <c r="I759" t="inlineStr">
        <is>
          <t>https://v.kuaishou.com/KnkLfjuc</t>
        </is>
      </c>
      <c r="J759" t="inlineStr">
        <is>
          <t>甘肃</t>
        </is>
      </c>
      <c r="L759" t="inlineStr">
        <is>
          <t>甘肃</t>
        </is>
      </c>
      <c r="O759" t="inlineStr">
        <is>
          <t>中文</t>
        </is>
      </c>
      <c r="P759" t="inlineStr">
        <is>
          <t>否</t>
        </is>
      </c>
      <c r="Q759" t="inlineStr">
        <is>
          <t>公平争议</t>
        </is>
      </c>
      <c r="R759" t="inlineStr">
        <is>
          <t>民族团结表述；资源责任</t>
        </is>
      </c>
      <c r="S759" t="n">
        <v>0</v>
      </c>
      <c r="T759" t="n">
        <v>0</v>
      </c>
      <c r="U759" t="n">
        <v>0</v>
      </c>
      <c r="V759" t="inlineStr">
        <is>
          <t>否</t>
        </is>
      </c>
      <c r="W759" t="inlineStr">
        <is>
          <t>是</t>
        </is>
      </c>
      <c r="X759" t="inlineStr">
        <is>
          <t>历史导入:民族团结进步促进法舆情统计最终版_非支持原话全量汇总最终版.xlsx；证据状态:原始复核证据；记录类型:逐条直接证据；复核:评论日期2026-07-02，公开地区安徽；原话在截图可见。复核后维持“公平争议”分类。围绕“一家人”表述与现实责任提出争议。；来源:562e200c-ed5b-4cc5-b965-7d32697488ff.xlsx；民族团结进步促进法舆情统计_含非支持来源与原话_最终完整核查版.xlsx/非支持态度复核；非支持来源与原话；重复来源数:2</t>
        </is>
      </c>
    </row>
    <row r="760">
      <c r="A760" t="inlineStr">
        <is>
          <t>hist-3e04eb9eb2e00afd</t>
        </is>
      </c>
      <c r="B760" s="82" t="n">
        <v>46252.9403587963</v>
      </c>
      <c r="D760" t="inlineStr">
        <is>
          <t>快手</t>
        </is>
      </c>
      <c r="E760" t="inlineStr">
        <is>
          <t>快手</t>
        </is>
      </c>
      <c r="F760" t="inlineStr">
        <is>
          <t>逐条直接证据</t>
        </is>
      </c>
      <c r="G760" t="inlineStr">
        <is>
          <t>胡子哥</t>
        </is>
      </c>
      <c r="H760" t="inlineStr">
        <is>
          <t>一家人还不吃一家饭？</t>
        </is>
      </c>
      <c r="I760" t="inlineStr">
        <is>
          <t>https://v.kuaishou.com/KnkLfjuc</t>
        </is>
      </c>
      <c r="J760" t="inlineStr">
        <is>
          <t>甘肃</t>
        </is>
      </c>
      <c r="L760" t="inlineStr">
        <is>
          <t>甘肃</t>
        </is>
      </c>
      <c r="O760" t="inlineStr">
        <is>
          <t>中文</t>
        </is>
      </c>
      <c r="P760" t="inlineStr">
        <is>
          <t>否</t>
        </is>
      </c>
      <c r="Q760" t="inlineStr">
        <is>
          <t>公平争议</t>
        </is>
      </c>
      <c r="R760" t="inlineStr">
        <is>
          <t>饮食习惯；民族/宗教差异</t>
        </is>
      </c>
      <c r="S760" t="n">
        <v>0</v>
      </c>
      <c r="T760" t="n">
        <v>0</v>
      </c>
      <c r="U760" t="n">
        <v>0</v>
      </c>
      <c r="V760" t="inlineStr">
        <is>
          <t>否</t>
        </is>
      </c>
      <c r="W760" t="inlineStr">
        <is>
          <t>是</t>
        </is>
      </c>
      <c r="X760" t="inlineStr">
        <is>
          <t>历史导入:民族团结进步促进法舆情统计最终版_非支持原话全量汇总最终版.xlsx；证据状态:原始复核证据；记录类型:逐条直接证据；复核:评论日期2026-07-02，公开地区甘肃；原话在截图可见。复核后维持“公平争议”分类。围绕“一家人”与饮食差异提出公平/一致性质疑。；来源:562e200c-ed5b-4cc5-b965-7d32697488ff.xlsx；民族团结进步促进法舆情统计_含非支持来源与原话_最终完整核查版.xlsx/非支持态度复核；非支持来源与原话；重复来源数:2</t>
        </is>
      </c>
    </row>
    <row r="761">
      <c r="A761" t="inlineStr">
        <is>
          <t>hist-06fec60438e6d9be</t>
        </is>
      </c>
      <c r="B761" s="82" t="n">
        <v>46252.9403587963</v>
      </c>
      <c r="D761" t="inlineStr">
        <is>
          <t>快手</t>
        </is>
      </c>
      <c r="E761" t="inlineStr">
        <is>
          <t>快手</t>
        </is>
      </c>
      <c r="F761" t="inlineStr">
        <is>
          <t>逐条直接证据</t>
        </is>
      </c>
      <c r="G761" t="inlineStr">
        <is>
          <t>胡子哥</t>
        </is>
      </c>
      <c r="H761" t="inlineStr">
        <is>
          <t>一边传播宗教思想，一边诋毁他人，一边谈团结？？@甘肃公安 好好他的视频</t>
        </is>
      </c>
      <c r="I761" t="inlineStr">
        <is>
          <t>https://v.kuaishou.com/KnkLfjuc</t>
        </is>
      </c>
      <c r="J761" t="inlineStr">
        <is>
          <t>甘肃</t>
        </is>
      </c>
      <c r="L761" t="inlineStr">
        <is>
          <t>甘肃</t>
        </is>
      </c>
      <c r="O761" t="inlineStr">
        <is>
          <t>中文</t>
        </is>
      </c>
      <c r="P761" t="inlineStr">
        <is>
          <t>否</t>
        </is>
      </c>
      <c r="Q761" t="inlineStr">
        <is>
          <t>投诉维权</t>
        </is>
      </c>
      <c r="R761" t="inlineStr">
        <is>
          <t>举报/投诉；宗教传播；民族团结</t>
        </is>
      </c>
      <c r="S761" t="n">
        <v>0</v>
      </c>
      <c r="T761" t="n">
        <v>0</v>
      </c>
      <c r="U761" t="n">
        <v>0</v>
      </c>
      <c r="V761" t="inlineStr">
        <is>
          <t>否</t>
        </is>
      </c>
      <c r="W761" t="inlineStr">
        <is>
          <t>是</t>
        </is>
      </c>
      <c r="X761" t="inlineStr">
        <is>
          <t>历史导入:民族团结进步促进法舆情统计最终版_非支持原话全量汇总最终版.xlsx；证据状态:原始复核证据；记录类型:逐条直接证据；复核:评论日期2026-07-26，公开地区广东；原话在截图可见。复核后维持“投诉维权”分类。明确@甘肃公安并要求关注/处理视频，归投诉维权。；来源:562e200c-ed5b-4cc5-b965-7d32697488ff.xlsx；民族团结进步促进法舆情统计_含非支持来源与原话_最终完整核查版.xlsx/非支持态度复核；非支持来源与原话；重复来源数:2</t>
        </is>
      </c>
    </row>
    <row r="762">
      <c r="A762" t="inlineStr">
        <is>
          <t>hist-2fc0c61e15d2506b</t>
        </is>
      </c>
      <c r="B762" s="82" t="n">
        <v>46252.9403587963</v>
      </c>
      <c r="D762" t="inlineStr">
        <is>
          <t>快手</t>
        </is>
      </c>
      <c r="E762" t="inlineStr">
        <is>
          <t>快手</t>
        </is>
      </c>
      <c r="F762" t="inlineStr">
        <is>
          <t>逐条直接证据</t>
        </is>
      </c>
      <c r="G762" t="inlineStr">
        <is>
          <t>胡子哥</t>
        </is>
      </c>
      <c r="H762" t="inlineStr">
        <is>
          <t>不能信，他们的嘴反正都是理。</t>
        </is>
      </c>
      <c r="I762" t="inlineStr">
        <is>
          <t>https://v.kuaishou.com/KnkLfjuc</t>
        </is>
      </c>
      <c r="J762" t="inlineStr">
        <is>
          <t>甘肃</t>
        </is>
      </c>
      <c r="L762" t="inlineStr">
        <is>
          <t>甘肃</t>
        </is>
      </c>
      <c r="O762" t="inlineStr">
        <is>
          <t>中文</t>
        </is>
      </c>
      <c r="P762" t="inlineStr">
        <is>
          <t>否</t>
        </is>
      </c>
      <c r="Q762" t="inlineStr">
        <is>
          <t>明确批评</t>
        </is>
      </c>
      <c r="R762" t="inlineStr">
        <is>
          <t>可信度质疑</t>
        </is>
      </c>
      <c r="S762" t="n">
        <v>0</v>
      </c>
      <c r="T762" t="n">
        <v>0</v>
      </c>
      <c r="U762" t="n">
        <v>0</v>
      </c>
      <c r="V762" t="inlineStr">
        <is>
          <t>否</t>
        </is>
      </c>
      <c r="W762" t="inlineStr">
        <is>
          <t>是</t>
        </is>
      </c>
      <c r="X762" t="inlineStr">
        <is>
          <t>历史导入:民族团结进步促进法舆情统计最终版_非支持原话全量汇总最终版.xlsx；证据状态:原始复核证据；记录类型:逐条直接证据；复核:评论日期2026-07-07，公开地区新疆；原话在截图可见。复核后维持“明确批评”分类。明显负面、不信任态度。；来源:562e200c-ed5b-4cc5-b965-7d32697488ff.xlsx；民族团结进步促进法舆情统计_含非支持来源与原话_最终完整核查版.xlsx/非支持态度复核；非支持来源与原话；重复来源数:2</t>
        </is>
      </c>
    </row>
    <row r="763">
      <c r="A763" t="inlineStr">
        <is>
          <t>hist-fc0671a9034120f5</t>
        </is>
      </c>
      <c r="B763" s="82" t="n">
        <v>46252.9403587963</v>
      </c>
      <c r="D763" t="inlineStr">
        <is>
          <t>快手</t>
        </is>
      </c>
      <c r="E763" t="inlineStr">
        <is>
          <t>快手</t>
        </is>
      </c>
      <c r="F763" t="inlineStr">
        <is>
          <t>逐条直接证据</t>
        </is>
      </c>
      <c r="G763" t="inlineStr">
        <is>
          <t>胡子哥</t>
        </is>
      </c>
      <c r="H763" t="inlineStr">
        <is>
          <t>什么都好，就是你戴那个帽子装怪嘿嘿</t>
        </is>
      </c>
      <c r="I763" t="inlineStr">
        <is>
          <t>https://v.kuaishou.com/KnkLfjuc</t>
        </is>
      </c>
      <c r="J763" t="inlineStr">
        <is>
          <t>甘肃</t>
        </is>
      </c>
      <c r="L763" t="inlineStr">
        <is>
          <t>甘肃</t>
        </is>
      </c>
      <c r="O763" t="inlineStr">
        <is>
          <t>中文</t>
        </is>
      </c>
      <c r="P763" t="inlineStr">
        <is>
          <t>否</t>
        </is>
      </c>
      <c r="Q763" t="inlineStr">
        <is>
          <t>歧视偏见</t>
        </is>
      </c>
      <c r="R763" t="inlineStr">
        <is>
          <t>宗教/民族服饰偏见</t>
        </is>
      </c>
      <c r="S763" t="n">
        <v>0</v>
      </c>
      <c r="T763" t="n">
        <v>0</v>
      </c>
      <c r="U763" t="n">
        <v>0</v>
      </c>
      <c r="V763" t="inlineStr">
        <is>
          <t>否</t>
        </is>
      </c>
      <c r="W763" t="inlineStr">
        <is>
          <t>是</t>
        </is>
      </c>
      <c r="X763" t="inlineStr">
        <is>
          <t>历史导入:民族团结进步促进法舆情统计最终版_非支持原话全量汇总最终版.xlsx；证据状态:原始复核证据；记录类型:逐条直接证据；复核:评论日期2026-07-02，公开地区广东；原话在截图可见。复核后维持“歧视偏见”分类。以作者所戴帽子为由作负面、嘲讽性评价，结合评论区宗教/民族语境按歧视偏见记录。；来源:562e200c-ed5b-4cc5-b965-7d32697488ff.xlsx；民族团结进步促进法舆情统计_含非支持来源与原话_最终完整核查版.xlsx/非支持态度复核；非支持来源与原话；重复来源数:2</t>
        </is>
      </c>
    </row>
    <row r="764">
      <c r="A764" t="inlineStr">
        <is>
          <t>hist-3aa9bbeb16ad2573</t>
        </is>
      </c>
      <c r="B764" s="82" t="n">
        <v>46252.9403587963</v>
      </c>
      <c r="D764" t="inlineStr">
        <is>
          <t>快手</t>
        </is>
      </c>
      <c r="E764" t="inlineStr">
        <is>
          <t>快手</t>
        </is>
      </c>
      <c r="F764" t="inlineStr">
        <is>
          <t>逐条直接证据</t>
        </is>
      </c>
      <c r="G764" t="inlineStr">
        <is>
          <t>胡子哥</t>
        </is>
      </c>
      <c r="H764" t="inlineStr">
        <is>
          <t>他嘴上说说而已嘛😂</t>
        </is>
      </c>
      <c r="I764" t="inlineStr">
        <is>
          <t>https://v.kuaishou.com/KnkLfjuc</t>
        </is>
      </c>
      <c r="J764" t="inlineStr">
        <is>
          <t>甘肃</t>
        </is>
      </c>
      <c r="L764" t="inlineStr">
        <is>
          <t>甘肃</t>
        </is>
      </c>
      <c r="O764" t="inlineStr">
        <is>
          <t>中文</t>
        </is>
      </c>
      <c r="P764" t="inlineStr">
        <is>
          <t>否</t>
        </is>
      </c>
      <c r="Q764" t="inlineStr">
        <is>
          <t>明确批评</t>
        </is>
      </c>
      <c r="R764" t="inlineStr">
        <is>
          <t>对母帖作者可信度质疑</t>
        </is>
      </c>
      <c r="S764" t="n">
        <v>0</v>
      </c>
      <c r="T764" t="n">
        <v>0</v>
      </c>
      <c r="U764" t="n">
        <v>0</v>
      </c>
      <c r="V764" t="inlineStr">
        <is>
          <t>否</t>
        </is>
      </c>
      <c r="W764" t="inlineStr">
        <is>
          <t>是</t>
        </is>
      </c>
      <c r="X764" t="inlineStr">
        <is>
          <t>历史导入:民族团结进步促进法舆情统计最终版_非支持原话全量汇总最终版.xlsx；证据状态:原始复核证据；记录类型:逐条直接证据；复核:评论日期2026-07-03，公开地区宁夏；原话在截图可见。复核后维持“明确批评”分类。在本法主题母帖下直接质疑作者言行可信度。；来源:562e200c-ed5b-4cc5-b965-7d32697488ff.xlsx；民族团结进步促进法舆情统计_含非支持来源与原话_最终完整核查版.xlsx/非支持态度复核；非支持来源与原话；重复来源数:2</t>
        </is>
      </c>
    </row>
    <row r="765">
      <c r="A765" t="inlineStr">
        <is>
          <t>hist-3f324da97978aa1a</t>
        </is>
      </c>
      <c r="B765" s="82" t="n">
        <v>46252.9403587963</v>
      </c>
      <c r="D765" t="inlineStr">
        <is>
          <t>快手</t>
        </is>
      </c>
      <c r="E765" t="inlineStr">
        <is>
          <t>快手</t>
        </is>
      </c>
      <c r="F765" t="inlineStr">
        <is>
          <t>逐条直接证据</t>
        </is>
      </c>
      <c r="G765" t="inlineStr">
        <is>
          <t>胡子哥</t>
        </is>
      </c>
      <c r="H765" t="inlineStr">
        <is>
          <t>你也可以申请补助嘛😂😂😂</t>
        </is>
      </c>
      <c r="I765" t="inlineStr">
        <is>
          <t>https://v.kuaishou.com/KnkLfjuc</t>
        </is>
      </c>
      <c r="J765" t="inlineStr">
        <is>
          <t>甘肃</t>
        </is>
      </c>
      <c r="L765" t="inlineStr">
        <is>
          <t>甘肃</t>
        </is>
      </c>
      <c r="O765" t="inlineStr">
        <is>
          <t>中文</t>
        </is>
      </c>
      <c r="P765" t="inlineStr">
        <is>
          <t>否</t>
        </is>
      </c>
      <c r="Q765" t="inlineStr">
        <is>
          <t>公平争议</t>
        </is>
      </c>
      <c r="R765" t="inlineStr">
        <is>
          <t>民族政策公平；补助政策</t>
        </is>
      </c>
      <c r="S765" t="n">
        <v>0</v>
      </c>
      <c r="T765" t="n">
        <v>0</v>
      </c>
      <c r="U765" t="n">
        <v>0</v>
      </c>
      <c r="V765" t="inlineStr">
        <is>
          <t>否</t>
        </is>
      </c>
      <c r="W765" t="inlineStr">
        <is>
          <t>是</t>
        </is>
      </c>
      <c r="X765" t="inlineStr">
        <is>
          <t>历史导入:民族团结进步促进法舆情统计最终版_非支持原话全量汇总最终版.xlsx；证据状态:原始复核证据；记录类型:逐条直接证据；复核:评论日期2026-07-04，公开地区甘肃；原话在截图可见。复核后维持“公平争议”分类。作为上一条补助公平争议的公开回复，纳入公平争议。；来源:562e200c-ed5b-4cc5-b965-7d32697488ff.xlsx；民族团结进步促进法舆情统计_含非支持来源与原话_最终完整核查版.xlsx/非支持态度复核；非支持来源与原话；重复来源数:2</t>
        </is>
      </c>
    </row>
    <row r="766">
      <c r="A766" t="inlineStr">
        <is>
          <t>hist-ff6056c23251f0b0</t>
        </is>
      </c>
      <c r="B766" s="82" t="n">
        <v>46252.9403587963</v>
      </c>
      <c r="D766" t="inlineStr">
        <is>
          <t>快手</t>
        </is>
      </c>
      <c r="E766" t="inlineStr">
        <is>
          <t>快手</t>
        </is>
      </c>
      <c r="F766" t="inlineStr">
        <is>
          <t>逐条直接证据</t>
        </is>
      </c>
      <c r="G766" t="inlineStr">
        <is>
          <t>胡子哥</t>
        </is>
      </c>
      <c r="H766" t="inlineStr">
        <is>
          <t>你们的话能相信吗</t>
        </is>
      </c>
      <c r="I766" t="inlineStr">
        <is>
          <t>https://v.kuaishou.com/JeQ8Rp21</t>
        </is>
      </c>
      <c r="J766" t="inlineStr">
        <is>
          <t>甘肃</t>
        </is>
      </c>
      <c r="L766" t="inlineStr">
        <is>
          <t>甘肃</t>
        </is>
      </c>
      <c r="O766" t="inlineStr">
        <is>
          <t>中文</t>
        </is>
      </c>
      <c r="P766" t="inlineStr">
        <is>
          <t>否</t>
        </is>
      </c>
      <c r="Q766" t="inlineStr">
        <is>
          <t>质疑</t>
        </is>
      </c>
      <c r="R766" t="inlineStr">
        <is>
          <t>可信度质疑</t>
        </is>
      </c>
      <c r="S766" t="n">
        <v>0</v>
      </c>
      <c r="T766" t="n">
        <v>0</v>
      </c>
      <c r="U766" t="n">
        <v>0</v>
      </c>
      <c r="V766" t="inlineStr">
        <is>
          <t>否</t>
        </is>
      </c>
      <c r="W766" t="inlineStr">
        <is>
          <t>是</t>
        </is>
      </c>
      <c r="X766" t="inlineStr">
        <is>
          <t>历史导入:民族团结进步促进法舆情统计最终版_非支持原话全量汇总最终版.xlsx；证据状态:原始复核证据；记录类型:逐条直接证据；复核:网民质问"你们的话能相信吗"，对官方叙事表达不信任；来源:快手平台民族团结进步促进法舆情监测_统计修正版.xlsx；562e200c-ed5b-4cc5-b965-7d32697488ff.xlsx；民族团结进步促进法舆情统计_含非支持来源与原话_最终完整核查版.xlsx/非支持态度复核；非支持来源与原话；重复来源数:3</t>
        </is>
      </c>
    </row>
    <row r="767">
      <c r="A767" t="inlineStr">
        <is>
          <t>hist-2ce3d78e7fbcbfba</t>
        </is>
      </c>
      <c r="B767" s="82" t="n">
        <v>46252.9403587963</v>
      </c>
      <c r="D767" t="inlineStr">
        <is>
          <t>快手</t>
        </is>
      </c>
      <c r="E767" t="inlineStr">
        <is>
          <t>快手</t>
        </is>
      </c>
      <c r="F767" t="inlineStr">
        <is>
          <t>逐条直接证据</t>
        </is>
      </c>
      <c r="G767" t="inlineStr">
        <is>
          <t>胡子哥</t>
        </is>
      </c>
      <c r="H767" t="inlineStr">
        <is>
          <t>你们要尊重我，不然就是破坏民族团结</t>
        </is>
      </c>
      <c r="I767" t="inlineStr">
        <is>
          <t>https://v.kuaishou.com/KnkLfjuc</t>
        </is>
      </c>
      <c r="J767" t="inlineStr">
        <is>
          <t>甘肃</t>
        </is>
      </c>
      <c r="L767" t="inlineStr">
        <is>
          <t>甘肃</t>
        </is>
      </c>
      <c r="O767" t="inlineStr">
        <is>
          <t>中文</t>
        </is>
      </c>
      <c r="P767" t="inlineStr">
        <is>
          <t>否</t>
        </is>
      </c>
      <c r="Q767" t="inlineStr">
        <is>
          <t>公平争议</t>
        </is>
      </c>
      <c r="R767" t="inlineStr">
        <is>
          <t>民族团结概念；权利边界</t>
        </is>
      </c>
      <c r="S767" t="n">
        <v>0</v>
      </c>
      <c r="T767" t="n">
        <v>0</v>
      </c>
      <c r="U767" t="n">
        <v>0</v>
      </c>
      <c r="V767" t="inlineStr">
        <is>
          <t>否</t>
        </is>
      </c>
      <c r="W767" t="inlineStr">
        <is>
          <t>是</t>
        </is>
      </c>
      <c r="X767" t="inlineStr">
        <is>
          <t>历史导入:民族团结进步促进法舆情统计最终版_非支持原话全量汇总最终版.xlsx；证据状态:原始复核证据；记录类型:逐条直接证据；复核:评论日期2026-07-02，公开地区甘肃；原话在截图可见。复核后维持“公平争议”分类。对“尊重/破坏民族团结”的边界提出争议性表达。；来源:562e200c-ed5b-4cc5-b965-7d32697488ff.xlsx；民族团结进步促进法舆情统计_含非支持来源与原话_最终完整核查版.xlsx/非支持态度复核；非支持来源与原话；重复来源数:2</t>
        </is>
      </c>
    </row>
    <row r="768">
      <c r="A768" t="inlineStr">
        <is>
          <t>hist-1b3e27cb724b4b28</t>
        </is>
      </c>
      <c r="B768" s="82" t="n">
        <v>46252.9403587963</v>
      </c>
      <c r="D768" t="inlineStr">
        <is>
          <t>快手</t>
        </is>
      </c>
      <c r="E768" t="inlineStr">
        <is>
          <t>快手</t>
        </is>
      </c>
      <c r="F768" t="inlineStr">
        <is>
          <t>逐条直接证据</t>
        </is>
      </c>
      <c r="G768" t="inlineStr">
        <is>
          <t>胡子哥</t>
        </is>
      </c>
      <c r="H768" t="inlineStr">
        <is>
          <t>你家能管多少人吃饭，牛逼不是你吹的</t>
        </is>
      </c>
      <c r="I768" t="inlineStr">
        <is>
          <t>https://v.kuaishou.com/KnkLfjuc</t>
        </is>
      </c>
      <c r="J768" t="inlineStr">
        <is>
          <t>甘肃</t>
        </is>
      </c>
      <c r="L768" t="inlineStr">
        <is>
          <t>甘肃</t>
        </is>
      </c>
      <c r="O768" t="inlineStr">
        <is>
          <t>中文</t>
        </is>
      </c>
      <c r="P768" t="inlineStr">
        <is>
          <t>否</t>
        </is>
      </c>
      <c r="Q768" t="inlineStr">
        <is>
          <t>公平争议</t>
        </is>
      </c>
      <c r="R768" t="inlineStr">
        <is>
          <t>饮食差异；评论争议</t>
        </is>
      </c>
      <c r="S768" t="n">
        <v>0</v>
      </c>
      <c r="T768" t="n">
        <v>0</v>
      </c>
      <c r="U768" t="n">
        <v>0</v>
      </c>
      <c r="V768" t="inlineStr">
        <is>
          <t>否</t>
        </is>
      </c>
      <c r="W768" t="inlineStr">
        <is>
          <t>是</t>
        </is>
      </c>
      <c r="X768" t="inlineStr">
        <is>
          <t>历史导入:民族团结进步促进法舆情统计最终版_非支持原话全量汇总最终版.xlsx；证据状态:原始复核证据；记录类型:逐条直接证据；复核:评论日期2026-07-02，公开地区甘肃；原话在截图可见。复核后维持“公平争议”分类。作为饮食/一家人争议的公开回复，纳入公平争议。；来源:562e200c-ed5b-4cc5-b965-7d32697488ff.xlsx；民族团结进步促进法舆情统计_含非支持来源与原话_最终完整核查版.xlsx/非支持态度复核；非支持来源与原话；重复来源数:2</t>
        </is>
      </c>
    </row>
    <row r="769">
      <c r="A769" t="inlineStr">
        <is>
          <t>hist-eb7588f908cfb3e4</t>
        </is>
      </c>
      <c r="B769" s="82" t="n">
        <v>46252.9403587963</v>
      </c>
      <c r="D769" t="inlineStr">
        <is>
          <t>快手</t>
        </is>
      </c>
      <c r="E769" t="inlineStr">
        <is>
          <t>快手</t>
        </is>
      </c>
      <c r="F769" t="inlineStr">
        <is>
          <t>逐条直接证据</t>
        </is>
      </c>
      <c r="G769" t="inlineStr">
        <is>
          <t>胡子哥</t>
        </is>
      </c>
      <c r="H769" t="inlineStr">
        <is>
          <t>你的身份证上是啥族？！</t>
        </is>
      </c>
      <c r="I769" t="inlineStr">
        <is>
          <t>https://v.kuaishou.com/KnkLfjuc</t>
        </is>
      </c>
      <c r="J769" t="inlineStr">
        <is>
          <t>甘肃</t>
        </is>
      </c>
      <c r="L769" t="inlineStr">
        <is>
          <t>甘肃</t>
        </is>
      </c>
      <c r="O769" t="inlineStr">
        <is>
          <t>中文</t>
        </is>
      </c>
      <c r="P769" t="inlineStr">
        <is>
          <t>否</t>
        </is>
      </c>
      <c r="Q769" t="inlineStr">
        <is>
          <t>歧视偏见</t>
        </is>
      </c>
      <c r="R769" t="inlineStr">
        <is>
          <t>民族身份质询</t>
        </is>
      </c>
      <c r="S769" t="n">
        <v>0</v>
      </c>
      <c r="T769" t="n">
        <v>0</v>
      </c>
      <c r="U769" t="n">
        <v>0</v>
      </c>
      <c r="V769" t="inlineStr">
        <is>
          <t>否</t>
        </is>
      </c>
      <c r="W769" t="inlineStr">
        <is>
          <t>是</t>
        </is>
      </c>
      <c r="X769" t="inlineStr">
        <is>
          <t>历史导入:民族团结进步促进法舆情统计最终版_非支持原话全量汇总最终版.xlsx；证据状态:原始复核证据；记录类型:逐条直接证据；复核:评论日期2026-08-05，公开地区天津；原话在截图可见。复核后维持“歧视偏见”分类。以身份证民族身份质询对方，按身份偏见/排斥记录。；来源:562e200c-ed5b-4cc5-b965-7d32697488ff.xlsx；民族团结进步促进法舆情统计_含非支持来源与原话_最终完整核查版.xlsx/非支持态度复核；非支持来源与原话；重复来源数:2</t>
        </is>
      </c>
    </row>
    <row r="770">
      <c r="A770" t="inlineStr">
        <is>
          <t>hist-bc381ff073f5a91a</t>
        </is>
      </c>
      <c r="B770" s="82" t="n">
        <v>46252.9403587963</v>
      </c>
      <c r="D770" t="inlineStr">
        <is>
          <t>快手</t>
        </is>
      </c>
      <c r="E770" t="inlineStr">
        <is>
          <t>快手</t>
        </is>
      </c>
      <c r="F770" t="inlineStr">
        <is>
          <t>逐条直接证据</t>
        </is>
      </c>
      <c r="G770" t="inlineStr">
        <is>
          <t>胡子哥</t>
        </is>
      </c>
      <c r="H770" t="inlineStr">
        <is>
          <t>你赶紧哪里凉快哪儿待着去，这里不是你能说清楚的。</t>
        </is>
      </c>
      <c r="I770" t="inlineStr">
        <is>
          <t>https://v.kuaishou.com/KnkLfjuc</t>
        </is>
      </c>
      <c r="J770" t="inlineStr">
        <is>
          <t>甘肃</t>
        </is>
      </c>
      <c r="L770" t="inlineStr">
        <is>
          <t>甘肃</t>
        </is>
      </c>
      <c r="O770" t="inlineStr">
        <is>
          <t>中文</t>
        </is>
      </c>
      <c r="P770" t="inlineStr">
        <is>
          <t>否</t>
        </is>
      </c>
      <c r="Q770" t="inlineStr">
        <is>
          <t>明确批评</t>
        </is>
      </c>
      <c r="R770" t="inlineStr">
        <is>
          <t>反对母帖/作者观点</t>
        </is>
      </c>
      <c r="S770" t="n">
        <v>0</v>
      </c>
      <c r="T770" t="n">
        <v>0</v>
      </c>
      <c r="U770" t="n">
        <v>0</v>
      </c>
      <c r="V770" t="inlineStr">
        <is>
          <t>否</t>
        </is>
      </c>
      <c r="W770" t="inlineStr">
        <is>
          <t>是</t>
        </is>
      </c>
      <c r="X770" t="inlineStr">
        <is>
          <t>历史导入:民族团结进步促进法舆情统计最终版_非支持原话全量汇总最终版.xlsx；证据状态:原始复核证据；记录类型:逐条直接证据；复核:评论日期2026-07-03，公开地区甘肃；原话在截图可见。复核后维持“明确批评”分类。对母帖作者及其表达作直接负面评价。；来源:562e200c-ed5b-4cc5-b965-7d32697488ff.xlsx；民族团结进步促进法舆情统计_含非支持来源与原话_最终完整核查版.xlsx/非支持态度复核；非支持来源与原话；重复来源数:2</t>
        </is>
      </c>
    </row>
    <row r="771">
      <c r="A771" t="inlineStr">
        <is>
          <t>hist-dddcdd6a5f98a054</t>
        </is>
      </c>
      <c r="B771" s="82" t="n">
        <v>46252.9403587963</v>
      </c>
      <c r="D771" t="inlineStr">
        <is>
          <t>快手</t>
        </is>
      </c>
      <c r="E771" t="inlineStr">
        <is>
          <t>快手</t>
        </is>
      </c>
      <c r="F771" t="inlineStr">
        <is>
          <t>逐条直接证据</t>
        </is>
      </c>
      <c r="G771" t="inlineStr">
        <is>
          <t>胡子哥</t>
        </is>
      </c>
      <c r="H771" t="inlineStr">
        <is>
          <t>信了这个教，父母祖宗都不要</t>
        </is>
      </c>
      <c r="I771" t="inlineStr">
        <is>
          <t>https://v.kuaishou.com/KnkLfjuc</t>
        </is>
      </c>
      <c r="J771" t="inlineStr">
        <is>
          <t>甘肃</t>
        </is>
      </c>
      <c r="L771" t="inlineStr">
        <is>
          <t>甘肃</t>
        </is>
      </c>
      <c r="O771" t="inlineStr">
        <is>
          <t>中文</t>
        </is>
      </c>
      <c r="P771" t="inlineStr">
        <is>
          <t>否</t>
        </is>
      </c>
      <c r="Q771" t="inlineStr">
        <is>
          <t>歧视偏见</t>
        </is>
      </c>
      <c r="R771" t="inlineStr">
        <is>
          <t>宗教偏见</t>
        </is>
      </c>
      <c r="S771" t="n">
        <v>0</v>
      </c>
      <c r="T771" t="n">
        <v>0</v>
      </c>
      <c r="U771" t="n">
        <v>0</v>
      </c>
      <c r="V771" t="inlineStr">
        <is>
          <t>否</t>
        </is>
      </c>
      <c r="W771" t="inlineStr">
        <is>
          <t>是</t>
        </is>
      </c>
      <c r="X771" t="inlineStr">
        <is>
          <t>历史导入:民族团结进步促进法舆情统计最终版_非支持原话全量汇总最终版.xlsx；证据状态:原始复核证据；记录类型:逐条直接证据；复核:评论日期2026-07-03，公开地区广东；原话在截图可见。复核后维持“歧视偏见”分类。对特定宗教信仰者作概括性贬损。；来源:562e200c-ed5b-4cc5-b965-7d32697488ff.xlsx；民族团结进步促进法舆情统计_含非支持来源与原话_最终完整核查版.xlsx/非支持态度复核；非支持来源与原话；重复来源数:2</t>
        </is>
      </c>
    </row>
    <row r="772">
      <c r="A772" t="inlineStr">
        <is>
          <t>hist-0af61ec4fd361718</t>
        </is>
      </c>
      <c r="B772" s="82" t="n">
        <v>46252.9403587963</v>
      </c>
      <c r="D772" t="inlineStr">
        <is>
          <t>快手</t>
        </is>
      </c>
      <c r="E772" t="inlineStr">
        <is>
          <t>快手</t>
        </is>
      </c>
      <c r="F772" t="inlineStr">
        <is>
          <t>逐条直接证据</t>
        </is>
      </c>
      <c r="G772" t="inlineStr">
        <is>
          <t>胡子哥</t>
        </is>
      </c>
      <c r="H772" t="inlineStr">
        <is>
          <t>俩面人正真可怕也可怜</t>
        </is>
      </c>
      <c r="I772" t="inlineStr">
        <is>
          <t>https://v.kuaishou.com/KnkLfjuc</t>
        </is>
      </c>
      <c r="J772" t="inlineStr">
        <is>
          <t>甘肃</t>
        </is>
      </c>
      <c r="L772" t="inlineStr">
        <is>
          <t>甘肃</t>
        </is>
      </c>
      <c r="O772" t="inlineStr">
        <is>
          <t>中文</t>
        </is>
      </c>
      <c r="P772" t="inlineStr">
        <is>
          <t>否</t>
        </is>
      </c>
      <c r="Q772" t="inlineStr">
        <is>
          <t>明确批评</t>
        </is>
      </c>
      <c r="R772" t="inlineStr">
        <is>
          <t>作者可信度批评</t>
        </is>
      </c>
      <c r="S772" t="n">
        <v>0</v>
      </c>
      <c r="T772" t="n">
        <v>0</v>
      </c>
      <c r="U772" t="n">
        <v>0</v>
      </c>
      <c r="V772" t="inlineStr">
        <is>
          <t>否</t>
        </is>
      </c>
      <c r="W772" t="inlineStr">
        <is>
          <t>是</t>
        </is>
      </c>
      <c r="X772" t="inlineStr">
        <is>
          <t>历史导入:民族团结进步促进法舆情统计最终版_非支持原话全量汇总最终版.xlsx；证据状态:原始复核证据；记录类型:逐条直接证据；复核:评论日期2026-07-02，公开地区甘肃；原话在截图可见。复核后维持“明确批评”分类。直接批评作者为“两面人”。；来源:562e200c-ed5b-4cc5-b965-7d32697488ff.xlsx；民族团结进步促进法舆情统计_含非支持来源与原话_最终完整核查版.xlsx/非支持态度复核；非支持来源与原话；重复来源数:2</t>
        </is>
      </c>
    </row>
    <row r="773">
      <c r="A773" t="inlineStr">
        <is>
          <t>hist-d62dbdaadb49e0b0</t>
        </is>
      </c>
      <c r="B773" s="82" t="n">
        <v>46252.9403587963</v>
      </c>
      <c r="D773" t="inlineStr">
        <is>
          <t>快手</t>
        </is>
      </c>
      <c r="E773" t="inlineStr">
        <is>
          <t>快手</t>
        </is>
      </c>
      <c r="F773" t="inlineStr">
        <is>
          <t>逐条直接证据</t>
        </is>
      </c>
      <c r="G773" t="inlineStr">
        <is>
          <t>胡子哥</t>
        </is>
      </c>
      <c r="H773" t="inlineStr">
        <is>
          <t>做个人不好吗？败类</t>
        </is>
      </c>
      <c r="I773" t="inlineStr">
        <is>
          <t>https://v.kuaishou.com/KnkLfjuc</t>
        </is>
      </c>
      <c r="J773" t="inlineStr">
        <is>
          <t>甘肃</t>
        </is>
      </c>
      <c r="L773" t="inlineStr">
        <is>
          <t>甘肃</t>
        </is>
      </c>
      <c r="O773" t="inlineStr">
        <is>
          <t>中文</t>
        </is>
      </c>
      <c r="P773" t="inlineStr">
        <is>
          <t>否</t>
        </is>
      </c>
      <c r="Q773" t="inlineStr">
        <is>
          <t>明确批评</t>
        </is>
      </c>
      <c r="R773" t="inlineStr">
        <is>
          <t>低信息量负面评价</t>
        </is>
      </c>
      <c r="S773" t="n">
        <v>0</v>
      </c>
      <c r="T773" t="n">
        <v>0</v>
      </c>
      <c r="U773" t="n">
        <v>0</v>
      </c>
      <c r="V773" t="inlineStr">
        <is>
          <t>否</t>
        </is>
      </c>
      <c r="W773" t="inlineStr">
        <is>
          <t>是</t>
        </is>
      </c>
      <c r="X773" t="inlineStr">
        <is>
          <t>历史导入:民族团结进步促进法舆情统计最终版_非支持原话全量汇总最终版.xlsx；证据状态:原始复核证据；记录类型:逐条直接证据；复核:评论日期2026-07-27，公开地区甘肃；原话在截图可见。复核后维持“明确批评”分类。在母帖下直接作强烈负面评价。；来源:562e200c-ed5b-4cc5-b965-7d32697488ff.xlsx；民族团结进步促进法舆情统计_含非支持来源与原话_最终完整核查版.xlsx/非支持态度复核；非支持来源与原话；重复来源数:2</t>
        </is>
      </c>
    </row>
    <row r="774">
      <c r="A774" t="inlineStr">
        <is>
          <t>hist-8a454a9f2e76528f</t>
        </is>
      </c>
      <c r="B774" s="82" t="n">
        <v>46252.9403587963</v>
      </c>
      <c r="D774" t="inlineStr">
        <is>
          <t>快手</t>
        </is>
      </c>
      <c r="E774" t="inlineStr">
        <is>
          <t>快手</t>
        </is>
      </c>
      <c r="F774" t="inlineStr">
        <is>
          <t>逐条直接证据</t>
        </is>
      </c>
      <c r="G774" t="inlineStr">
        <is>
          <t>胡子哥</t>
        </is>
      </c>
      <c r="H774" t="inlineStr">
        <is>
          <t>再出来胡说八道就举报你，破坏民族团结的事情都是你们这些闲云野鹤逼逼的，团结不是你嘴里说出来的，少发这种视频就是对民族团结做的最大贡献。</t>
        </is>
      </c>
      <c r="I774" t="inlineStr">
        <is>
          <t>https://v.kuaishou.com/KnkLfjuc</t>
        </is>
      </c>
      <c r="J774" t="inlineStr">
        <is>
          <t>甘肃</t>
        </is>
      </c>
      <c r="L774" t="inlineStr">
        <is>
          <t>甘肃</t>
        </is>
      </c>
      <c r="O774" t="inlineStr">
        <is>
          <t>中文</t>
        </is>
      </c>
      <c r="P774" t="inlineStr">
        <is>
          <t>否</t>
        </is>
      </c>
      <c r="Q774" t="inlineStr">
        <is>
          <t>明确批评</t>
        </is>
      </c>
      <c r="R774" t="inlineStr">
        <is>
          <t>反对母帖传播；民族团结</t>
        </is>
      </c>
      <c r="S774" t="n">
        <v>0</v>
      </c>
      <c r="T774" t="n">
        <v>0</v>
      </c>
      <c r="U774" t="n">
        <v>0</v>
      </c>
      <c r="V774" t="inlineStr">
        <is>
          <t>否</t>
        </is>
      </c>
      <c r="W774" t="inlineStr">
        <is>
          <t>是</t>
        </is>
      </c>
      <c r="X774" t="inlineStr">
        <is>
          <t>历史导入:民族团结进步促进法舆情统计最终版_非支持原话全量汇总最终版.xlsx；证据状态:原始复核证据；记录类型:逐条直接证据；复核:评论日期2026-07-07，公开地区江苏；原话在截图可见。复核后维持“明确批评”分类。明确认为该视频反而破坏民族团结，并表示将举报。；来源:562e200c-ed5b-4cc5-b965-7d32697488ff.xlsx；民族团结进步促进法舆情统计_含非支持来源与原话_最终完整核查版.xlsx/非支持态度复核；非支持来源与原话；重复来源数:2</t>
        </is>
      </c>
    </row>
    <row r="775">
      <c r="A775" t="inlineStr">
        <is>
          <t>hist-b0a9eb0bbd6954a4</t>
        </is>
      </c>
      <c r="B775" s="82" t="n">
        <v>46252.9403587963</v>
      </c>
      <c r="D775" t="inlineStr">
        <is>
          <t>快手</t>
        </is>
      </c>
      <c r="E775" t="inlineStr">
        <is>
          <t>快手</t>
        </is>
      </c>
      <c r="F775" t="inlineStr">
        <is>
          <t>逐条直接证据</t>
        </is>
      </c>
      <c r="G775" t="inlineStr">
        <is>
          <t>胡子哥</t>
        </is>
      </c>
      <c r="H775" t="inlineStr">
        <is>
          <t>到儿孙就与你大不同了😂😂😂</t>
        </is>
      </c>
      <c r="I775" t="inlineStr">
        <is>
          <t>https://v.kuaishou.com/KnkLfjuc</t>
        </is>
      </c>
      <c r="J775" t="inlineStr">
        <is>
          <t>甘肃</t>
        </is>
      </c>
      <c r="L775" t="inlineStr">
        <is>
          <t>甘肃</t>
        </is>
      </c>
      <c r="O775" t="inlineStr">
        <is>
          <t>中文</t>
        </is>
      </c>
      <c r="P775" t="inlineStr">
        <is>
          <t>否</t>
        </is>
      </c>
      <c r="Q775" t="inlineStr">
        <is>
          <t>歧视偏见</t>
        </is>
      </c>
      <c r="R775" t="inlineStr">
        <is>
          <t>通婚/族群身份偏见</t>
        </is>
      </c>
      <c r="S775" t="n">
        <v>0</v>
      </c>
      <c r="T775" t="n">
        <v>0</v>
      </c>
      <c r="U775" t="n">
        <v>0</v>
      </c>
      <c r="V775" t="inlineStr">
        <is>
          <t>否</t>
        </is>
      </c>
      <c r="W775" t="inlineStr">
        <is>
          <t>是</t>
        </is>
      </c>
      <c r="X775" t="inlineStr">
        <is>
          <t>历史导入:民族团结进步促进法舆情统计最终版_非支持原话全量汇总最终版.xlsx；证据状态:原始复核证据；记录类型:逐条直接证据；复核:评论日期2026-07-01，公开地区甘肃；原话在截图可见。复核后维持“歧视偏见”分类。结合前后宗教/族群争议语境，含对后代身份的排斥性暗示。；来源:562e200c-ed5b-4cc5-b965-7d32697488ff.xlsx；民族团结进步促进法舆情统计_含非支持来源与原话_最终完整核查版.xlsx/非支持态度复核；非支持来源与原话；重复来源数:2</t>
        </is>
      </c>
    </row>
    <row r="776">
      <c r="A776" t="inlineStr">
        <is>
          <t>hist-3c3da41138cc9187</t>
        </is>
      </c>
      <c r="B776" s="82" t="n">
        <v>46252.9403587963</v>
      </c>
      <c r="D776" t="inlineStr">
        <is>
          <t>快手</t>
        </is>
      </c>
      <c r="E776" t="inlineStr">
        <is>
          <t>快手</t>
        </is>
      </c>
      <c r="F776" t="inlineStr">
        <is>
          <t>逐条直接证据</t>
        </is>
      </c>
      <c r="G776" t="inlineStr">
        <is>
          <t>胡子哥</t>
        </is>
      </c>
      <c r="H776" t="inlineStr">
        <is>
          <t>动不动民族挂在嘴边的这些人 感觉有点不正常💩 你这种人 我们教育不通 吃饭不通 思想不通 嘴里说一套 心里想一套💩</t>
        </is>
      </c>
      <c r="I776" t="inlineStr">
        <is>
          <t>https://v.kuaishou.com/KnkLfjuc</t>
        </is>
      </c>
      <c r="J776" t="inlineStr">
        <is>
          <t>甘肃</t>
        </is>
      </c>
      <c r="L776" t="inlineStr">
        <is>
          <t>甘肃</t>
        </is>
      </c>
      <c r="O776" t="inlineStr">
        <is>
          <t>中文</t>
        </is>
      </c>
      <c r="P776" t="inlineStr">
        <is>
          <t>否</t>
        </is>
      </c>
      <c r="Q776" t="inlineStr">
        <is>
          <t>明确批评</t>
        </is>
      </c>
      <c r="R776" t="inlineStr">
        <is>
          <t>反感民族议题传播；作者可信度</t>
        </is>
      </c>
      <c r="S776" t="n">
        <v>0</v>
      </c>
      <c r="T776" t="n">
        <v>0</v>
      </c>
      <c r="U776" t="n">
        <v>0</v>
      </c>
      <c r="V776" t="inlineStr">
        <is>
          <t>否</t>
        </is>
      </c>
      <c r="W776" t="inlineStr">
        <is>
          <t>是</t>
        </is>
      </c>
      <c r="X776" t="inlineStr">
        <is>
          <t>历史导入:民族团结进步促进法舆情统计最终版_非支持原话全量汇总最终版.xlsx；证据状态:原始复核证据；记录类型:逐条直接证据；复核:评论日期2026-07-06，公开地区青海；原话在截图可见。复核后维持“明确批评”分类。直接批评频繁强调民族议题及作者言行不一。；来源:562e200c-ed5b-4cc5-b965-7d32697488ff.xlsx；民族团结进步促进法舆情统计_含非支持来源与原话_最终完整核查版.xlsx/非支持态度复核；非支持来源与原话；重复来源数:2</t>
        </is>
      </c>
    </row>
    <row r="777">
      <c r="A777" t="inlineStr">
        <is>
          <t>hist-0b3bbfd6fb658f6f</t>
        </is>
      </c>
      <c r="B777" s="82" t="n">
        <v>46252.9403587963</v>
      </c>
      <c r="D777" t="inlineStr">
        <is>
          <t>快手</t>
        </is>
      </c>
      <c r="E777" t="inlineStr">
        <is>
          <t>快手</t>
        </is>
      </c>
      <c r="F777" t="inlineStr">
        <is>
          <t>逐条直接证据</t>
        </is>
      </c>
      <c r="G777" t="inlineStr">
        <is>
          <t>胡子哥</t>
        </is>
      </c>
      <c r="H777" t="inlineStr">
        <is>
          <t>只要不去掉白帽干坏事，只要不嫖、不赌、不打、不骂、不骗、不拐、不偷、不抢、不围攻闹事。不伪装。我们都是一家人，团结和睦。</t>
        </is>
      </c>
      <c r="I777" t="inlineStr">
        <is>
          <t>https://v.kuaishou.com/KnkLfjuc</t>
        </is>
      </c>
      <c r="J777" t="inlineStr">
        <is>
          <t>甘肃</t>
        </is>
      </c>
      <c r="L777" t="inlineStr">
        <is>
          <t>甘肃</t>
        </is>
      </c>
      <c r="O777" t="inlineStr">
        <is>
          <t>中文</t>
        </is>
      </c>
      <c r="P777" t="inlineStr">
        <is>
          <t>否</t>
        </is>
      </c>
      <c r="Q777" t="inlineStr">
        <is>
          <t>歧视偏见</t>
        </is>
      </c>
      <c r="R777" t="inlineStr">
        <is>
          <t>宗教服饰刻板印象；民族团结</t>
        </is>
      </c>
      <c r="S777" t="n">
        <v>0</v>
      </c>
      <c r="T777" t="n">
        <v>0</v>
      </c>
      <c r="U777" t="n">
        <v>0</v>
      </c>
      <c r="V777" t="inlineStr">
        <is>
          <t>否</t>
        </is>
      </c>
      <c r="W777" t="inlineStr">
        <is>
          <t>是</t>
        </is>
      </c>
      <c r="X777" t="inlineStr">
        <is>
          <t>历史导入:民族团结进步促进法舆情统计最终版_非支持原话全量汇总最终版.xlsx；证据状态:原始复核证据；记录类型:逐条直接证据；复核:评论日期2026-07-04，公开地区甘肃；原话在截图可见。复核后维持“歧视偏见”分类。虽以团结结尾，但前半对宗教服饰群体作刻板化风险关联，按歧视偏见记录。；来源:562e200c-ed5b-4cc5-b965-7d32697488ff.xlsx；民族团结进步促进法舆情统计_含非支持来源与原话_最终完整核查版.xlsx/非支持态度复核；非支持来源与原话；重复来源数:2</t>
        </is>
      </c>
    </row>
    <row r="778">
      <c r="A778" t="inlineStr">
        <is>
          <t>hist-69266dec4ead12bd</t>
        </is>
      </c>
      <c r="B778" s="82" t="n">
        <v>46252.9403587963</v>
      </c>
      <c r="D778" t="inlineStr">
        <is>
          <t>快手</t>
        </is>
      </c>
      <c r="E778" t="inlineStr">
        <is>
          <t>快手</t>
        </is>
      </c>
      <c r="F778" t="inlineStr">
        <is>
          <t>逐条直接证据</t>
        </is>
      </c>
      <c r="G778" t="inlineStr">
        <is>
          <t>胡子哥</t>
        </is>
      </c>
      <c r="H778" t="inlineStr">
        <is>
          <t>只要不是中国化，就是极端</t>
        </is>
      </c>
      <c r="I778" t="inlineStr">
        <is>
          <t>https://v.kuaishou.com/KnkLfjuc</t>
        </is>
      </c>
      <c r="J778" t="inlineStr">
        <is>
          <t>甘肃</t>
        </is>
      </c>
      <c r="L778" t="inlineStr">
        <is>
          <t>甘肃</t>
        </is>
      </c>
      <c r="O778" t="inlineStr">
        <is>
          <t>中文</t>
        </is>
      </c>
      <c r="P778" t="inlineStr">
        <is>
          <t>否</t>
        </is>
      </c>
      <c r="Q778" t="inlineStr">
        <is>
          <t>明确批评</t>
        </is>
      </c>
      <c r="R778" t="inlineStr">
        <is>
          <t>宗教中国化；极端化认定</t>
        </is>
      </c>
      <c r="S778" t="n">
        <v>0</v>
      </c>
      <c r="T778" t="n">
        <v>0</v>
      </c>
      <c r="U778" t="n">
        <v>0</v>
      </c>
      <c r="V778" t="inlineStr">
        <is>
          <t>否</t>
        </is>
      </c>
      <c r="W778" t="inlineStr">
        <is>
          <t>是</t>
        </is>
      </c>
      <c r="X778" t="inlineStr">
        <is>
          <t>历史导入:民族团结进步促进法舆情统计最终版_非支持原话全量汇总最终版.xlsx；证据状态:原始复核证据；记录类型:逐条直接证据；复核:评论日期2026-07-27，公开地区山东；原话在截图可见。复核后维持“明确批评”分类。对“宗教中国化/极端化”的表达提出明显批判性判断。；来源:562e200c-ed5b-4cc5-b965-7d32697488ff.xlsx；民族团结进步促进法舆情统计_含非支持来源与原话_最终完整核查版.xlsx/非支持态度复核；非支持来源与原话；重复来源数:2</t>
        </is>
      </c>
    </row>
    <row r="779">
      <c r="A779" t="inlineStr">
        <is>
          <t>hist-26f44a8090213be9</t>
        </is>
      </c>
      <c r="B779" s="82" t="n">
        <v>46252.9403587963</v>
      </c>
      <c r="D779" t="inlineStr">
        <is>
          <t>快手</t>
        </is>
      </c>
      <c r="E779" t="inlineStr">
        <is>
          <t>快手</t>
        </is>
      </c>
      <c r="F779" t="inlineStr">
        <is>
          <t>逐条直接证据</t>
        </is>
      </c>
      <c r="G779" t="inlineStr">
        <is>
          <t>胡子哥</t>
        </is>
      </c>
      <c r="H779" t="inlineStr">
        <is>
          <t>只要你言行一致很好，就怕说一套做一套就没意思了，对不？</t>
        </is>
      </c>
      <c r="I779" t="inlineStr">
        <is>
          <t>https://v.kuaishou.com/KnkLfjuc</t>
        </is>
      </c>
      <c r="J779" t="inlineStr">
        <is>
          <t>甘肃</t>
        </is>
      </c>
      <c r="L779" t="inlineStr">
        <is>
          <t>甘肃</t>
        </is>
      </c>
      <c r="O779" t="inlineStr">
        <is>
          <t>中文</t>
        </is>
      </c>
      <c r="P779" t="inlineStr">
        <is>
          <t>否</t>
        </is>
      </c>
      <c r="Q779" t="inlineStr">
        <is>
          <t>担忧影响</t>
        </is>
      </c>
      <c r="R779" t="inlineStr">
        <is>
          <t>执行一致性；作者可信度</t>
        </is>
      </c>
      <c r="S779" t="n">
        <v>0</v>
      </c>
      <c r="T779" t="n">
        <v>0</v>
      </c>
      <c r="U779" t="n">
        <v>0</v>
      </c>
      <c r="V779" t="inlineStr">
        <is>
          <t>否</t>
        </is>
      </c>
      <c r="W779" t="inlineStr">
        <is>
          <t>是</t>
        </is>
      </c>
      <c r="X779" t="inlineStr">
        <is>
          <t>历史导入:民族团结进步促进法舆情统计最终版_非支持原话全量汇总最终版.xlsx；证据状态:原始复核证据；记录类型:逐条直接证据；复核:评论日期2026-07-03，公开地区甘肃；原话在截图可见。复核后维持“担忧影响”分类。表达对言行不一致的担忧。；来源:562e200c-ed5b-4cc5-b965-7d32697488ff.xlsx；民族团结进步促进法舆情统计_含非支持来源与原话_最终完整核查版.xlsx/非支持态度复核；非支持来源与原话；重复来源数:2</t>
        </is>
      </c>
    </row>
    <row r="780">
      <c r="A780" t="inlineStr">
        <is>
          <t>hist-60e86081ec05b922</t>
        </is>
      </c>
      <c r="B780" s="82" t="n">
        <v>46252.9403587963</v>
      </c>
      <c r="D780" t="inlineStr">
        <is>
          <t>快手</t>
        </is>
      </c>
      <c r="E780" t="inlineStr">
        <is>
          <t>快手</t>
        </is>
      </c>
      <c r="F780" t="inlineStr">
        <is>
          <t>逐条直接证据</t>
        </is>
      </c>
      <c r="G780" t="inlineStr">
        <is>
          <t>胡子哥</t>
        </is>
      </c>
      <c r="H780" t="inlineStr">
        <is>
          <t>多话不说想想国家军队心苦为民，你们都享受富余生活，成天民族挂在嘴边，你的烦不烦，多希望回族朋友出一个名人让中国人思想开放全中国人团结一心</t>
        </is>
      </c>
      <c r="I780" t="inlineStr">
        <is>
          <t>https://v.kuaishou.com/KnkLfjuc</t>
        </is>
      </c>
      <c r="J780" t="inlineStr">
        <is>
          <t>甘肃</t>
        </is>
      </c>
      <c r="L780" t="inlineStr">
        <is>
          <t>甘肃</t>
        </is>
      </c>
      <c r="O780" t="inlineStr">
        <is>
          <t>中文</t>
        </is>
      </c>
      <c r="P780" t="inlineStr">
        <is>
          <t>否</t>
        </is>
      </c>
      <c r="Q780" t="inlineStr">
        <is>
          <t>明确批评</t>
        </is>
      </c>
      <c r="R780" t="inlineStr">
        <is>
          <t>反感民族议题反复传播；民族团结</t>
        </is>
      </c>
      <c r="S780" t="n">
        <v>0</v>
      </c>
      <c r="T780" t="n">
        <v>0</v>
      </c>
      <c r="U780" t="n">
        <v>0</v>
      </c>
      <c r="V780" t="inlineStr">
        <is>
          <t>否</t>
        </is>
      </c>
      <c r="W780" t="inlineStr">
        <is>
          <t>是</t>
        </is>
      </c>
      <c r="X780" t="inlineStr">
        <is>
          <t>历史导入:民族团结进步促进法舆情统计最终版_非支持原话全量汇总最终版.xlsx；证据状态:原始复核证据；记录类型:逐条直接证据；复核:评论日期2026-07-06，公开地区甘肃；原话在截图可见。复核后维持“明确批评”分类。一方面希望团结，一方面明确批评反复强调民族身份议题。；来源:562e200c-ed5b-4cc5-b965-7d32697488ff.xlsx；民族团结进步促进法舆情统计_含非支持来源与原话_最终完整核查版.xlsx/非支持态度复核；非支持来源与原话；重复来源数:2</t>
        </is>
      </c>
    </row>
    <row r="781">
      <c r="A781" t="inlineStr">
        <is>
          <t>hist-10d51331eeac14d9</t>
        </is>
      </c>
      <c r="B781" s="82" t="n">
        <v>46252.9403587963</v>
      </c>
      <c r="D781" t="inlineStr">
        <is>
          <t>快手</t>
        </is>
      </c>
      <c r="E781" t="inlineStr">
        <is>
          <t>快手</t>
        </is>
      </c>
      <c r="F781" t="inlineStr">
        <is>
          <t>逐条直接证据</t>
        </is>
      </c>
      <c r="G781" t="inlineStr">
        <is>
          <t>胡子哥</t>
        </is>
      </c>
      <c r="H781" t="inlineStr">
        <is>
          <t>大家都散了，取消关注，你就不能讲点其他的话题吗？流量能给带来多少钱，一把年纪了干点实实在在的事情不好吗？</t>
        </is>
      </c>
      <c r="I781" t="inlineStr">
        <is>
          <t>https://v.kuaishou.com/KnkLfjuc</t>
        </is>
      </c>
      <c r="J781" t="inlineStr">
        <is>
          <t>甘肃</t>
        </is>
      </c>
      <c r="L781" t="inlineStr">
        <is>
          <t>甘肃</t>
        </is>
      </c>
      <c r="O781" t="inlineStr">
        <is>
          <t>中文</t>
        </is>
      </c>
      <c r="P781" t="inlineStr">
        <is>
          <t>否</t>
        </is>
      </c>
      <c r="Q781" t="inlineStr">
        <is>
          <t>明确批评</t>
        </is>
      </c>
      <c r="R781" t="inlineStr">
        <is>
          <t>反感相关议题传播；作者动机质疑</t>
        </is>
      </c>
      <c r="S781" t="n">
        <v>0</v>
      </c>
      <c r="T781" t="n">
        <v>0</v>
      </c>
      <c r="U781" t="n">
        <v>0</v>
      </c>
      <c r="V781" t="inlineStr">
        <is>
          <t>否</t>
        </is>
      </c>
      <c r="W781" t="inlineStr">
        <is>
          <t>是</t>
        </is>
      </c>
      <c r="X781" t="inlineStr">
        <is>
          <t>历史导入:民族团结进步促进法舆情统计最终版_非支持原话全量汇总最终版.xlsx；证据状态:原始复核证据；记录类型:逐条直接证据；复核:评论日期2026-08-04，公开地区广东；原话在截图可见。复核后维持“明确批评”分类。直接反对继续发布此类主题内容并质疑流量动机。；来源:562e200c-ed5b-4cc5-b965-7d32697488ff.xlsx；民族团结进步促进法舆情统计_含非支持来源与原话_最终完整核查版.xlsx/非支持态度复核；非支持来源与原话；重复来源数:2</t>
        </is>
      </c>
    </row>
    <row r="782">
      <c r="A782" t="inlineStr">
        <is>
          <t>hist-ffb1321056a33928</t>
        </is>
      </c>
      <c r="B782" s="82" t="n">
        <v>46252.9403587963</v>
      </c>
      <c r="D782" t="inlineStr">
        <is>
          <t>快手</t>
        </is>
      </c>
      <c r="E782" t="inlineStr">
        <is>
          <t>快手</t>
        </is>
      </c>
      <c r="F782" t="inlineStr">
        <is>
          <t>逐条直接证据</t>
        </is>
      </c>
      <c r="G782" t="inlineStr">
        <is>
          <t>胡子哥</t>
        </is>
      </c>
      <c r="H782" t="inlineStr">
        <is>
          <t>天天刷到这东西🚬🚬🚬</t>
        </is>
      </c>
      <c r="I782" t="inlineStr">
        <is>
          <t>https://v.kuaishou.com/KnkLfjuc</t>
        </is>
      </c>
      <c r="J782" t="inlineStr">
        <is>
          <t>甘肃</t>
        </is>
      </c>
      <c r="L782" t="inlineStr">
        <is>
          <t>甘肃</t>
        </is>
      </c>
      <c r="O782" t="inlineStr">
        <is>
          <t>中文</t>
        </is>
      </c>
      <c r="P782" t="inlineStr">
        <is>
          <t>否</t>
        </is>
      </c>
      <c r="Q782" t="inlineStr">
        <is>
          <t>明确批评</t>
        </is>
      </c>
      <c r="R782" t="inlineStr">
        <is>
          <t>反感内容重复传播</t>
        </is>
      </c>
      <c r="S782" t="n">
        <v>0</v>
      </c>
      <c r="T782" t="n">
        <v>0</v>
      </c>
      <c r="U782" t="n">
        <v>0</v>
      </c>
      <c r="V782" t="inlineStr">
        <is>
          <t>否</t>
        </is>
      </c>
      <c r="W782" t="inlineStr">
        <is>
          <t>是</t>
        </is>
      </c>
      <c r="X782" t="inlineStr">
        <is>
          <t>历史导入:民族团结进步促进法舆情统计最终版_非支持原话全量汇总最终版.xlsx；证据状态:原始复核证据；记录类型:逐条直接证据；复核:评论日期2026-07-04，公开地区甘肃；原话在截图可见。复核后维持“明确批评”分类。对持续看到此类内容表达明显反感。；来源:562e200c-ed5b-4cc5-b965-7d32697488ff.xlsx；民族团结进步促进法舆情统计_含非支持来源与原话_最终完整核查版.xlsx/非支持态度复核；非支持来源与原话；重复来源数:2</t>
        </is>
      </c>
    </row>
    <row r="783">
      <c r="A783" t="inlineStr">
        <is>
          <t>hist-b54a99f44ed27da6</t>
        </is>
      </c>
      <c r="B783" s="82" t="n">
        <v>46252.9403587963</v>
      </c>
      <c r="D783" t="inlineStr">
        <is>
          <t>快手</t>
        </is>
      </c>
      <c r="E783" t="inlineStr">
        <is>
          <t>快手</t>
        </is>
      </c>
      <c r="F783" t="inlineStr">
        <is>
          <t>逐条直接证据</t>
        </is>
      </c>
      <c r="G783" t="inlineStr">
        <is>
          <t>胡子哥</t>
        </is>
      </c>
      <c r="H783" t="inlineStr">
        <is>
          <t>头顶一块布，赶紧把光明挖，其他的你说不清楚😊U</t>
        </is>
      </c>
      <c r="I783" t="inlineStr">
        <is>
          <t>https://v.kuaishou.com/KnkLfjuc</t>
        </is>
      </c>
      <c r="J783" t="inlineStr">
        <is>
          <t>甘肃</t>
        </is>
      </c>
      <c r="L783" t="inlineStr">
        <is>
          <t>甘肃</t>
        </is>
      </c>
      <c r="O783" t="inlineStr">
        <is>
          <t>中文</t>
        </is>
      </c>
      <c r="P783" t="inlineStr">
        <is>
          <t>否</t>
        </is>
      </c>
      <c r="Q783" t="inlineStr">
        <is>
          <t>歧视偏见</t>
        </is>
      </c>
      <c r="R783" t="inlineStr">
        <is>
          <t>宗教服饰/群体偏见</t>
        </is>
      </c>
      <c r="S783" t="n">
        <v>0</v>
      </c>
      <c r="T783" t="n">
        <v>0</v>
      </c>
      <c r="U783" t="n">
        <v>0</v>
      </c>
      <c r="V783" t="inlineStr">
        <is>
          <t>否</t>
        </is>
      </c>
      <c r="W783" t="inlineStr">
        <is>
          <t>是</t>
        </is>
      </c>
      <c r="X783" t="inlineStr">
        <is>
          <t>历史导入:民族团结进步促进法舆情统计最终版_非支持原话全量汇总最终版.xlsx；证据状态:原始复核证据；记录类型:逐条直接证据；复核:评论日期2026-07-05，公开地区青海；原话在截图可见。复核后维持“歧视偏见”分类。以宗教服饰为对象作贬损性表达。；来源:562e200c-ed5b-4cc5-b965-7d32697488ff.xlsx；民族团结进步促进法舆情统计_含非支持来源与原话_最终完整核查版.xlsx/非支持态度复核；非支持来源与原话；重复来源数:2</t>
        </is>
      </c>
    </row>
    <row r="784">
      <c r="A784" t="inlineStr">
        <is>
          <t>hist-cebb2333989d4ffc</t>
        </is>
      </c>
      <c r="B784" s="82" t="n">
        <v>46252.9403587963</v>
      </c>
      <c r="D784" t="inlineStr">
        <is>
          <t>快手</t>
        </is>
      </c>
      <c r="E784" t="inlineStr">
        <is>
          <t>快手</t>
        </is>
      </c>
      <c r="F784" t="inlineStr">
        <is>
          <t>逐条直接证据</t>
        </is>
      </c>
      <c r="G784" t="inlineStr">
        <is>
          <t>胡子哥</t>
        </is>
      </c>
      <c r="H784" t="inlineStr">
        <is>
          <t>应该取消少数加分 都是两个肩膀一张嘴 汉人也不是三头六臂 公平对待 共同努力 不做寄生虫 我也是少数</t>
        </is>
      </c>
      <c r="I784" t="inlineStr">
        <is>
          <t>https://v.kuaishou.com/KnkLfjuc</t>
        </is>
      </c>
      <c r="J784" t="inlineStr">
        <is>
          <t>甘肃</t>
        </is>
      </c>
      <c r="L784" t="inlineStr">
        <is>
          <t>甘肃</t>
        </is>
      </c>
      <c r="O784" t="inlineStr">
        <is>
          <t>中文</t>
        </is>
      </c>
      <c r="P784" t="inlineStr">
        <is>
          <t>否</t>
        </is>
      </c>
      <c r="Q784" t="inlineStr">
        <is>
          <t>公平争议</t>
        </is>
      </c>
      <c r="R784" t="inlineStr">
        <is>
          <t>民族政策公平；教育加分</t>
        </is>
      </c>
      <c r="S784" t="n">
        <v>0</v>
      </c>
      <c r="T784" t="n">
        <v>0</v>
      </c>
      <c r="U784" t="n">
        <v>0</v>
      </c>
      <c r="V784" t="inlineStr">
        <is>
          <t>否</t>
        </is>
      </c>
      <c r="W784" t="inlineStr">
        <is>
          <t>是</t>
        </is>
      </c>
      <c r="X784" t="inlineStr">
        <is>
          <t>历史导入:民族团结进步促进法舆情统计最终版_非支持原话全量汇总最终版.xlsx；证据状态:原始复核证据；记录类型:逐条直接证据；复核:评论日期2026-07-06，公开地区青海；原话在截图可见。复核后维持“公平争议”分类。明确讨论少数民族加分政策公平性。；来源:562e200c-ed5b-4cc5-b965-7d32697488ff.xlsx；民族团结进步促进法舆情统计_含非支持来源与原话_最终完整核查版.xlsx/非支持态度复核；非支持来源与原话；重复来源数:2</t>
        </is>
      </c>
    </row>
    <row r="785">
      <c r="A785" t="inlineStr">
        <is>
          <t>hist-d1d971bf167e76d0</t>
        </is>
      </c>
      <c r="B785" s="82" t="n">
        <v>46252.9403587963</v>
      </c>
      <c r="D785" t="inlineStr">
        <is>
          <t>快手</t>
        </is>
      </c>
      <c r="E785" t="inlineStr">
        <is>
          <t>快手</t>
        </is>
      </c>
      <c r="F785" t="inlineStr">
        <is>
          <t>逐条直接证据</t>
        </is>
      </c>
      <c r="G785" t="inlineStr">
        <is>
          <t>胡子哥</t>
        </is>
      </c>
      <c r="H785" t="inlineStr">
        <is>
          <t>我也是这样认为的👍</t>
        </is>
      </c>
      <c r="I785" t="inlineStr">
        <is>
          <t>https://v.kuaishou.com/KnkLfjuc</t>
        </is>
      </c>
      <c r="J785" t="inlineStr">
        <is>
          <t>甘肃</t>
        </is>
      </c>
      <c r="L785" t="inlineStr">
        <is>
          <t>甘肃</t>
        </is>
      </c>
      <c r="O785" t="inlineStr">
        <is>
          <t>中文</t>
        </is>
      </c>
      <c r="P785" t="inlineStr">
        <is>
          <t>否</t>
        </is>
      </c>
      <c r="Q785" t="inlineStr">
        <is>
          <t>明确批评</t>
        </is>
      </c>
      <c r="R785" t="inlineStr">
        <is>
          <t>对负面评价的认同</t>
        </is>
      </c>
      <c r="S785" t="n">
        <v>0</v>
      </c>
      <c r="T785" t="n">
        <v>0</v>
      </c>
      <c r="U785" t="n">
        <v>0</v>
      </c>
      <c r="V785" t="inlineStr">
        <is>
          <t>否</t>
        </is>
      </c>
      <c r="W785" t="inlineStr">
        <is>
          <t>是</t>
        </is>
      </c>
      <c r="X785" t="inlineStr">
        <is>
          <t>历史导入:民族团结进步促进法舆情统计最终版_非支持原话全量汇总最终版.xlsx；证据状态:原始复核证据；记录类型:逐条直接证据；复核:评论日期2026-07-03，公开地区甘肃；原话在截图可见。复核后维持“明确批评”分类。公开回复明确认同“都是假的”。；来源:562e200c-ed5b-4cc5-b965-7d32697488ff.xlsx；民族团结进步促进法舆情统计_含非支持来源与原话_最终完整核查版.xlsx/非支持态度复核；非支持来源与原话；重复来源数:2</t>
        </is>
      </c>
    </row>
    <row r="786">
      <c r="A786" t="inlineStr">
        <is>
          <t>hist-b7bb6d975299f8db</t>
        </is>
      </c>
      <c r="B786" s="82" t="n">
        <v>46252.9403587963</v>
      </c>
      <c r="D786" t="inlineStr">
        <is>
          <t>快手</t>
        </is>
      </c>
      <c r="E786" t="inlineStr">
        <is>
          <t>快手</t>
        </is>
      </c>
      <c r="F786" t="inlineStr">
        <is>
          <t>逐条直接证据</t>
        </is>
      </c>
      <c r="G786" t="inlineStr">
        <is>
          <t>胡子哥</t>
        </is>
      </c>
      <c r="H786" t="inlineStr">
        <is>
          <t>我们这小帽一戴，白酒一斤起步</t>
        </is>
      </c>
      <c r="I786" t="inlineStr">
        <is>
          <t>https://v.kuaishou.com/KnkLfjuc</t>
        </is>
      </c>
      <c r="J786" t="inlineStr">
        <is>
          <t>甘肃</t>
        </is>
      </c>
      <c r="L786" t="inlineStr">
        <is>
          <t>甘肃</t>
        </is>
      </c>
      <c r="O786" t="inlineStr">
        <is>
          <t>中文</t>
        </is>
      </c>
      <c r="P786" t="inlineStr">
        <is>
          <t>否</t>
        </is>
      </c>
      <c r="Q786" t="inlineStr">
        <is>
          <t>歧视偏见</t>
        </is>
      </c>
      <c r="R786" t="inlineStr">
        <is>
          <t>宗教服饰/饮食刻板印象</t>
        </is>
      </c>
      <c r="S786" t="n">
        <v>0</v>
      </c>
      <c r="T786" t="n">
        <v>0</v>
      </c>
      <c r="U786" t="n">
        <v>0</v>
      </c>
      <c r="V786" t="inlineStr">
        <is>
          <t>否</t>
        </is>
      </c>
      <c r="W786" t="inlineStr">
        <is>
          <t>是</t>
        </is>
      </c>
      <c r="X786" t="inlineStr">
        <is>
          <t>历史导入:民族团结进步促进法舆情统计最终版_非支持原话全量汇总最终版.xlsx；证据状态:原始复核证据；记录类型:逐条直接证据；复核:评论日期2026-07-04，公开地区河北；原话在截图可见。复核后维持“歧视偏见”分类。以宗教服饰与饮酒作刻板化调侃，按歧视偏见记录。；来源:562e200c-ed5b-4cc5-b965-7d32697488ff.xlsx；民族团结进步促进法舆情统计_含非支持来源与原话_最终完整核查版.xlsx/非支持态度复核；非支持来源与原话；重复来源数:2</t>
        </is>
      </c>
    </row>
    <row r="787">
      <c r="A787" t="inlineStr">
        <is>
          <t>hist-2d1c85d8a09fab41</t>
        </is>
      </c>
      <c r="B787" s="82" t="n">
        <v>46252.9403587963</v>
      </c>
      <c r="D787" t="inlineStr">
        <is>
          <t>快手</t>
        </is>
      </c>
      <c r="E787" t="inlineStr">
        <is>
          <t>快手</t>
        </is>
      </c>
      <c r="F787" t="inlineStr">
        <is>
          <t>逐条直接证据</t>
        </is>
      </c>
      <c r="G787" t="inlineStr">
        <is>
          <t>胡子哥</t>
        </is>
      </c>
      <c r="H787" t="inlineStr">
        <is>
          <t>我觉得你是岛国的后代，可能是侵华时候留下的种</t>
        </is>
      </c>
      <c r="I787" t="inlineStr">
        <is>
          <t>https://v.kuaishou.com/KnkLfjuc</t>
        </is>
      </c>
      <c r="J787" t="inlineStr">
        <is>
          <t>甘肃</t>
        </is>
      </c>
      <c r="L787" t="inlineStr">
        <is>
          <t>甘肃</t>
        </is>
      </c>
      <c r="O787" t="inlineStr">
        <is>
          <t>中文</t>
        </is>
      </c>
      <c r="P787" t="inlineStr">
        <is>
          <t>否</t>
        </is>
      </c>
      <c r="Q787" t="inlineStr">
        <is>
          <t>歧视偏见</t>
        </is>
      </c>
      <c r="R787" t="inlineStr">
        <is>
          <t>国族/血统攻击</t>
        </is>
      </c>
      <c r="S787" t="n">
        <v>0</v>
      </c>
      <c r="T787" t="n">
        <v>0</v>
      </c>
      <c r="U787" t="n">
        <v>0</v>
      </c>
      <c r="V787" t="inlineStr">
        <is>
          <t>否</t>
        </is>
      </c>
      <c r="W787" t="inlineStr">
        <is>
          <t>是</t>
        </is>
      </c>
      <c r="X787" t="inlineStr">
        <is>
          <t>历史导入:民族团结进步促进法舆情统计最终版_非支持原话全量汇总最终版.xlsx；证据状态:原始复核证据；记录类型:逐条直接证据；复核:评论日期2026-07-20，公开地区青海；原话在截图可见。复核后维持“歧视偏见”分类。含明显血统与国族攻击性表达，按歧视偏见记录。；来源:562e200c-ed5b-4cc5-b965-7d32697488ff.xlsx；民族团结进步促进法舆情统计_含非支持来源与原话_最终完整核查版.xlsx/非支持态度复核；非支持来源与原话；重复来源数:2</t>
        </is>
      </c>
    </row>
    <row r="788">
      <c r="A788" t="inlineStr">
        <is>
          <t>hist-00c6cd1a47477b93</t>
        </is>
      </c>
      <c r="B788" s="82" t="n">
        <v>46252.9403587963</v>
      </c>
      <c r="D788" t="inlineStr">
        <is>
          <t>快手</t>
        </is>
      </c>
      <c r="E788" t="inlineStr">
        <is>
          <t>快手</t>
        </is>
      </c>
      <c r="F788" t="inlineStr">
        <is>
          <t>逐条直接证据</t>
        </is>
      </c>
      <c r="G788" t="inlineStr">
        <is>
          <t>胡子哥</t>
        </is>
      </c>
      <c r="H788" t="inlineStr">
        <is>
          <t>时代裹挟着你😂即便是你有正确的思想😂也由不得你了😂😂😂</t>
        </is>
      </c>
      <c r="I788" t="inlineStr">
        <is>
          <t>https://v.kuaishou.com/KnkLfjuc</t>
        </is>
      </c>
      <c r="J788" t="inlineStr">
        <is>
          <t>甘肃</t>
        </is>
      </c>
      <c r="L788" t="inlineStr">
        <is>
          <t>甘肃</t>
        </is>
      </c>
      <c r="O788" t="inlineStr">
        <is>
          <t>中文</t>
        </is>
      </c>
      <c r="P788" t="inlineStr">
        <is>
          <t>否</t>
        </is>
      </c>
      <c r="Q788" t="inlineStr">
        <is>
          <t>明确批评</t>
        </is>
      </c>
      <c r="R788" t="inlineStr">
        <is>
          <t>对作者/表达环境的批评</t>
        </is>
      </c>
      <c r="S788" t="n">
        <v>0</v>
      </c>
      <c r="T788" t="n">
        <v>0</v>
      </c>
      <c r="U788" t="n">
        <v>0</v>
      </c>
      <c r="V788" t="inlineStr">
        <is>
          <t>否</t>
        </is>
      </c>
      <c r="W788" t="inlineStr">
        <is>
          <t>是</t>
        </is>
      </c>
      <c r="X788" t="inlineStr">
        <is>
          <t>历史导入:民族团结进步促进法舆情统计最终版_非支持原话全量汇总最终版.xlsx；证据状态:原始复核证据；记录类型:逐条直接证据；复核:评论日期2026-07-01，公开地区甘肃；原话在截图可见。复核后维持“明确批评”分类。对母帖作者及其表达处境作负面评价。；来源:562e200c-ed5b-4cc5-b965-7d32697488ff.xlsx；民族团结进步促进法舆情统计_含非支持来源与原话_最终完整核查版.xlsx/非支持态度复核；非支持来源与原话；重复来源数:2</t>
        </is>
      </c>
    </row>
    <row r="789">
      <c r="A789" t="inlineStr">
        <is>
          <t>hist-18501c6ff5a5d054</t>
        </is>
      </c>
      <c r="B789" s="82" t="n">
        <v>46252.9403587963</v>
      </c>
      <c r="D789" t="inlineStr">
        <is>
          <t>快手</t>
        </is>
      </c>
      <c r="E789" t="inlineStr">
        <is>
          <t>快手</t>
        </is>
      </c>
      <c r="F789" t="inlineStr">
        <is>
          <t>逐条直接证据</t>
        </is>
      </c>
      <c r="G789" t="inlineStr">
        <is>
          <t>胡子哥</t>
        </is>
      </c>
      <c r="H789" t="inlineStr">
        <is>
          <t>明白人</t>
        </is>
      </c>
      <c r="I789" t="inlineStr">
        <is>
          <t>https://v.kuaishou.com/KnkLfjuc</t>
        </is>
      </c>
      <c r="J789" t="inlineStr">
        <is>
          <t>甘肃</t>
        </is>
      </c>
      <c r="L789" t="inlineStr">
        <is>
          <t>甘肃</t>
        </is>
      </c>
      <c r="O789" t="inlineStr">
        <is>
          <t>中文</t>
        </is>
      </c>
      <c r="P789" t="inlineStr">
        <is>
          <t>否</t>
        </is>
      </c>
      <c r="Q789" t="inlineStr">
        <is>
          <t>公平争议</t>
        </is>
      </c>
      <c r="R789" t="inlineStr">
        <is>
          <t>民族分类；回复支持</t>
        </is>
      </c>
      <c r="S789" t="n">
        <v>0</v>
      </c>
      <c r="T789" t="n">
        <v>0</v>
      </c>
      <c r="U789" t="n">
        <v>0</v>
      </c>
      <c r="V789" t="inlineStr">
        <is>
          <t>否</t>
        </is>
      </c>
      <c r="W789" t="inlineStr">
        <is>
          <t>是</t>
        </is>
      </c>
      <c r="X789" t="inlineStr">
        <is>
          <t>历史导入:民族团结进步促进法舆情统计最终版_非支持原话全量汇总最终版.xlsx；证据状态:原始复核证据；记录类型:逐条直接证据；复核:评论日期2026-07-07，公开地区江苏；原话在截图可见。复核后维持“公平争议”分类。截图上下文显示为对上一条“团结的民族从不说五十六”的认同。；来源:562e200c-ed5b-4cc5-b965-7d32697488ff.xlsx；民族团结进步促进法舆情统计_含非支持来源与原话_最终完整核查版.xlsx/非支持态度复核；非支持来源与原话；重复来源数:2</t>
        </is>
      </c>
    </row>
    <row r="790">
      <c r="A790" t="inlineStr">
        <is>
          <t>hist-4d90063b5fddf8b9</t>
        </is>
      </c>
      <c r="B790" s="82" t="n">
        <v>46252.9403587963</v>
      </c>
      <c r="D790" t="inlineStr">
        <is>
          <t>快手</t>
        </is>
      </c>
      <c r="E790" t="inlineStr">
        <is>
          <t>快手</t>
        </is>
      </c>
      <c r="F790" t="inlineStr">
        <is>
          <t>逐条直接证据</t>
        </is>
      </c>
      <c r="G790" t="inlineStr">
        <is>
          <t>胡子哥</t>
        </is>
      </c>
      <c r="H790" t="inlineStr">
        <is>
          <t>明白人，，，嘴上说的不是心里想做的，，，🌼</t>
        </is>
      </c>
      <c r="I790" t="inlineStr">
        <is>
          <t>https://v.kuaishou.com/KnkLfjuc</t>
        </is>
      </c>
      <c r="J790" t="inlineStr">
        <is>
          <t>甘肃</t>
        </is>
      </c>
      <c r="L790" t="inlineStr">
        <is>
          <t>甘肃</t>
        </is>
      </c>
      <c r="O790" t="inlineStr">
        <is>
          <t>中文</t>
        </is>
      </c>
      <c r="P790" t="inlineStr">
        <is>
          <t>否</t>
        </is>
      </c>
      <c r="Q790" t="inlineStr">
        <is>
          <t>明确批评</t>
        </is>
      </c>
      <c r="R790" t="inlineStr">
        <is>
          <t>作者可信度；言行一致</t>
        </is>
      </c>
      <c r="S790" t="n">
        <v>0</v>
      </c>
      <c r="T790" t="n">
        <v>0</v>
      </c>
      <c r="U790" t="n">
        <v>0</v>
      </c>
      <c r="V790" t="inlineStr">
        <is>
          <t>否</t>
        </is>
      </c>
      <c r="W790" t="inlineStr">
        <is>
          <t>是</t>
        </is>
      </c>
      <c r="X790" t="inlineStr">
        <is>
          <t>历史导入:民族团结进步促进法舆情统计最终版_非支持原话全量汇总最终版.xlsx；证据状态:原始复核证据；记录类型:逐条直接证据；复核:评论日期2026-07-03，公开地区宁夏；原话在截图可见。复核后维持“明确批评”分类。直接质疑作者表里不一。；来源:562e200c-ed5b-4cc5-b965-7d32697488ff.xlsx；民族团结进步促进法舆情统计_含非支持来源与原话_最终完整核查版.xlsx/非支持态度复核；非支持来源与原话；重复来源数:2</t>
        </is>
      </c>
    </row>
    <row r="791">
      <c r="A791" t="inlineStr">
        <is>
          <t>hist-6ec68832f4ecc5f8</t>
        </is>
      </c>
      <c r="B791" s="82" t="n">
        <v>46252.9403587963</v>
      </c>
      <c r="D791" t="inlineStr">
        <is>
          <t>快手</t>
        </is>
      </c>
      <c r="E791" t="inlineStr">
        <is>
          <t>快手</t>
        </is>
      </c>
      <c r="F791" t="inlineStr">
        <is>
          <t>逐条直接证据</t>
        </is>
      </c>
      <c r="G791" t="inlineStr">
        <is>
          <t>胡子哥</t>
        </is>
      </c>
      <c r="H791" t="inlineStr">
        <is>
          <t>明白人👍</t>
        </is>
      </c>
      <c r="I791" t="inlineStr">
        <is>
          <t>https://v.kuaishou.com/KnkLfjuc</t>
        </is>
      </c>
      <c r="J791" t="inlineStr">
        <is>
          <t>甘肃</t>
        </is>
      </c>
      <c r="L791" t="inlineStr">
        <is>
          <t>甘肃</t>
        </is>
      </c>
      <c r="O791" t="inlineStr">
        <is>
          <t>中文</t>
        </is>
      </c>
      <c r="P791" t="inlineStr">
        <is>
          <t>否</t>
        </is>
      </c>
      <c r="Q791" t="inlineStr">
        <is>
          <t>公平争议</t>
        </is>
      </c>
      <c r="R791" t="inlineStr">
        <is>
          <t>对公平争议观点认同</t>
        </is>
      </c>
      <c r="S791" t="n">
        <v>0</v>
      </c>
      <c r="T791" t="n">
        <v>0</v>
      </c>
      <c r="U791" t="n">
        <v>0</v>
      </c>
      <c r="V791" t="inlineStr">
        <is>
          <t>否</t>
        </is>
      </c>
      <c r="W791" t="inlineStr">
        <is>
          <t>是</t>
        </is>
      </c>
      <c r="X791" t="inlineStr">
        <is>
          <t>历史导入:民族团结进步促进法舆情统计最终版_非支持原话全量汇总最终版.xlsx；证据状态:原始复核证据；记录类型:逐条直接证据；复核:评论日期2026-07-03，公开地区宁夏；原话在截图可见。复核后维持“公平争议”分类。在同一争议线程中对前述观点表示认同。；来源:562e200c-ed5b-4cc5-b965-7d32697488ff.xlsx；民族团结进步促进法舆情统计_含非支持来源与原话_最终完整核查版.xlsx/非支持态度复核；非支持来源与原话；重复来源数:2</t>
        </is>
      </c>
    </row>
    <row r="792">
      <c r="A792" t="inlineStr">
        <is>
          <t>hist-7b4653cd37dca221</t>
        </is>
      </c>
      <c r="B792" s="82" t="n">
        <v>46252.9403587963</v>
      </c>
      <c r="D792" t="inlineStr">
        <is>
          <t>快手</t>
        </is>
      </c>
      <c r="E792" t="inlineStr">
        <is>
          <t>快手</t>
        </is>
      </c>
      <c r="F792" t="inlineStr">
        <is>
          <t>逐条直接证据</t>
        </is>
      </c>
      <c r="G792" t="inlineStr">
        <is>
          <t>胡子哥</t>
        </is>
      </c>
      <c r="H792" t="inlineStr">
        <is>
          <t>民族团结还要发奖状，你不会是外种吧，或者你不是中国人</t>
        </is>
      </c>
      <c r="I792" t="inlineStr">
        <is>
          <t>https://v.kuaishou.com/KnkLfjuc</t>
        </is>
      </c>
      <c r="J792" t="inlineStr">
        <is>
          <t>甘肃</t>
        </is>
      </c>
      <c r="L792" t="inlineStr">
        <is>
          <t>甘肃</t>
        </is>
      </c>
      <c r="O792" t="inlineStr">
        <is>
          <t>中文</t>
        </is>
      </c>
      <c r="P792" t="inlineStr">
        <is>
          <t>否</t>
        </is>
      </c>
      <c r="Q792" t="inlineStr">
        <is>
          <t>公平争议</t>
        </is>
      </c>
      <c r="R792" t="inlineStr">
        <is>
          <t>民族团结奖励；身份认同争议</t>
        </is>
      </c>
      <c r="S792" t="n">
        <v>0</v>
      </c>
      <c r="T792" t="n">
        <v>0</v>
      </c>
      <c r="U792" t="n">
        <v>0</v>
      </c>
      <c r="V792" t="inlineStr">
        <is>
          <t>否</t>
        </is>
      </c>
      <c r="W792" t="inlineStr">
        <is>
          <t>是</t>
        </is>
      </c>
      <c r="X792" t="inlineStr">
        <is>
          <t>历史导入:民族团结进步促进法舆情统计最终版_非支持原话全量汇总最终版.xlsx；证据状态:原始复核证据；记录类型:逐条直接证据；复核:评论日期2026-07-02，公开地区甘肃；原话在截图可见。复核后维持“公平争议”分类。质疑民族团结奖励及身份认同，属于民族议题公平争议。；来源:562e200c-ed5b-4cc5-b965-7d32697488ff.xlsx；民族团结进步促进法舆情统计_含非支持来源与原话_最终完整核查版.xlsx/非支持态度复核；非支持来源与原话；重复来源数:2</t>
        </is>
      </c>
    </row>
    <row r="793">
      <c r="A793" t="inlineStr">
        <is>
          <t>hist-186c34840c6352bf</t>
        </is>
      </c>
      <c r="B793" s="82" t="n">
        <v>46252.9403587963</v>
      </c>
      <c r="D793" t="inlineStr">
        <is>
          <t>快手</t>
        </is>
      </c>
      <c r="E793" t="inlineStr">
        <is>
          <t>快手</t>
        </is>
      </c>
      <c r="F793" t="inlineStr">
        <is>
          <t>逐条直接证据</t>
        </is>
      </c>
      <c r="G793" t="inlineStr">
        <is>
          <t>胡子哥</t>
        </is>
      </c>
      <c r="H793" t="inlineStr">
        <is>
          <t>没人会相信你</t>
        </is>
      </c>
      <c r="I793" t="inlineStr">
        <is>
          <t>https://v.kuaishou.com/KnkLfjuc</t>
        </is>
      </c>
      <c r="J793" t="inlineStr">
        <is>
          <t>甘肃</t>
        </is>
      </c>
      <c r="L793" t="inlineStr">
        <is>
          <t>甘肃</t>
        </is>
      </c>
      <c r="O793" t="inlineStr">
        <is>
          <t>中文</t>
        </is>
      </c>
      <c r="P793" t="inlineStr">
        <is>
          <t>否</t>
        </is>
      </c>
      <c r="Q793" t="inlineStr">
        <is>
          <t>明确批评</t>
        </is>
      </c>
      <c r="R793" t="inlineStr">
        <is>
          <t>可信度质疑</t>
        </is>
      </c>
      <c r="S793" t="n">
        <v>0</v>
      </c>
      <c r="T793" t="n">
        <v>0</v>
      </c>
      <c r="U793" t="n">
        <v>0</v>
      </c>
      <c r="V793" t="inlineStr">
        <is>
          <t>否</t>
        </is>
      </c>
      <c r="W793" t="inlineStr">
        <is>
          <t>是</t>
        </is>
      </c>
      <c r="X793" t="inlineStr">
        <is>
          <t>历史导入:民族团结进步促进法舆情统计最终版_非支持原话全量汇总最终版.xlsx；证据状态:原始复核证据；记录类型:逐条直接证据；复核:评论日期2026-07-02，公开地区新疆；原话在截图可见。复核后维持“明确批评”分类。直接表达不信任。；来源:562e200c-ed5b-4cc5-b965-7d32697488ff.xlsx；民族团结进步促进法舆情统计_含非支持来源与原话_最终完整核查版.xlsx/非支持态度复核；非支持来源与原话；重复来源数:2</t>
        </is>
      </c>
    </row>
    <row r="794">
      <c r="A794" t="inlineStr">
        <is>
          <t>hist-da6ceee59c45bea9</t>
        </is>
      </c>
      <c r="B794" s="82" t="n">
        <v>46252.9403587963</v>
      </c>
      <c r="D794" t="inlineStr">
        <is>
          <t>快手</t>
        </is>
      </c>
      <c r="E794" t="inlineStr">
        <is>
          <t>快手</t>
        </is>
      </c>
      <c r="F794" t="inlineStr">
        <is>
          <t>逐条直接证据</t>
        </is>
      </c>
      <c r="G794" t="inlineStr">
        <is>
          <t>胡子哥</t>
        </is>
      </c>
      <c r="H794" t="inlineStr">
        <is>
          <t>第43条，坚持我国宗教中国化你看了吗</t>
        </is>
      </c>
      <c r="I794" t="inlineStr">
        <is>
          <t>https://v.kuaishou.com/KnkLfjuc</t>
        </is>
      </c>
      <c r="J794" t="inlineStr">
        <is>
          <t>甘肃</t>
        </is>
      </c>
      <c r="L794" t="inlineStr">
        <is>
          <t>甘肃</t>
        </is>
      </c>
      <c r="O794" t="inlineStr">
        <is>
          <t>中文</t>
        </is>
      </c>
      <c r="P794" t="inlineStr">
        <is>
          <t>否</t>
        </is>
      </c>
      <c r="Q794" t="inlineStr">
        <is>
          <t>实施问题</t>
        </is>
      </c>
      <c r="R794" t="inlineStr">
        <is>
          <t>法律条款；宗教中国化</t>
        </is>
      </c>
      <c r="S794" t="n">
        <v>0</v>
      </c>
      <c r="T794" t="n">
        <v>0</v>
      </c>
      <c r="U794" t="n">
        <v>0</v>
      </c>
      <c r="V794" t="inlineStr">
        <is>
          <t>否</t>
        </is>
      </c>
      <c r="W794" t="inlineStr">
        <is>
          <t>是</t>
        </is>
      </c>
      <c r="X794" t="inlineStr">
        <is>
          <t>历史导入:民族团结进步促进法舆情统计最终版_非支持原话全量汇总最终版.xlsx；证据状态:原始复核证据；记录类型:逐条直接证据；复核:评论日期2026-07-05，公开地区甘肃；原话在截图可见。复核后维持“实施问题”分类。以法律条款反问作者是否落实/理解，归实施问题。；来源:562e200c-ed5b-4cc5-b965-7d32697488ff.xlsx；民族团结进步促进法舆情统计_含非支持来源与原话_最终完整核查版.xlsx/非支持态度复核；非支持来源与原话；重复来源数:2</t>
        </is>
      </c>
    </row>
    <row r="795">
      <c r="A795" t="inlineStr">
        <is>
          <t>hist-262d4fe47ce6e016</t>
        </is>
      </c>
      <c r="B795" s="82" t="n">
        <v>46252.9403587963</v>
      </c>
      <c r="D795" t="inlineStr">
        <is>
          <t>快手</t>
        </is>
      </c>
      <c r="E795" t="inlineStr">
        <is>
          <t>快手</t>
        </is>
      </c>
      <c r="F795" t="inlineStr">
        <is>
          <t>逐条直接证据</t>
        </is>
      </c>
      <c r="G795" t="inlineStr">
        <is>
          <t>胡子哥</t>
        </is>
      </c>
      <c r="H795" t="inlineStr">
        <is>
          <t>给杀人犯发一个好人证他就是好人嘛，同样都是中国人只是信仰不一样，你那么大的恶意什么意思我们咋了祸害国家了还是卖国了就你是好人是嘛</t>
        </is>
      </c>
      <c r="I795" t="inlineStr">
        <is>
          <t>https://v.kuaishou.com/KnkLfjuc</t>
        </is>
      </c>
      <c r="J795" t="inlineStr">
        <is>
          <t>甘肃</t>
        </is>
      </c>
      <c r="L795" t="inlineStr">
        <is>
          <t>甘肃</t>
        </is>
      </c>
      <c r="O795" t="inlineStr">
        <is>
          <t>中文</t>
        </is>
      </c>
      <c r="P795" t="inlineStr">
        <is>
          <t>否</t>
        </is>
      </c>
      <c r="Q795" t="inlineStr">
        <is>
          <t>公平争议</t>
        </is>
      </c>
      <c r="R795" t="inlineStr">
        <is>
          <t>宗教信仰；平等尊重</t>
        </is>
      </c>
      <c r="S795" t="n">
        <v>0</v>
      </c>
      <c r="T795" t="n">
        <v>0</v>
      </c>
      <c r="U795" t="n">
        <v>0</v>
      </c>
      <c r="V795" t="inlineStr">
        <is>
          <t>否</t>
        </is>
      </c>
      <c r="W795" t="inlineStr">
        <is>
          <t>是</t>
        </is>
      </c>
      <c r="X795" t="inlineStr">
        <is>
          <t>历史导入:民族团结进步促进法舆情统计最终版_非支持原话全量汇总最终版.xlsx；证据状态:原始复核证据；记录类型:逐条直接证据；复核:评论日期2026-07-03，公开地区福建；原话在截图可见。复核后维持“公平争议”分类。围绕不同信仰群体是否应被平等对待展开争议。；来源:562e200c-ed5b-4cc5-b965-7d32697488ff.xlsx；民族团结进步促进法舆情统计_含非支持来源与原话_最终完整核查版.xlsx/非支持态度复核；非支持来源与原话；重复来源数:2</t>
        </is>
      </c>
    </row>
    <row r="796">
      <c r="A796" t="inlineStr">
        <is>
          <t>hist-37104023f7ec0e90</t>
        </is>
      </c>
      <c r="B796" s="82" t="n">
        <v>46252.9403587963</v>
      </c>
      <c r="D796" t="inlineStr">
        <is>
          <t>快手</t>
        </is>
      </c>
      <c r="E796" t="inlineStr">
        <is>
          <t>快手</t>
        </is>
      </c>
      <c r="F796" t="inlineStr">
        <is>
          <t>逐条直接证据</t>
        </is>
      </c>
      <c r="G796" t="inlineStr">
        <is>
          <t>胡子哥</t>
        </is>
      </c>
      <c r="H796" t="inlineStr">
        <is>
          <t>能坐到同一张桌子上的才是一家人，你吃你喜欢的猪肉，我吃我喜欢的牛肉，不要说假大空</t>
        </is>
      </c>
      <c r="I796" t="inlineStr">
        <is>
          <t>https://v.kuaishou.com/KnkLfjuc</t>
        </is>
      </c>
      <c r="J796" t="inlineStr">
        <is>
          <t>甘肃</t>
        </is>
      </c>
      <c r="L796" t="inlineStr">
        <is>
          <t>甘肃</t>
        </is>
      </c>
      <c r="O796" t="inlineStr">
        <is>
          <t>中文</t>
        </is>
      </c>
      <c r="P796" t="inlineStr">
        <is>
          <t>否</t>
        </is>
      </c>
      <c r="Q796" t="inlineStr">
        <is>
          <t>公平争议</t>
        </is>
      </c>
      <c r="R796" t="inlineStr">
        <is>
          <t>饮食自由；相互尊重；民族团结</t>
        </is>
      </c>
      <c r="S796" t="n">
        <v>0</v>
      </c>
      <c r="T796" t="n">
        <v>0</v>
      </c>
      <c r="U796" t="n">
        <v>0</v>
      </c>
      <c r="V796" t="inlineStr">
        <is>
          <t>否</t>
        </is>
      </c>
      <c r="W796" t="inlineStr">
        <is>
          <t>是</t>
        </is>
      </c>
      <c r="X796" t="inlineStr">
        <is>
          <t>历史导入:民族团结进步促进法舆情统计最终版_非支持原话全量汇总最终版.xlsx；证据状态:原始复核证据；记录类型:逐条直接证据；复核:评论日期2026-07-28，公开地区新疆；原话在截图可见。复核后维持“公平争议”分类。围绕饮食差异与真正平等相处提出观点。；来源:562e200c-ed5b-4cc5-b965-7d32697488ff.xlsx；民族团结进步促进法舆情统计_含非支持来源与原话_最终完整核查版.xlsx/非支持态度复核；非支持来源与原话；重复来源数:2</t>
        </is>
      </c>
    </row>
    <row r="797">
      <c r="A797" t="inlineStr">
        <is>
          <t>hist-c9a0d74f31923a9c</t>
        </is>
      </c>
      <c r="B797" s="82" t="n">
        <v>46252.9403587963</v>
      </c>
      <c r="D797" t="inlineStr">
        <is>
          <t>快手</t>
        </is>
      </c>
      <c r="E797" t="inlineStr">
        <is>
          <t>快手</t>
        </is>
      </c>
      <c r="F797" t="inlineStr">
        <is>
          <t>逐条直接证据</t>
        </is>
      </c>
      <c r="G797" t="inlineStr">
        <is>
          <t>胡子哥</t>
        </is>
      </c>
      <c r="H797" t="inlineStr">
        <is>
          <t>说的对，非我族类其心必异</t>
        </is>
      </c>
      <c r="I797" t="inlineStr">
        <is>
          <t>https://v.kuaishou.com/KnkLfjuc</t>
        </is>
      </c>
      <c r="J797" t="inlineStr">
        <is>
          <t>甘肃</t>
        </is>
      </c>
      <c r="L797" t="inlineStr">
        <is>
          <t>甘肃</t>
        </is>
      </c>
      <c r="O797" t="inlineStr">
        <is>
          <t>中文</t>
        </is>
      </c>
      <c r="P797" t="inlineStr">
        <is>
          <t>否</t>
        </is>
      </c>
      <c r="Q797" t="inlineStr">
        <is>
          <t>歧视偏见</t>
        </is>
      </c>
      <c r="R797" t="inlineStr">
        <is>
          <t>族群排斥</t>
        </is>
      </c>
      <c r="S797" t="n">
        <v>0</v>
      </c>
      <c r="T797" t="n">
        <v>0</v>
      </c>
      <c r="U797" t="n">
        <v>0</v>
      </c>
      <c r="V797" t="inlineStr">
        <is>
          <t>否</t>
        </is>
      </c>
      <c r="W797" t="inlineStr">
        <is>
          <t>是</t>
        </is>
      </c>
      <c r="X797" t="inlineStr">
        <is>
          <t>历史导入:民族团结进步促进法舆情统计最终版_非支持原话全量汇总最终版.xlsx；证据状态:原始复核证据；记录类型:逐条直接证据；复核:评论日期2026-07-04，公开地区山东；原话在截图可见。复核后维持“歧视偏见”分类。明确表达排斥性族群观点。；来源:562e200c-ed5b-4cc5-b965-7d32697488ff.xlsx；民族团结进步促进法舆情统计_含非支持来源与原话_最终完整核查版.xlsx/非支持态度复核；非支持来源与原话；重复来源数:2</t>
        </is>
      </c>
    </row>
    <row r="798">
      <c r="A798" t="inlineStr">
        <is>
          <t>hist-5a678109c5a4948d</t>
        </is>
      </c>
      <c r="B798" s="82" t="n">
        <v>46252.9403587963</v>
      </c>
      <c r="D798" t="inlineStr">
        <is>
          <t>快手</t>
        </is>
      </c>
      <c r="E798" t="inlineStr">
        <is>
          <t>快手</t>
        </is>
      </c>
      <c r="F798" t="inlineStr">
        <is>
          <t>逐条直接证据</t>
        </is>
      </c>
      <c r="G798" t="inlineStr">
        <is>
          <t>胡子哥</t>
        </is>
      </c>
      <c r="H798" t="inlineStr">
        <is>
          <t>说的问的好，表面说的好，但有人做事表里如一吗？</t>
        </is>
      </c>
      <c r="I798" t="inlineStr">
        <is>
          <t>https://v.kuaishou.com/KnkLfjuc</t>
        </is>
      </c>
      <c r="J798" t="inlineStr">
        <is>
          <t>甘肃</t>
        </is>
      </c>
      <c r="L798" t="inlineStr">
        <is>
          <t>甘肃</t>
        </is>
      </c>
      <c r="O798" t="inlineStr">
        <is>
          <t>中文</t>
        </is>
      </c>
      <c r="P798" t="inlineStr">
        <is>
          <t>否</t>
        </is>
      </c>
      <c r="Q798" t="inlineStr">
        <is>
          <t>担忧影响</t>
        </is>
      </c>
      <c r="R798" t="inlineStr">
        <is>
          <t>言行一致；执行效果</t>
        </is>
      </c>
      <c r="S798" t="n">
        <v>0</v>
      </c>
      <c r="T798" t="n">
        <v>0</v>
      </c>
      <c r="U798" t="n">
        <v>0</v>
      </c>
      <c r="V798" t="inlineStr">
        <is>
          <t>否</t>
        </is>
      </c>
      <c r="W798" t="inlineStr">
        <is>
          <t>是</t>
        </is>
      </c>
      <c r="X798" t="inlineStr">
        <is>
          <t>历史导入:民族团结进步促进法舆情统计最终版_非支持原话全量汇总最终版.xlsx；证据状态:原始复核证据；记录类型:逐条直接证据；复核:评论日期2026-07-05，公开地区甘肃；原话在截图可见。复核后维持“担忧影响”分类。担忧口头宣传与实际行为不一致。；来源:562e200c-ed5b-4cc5-b965-7d32697488ff.xlsx；民族团结进步促进法舆情统计_含非支持来源与原话_最终完整核查版.xlsx/非支持态度复核；非支持来源与原话；重复来源数:2</t>
        </is>
      </c>
    </row>
    <row r="799">
      <c r="A799" t="inlineStr">
        <is>
          <t>hist-94f683cf094253db</t>
        </is>
      </c>
      <c r="B799" s="82" t="n">
        <v>46252.9403587963</v>
      </c>
      <c r="D799" t="inlineStr">
        <is>
          <t>快手</t>
        </is>
      </c>
      <c r="E799" t="inlineStr">
        <is>
          <t>快手</t>
        </is>
      </c>
      <c r="F799" t="inlineStr">
        <is>
          <t>逐条直接证据</t>
        </is>
      </c>
      <c r="G799" t="inlineStr">
        <is>
          <t>胡子哥</t>
        </is>
      </c>
      <c r="H799" t="inlineStr">
        <is>
          <t>这个人就是出卖祖宗汉人，找了灰灰女人入教灰灰，汉穆，他们看风向风大特别爱国😂</t>
        </is>
      </c>
      <c r="I799" t="inlineStr">
        <is>
          <t>https://v.kuaishou.com/KnkLfjuc</t>
        </is>
      </c>
      <c r="J799" t="inlineStr">
        <is>
          <t>甘肃</t>
        </is>
      </c>
      <c r="L799" t="inlineStr">
        <is>
          <t>甘肃</t>
        </is>
      </c>
      <c r="O799" t="inlineStr">
        <is>
          <t>中文</t>
        </is>
      </c>
      <c r="P799" t="inlineStr">
        <is>
          <t>否</t>
        </is>
      </c>
      <c r="Q799" t="inlineStr">
        <is>
          <t>歧视偏见</t>
        </is>
      </c>
      <c r="R799" t="inlineStr">
        <is>
          <t>族群/宗教身份攻击</t>
        </is>
      </c>
      <c r="S799" t="n">
        <v>0</v>
      </c>
      <c r="T799" t="n">
        <v>0</v>
      </c>
      <c r="U799" t="n">
        <v>0</v>
      </c>
      <c r="V799" t="inlineStr">
        <is>
          <t>否</t>
        </is>
      </c>
      <c r="W799" t="inlineStr">
        <is>
          <t>是</t>
        </is>
      </c>
      <c r="X799" t="inlineStr">
        <is>
          <t>历史导入:民族团结进步促进法舆情统计最终版_非支持原话全量汇总最终版.xlsx；证据状态:原始复核证据；记录类型:逐条直接证据；复核:评论日期2026-07-13，公开地区新疆；原话在截图可见。复核后维持“歧视偏见”分类。含明显针对族群、宗教和通婚身份的贬损表达。；来源:562e200c-ed5b-4cc5-b965-7d32697488ff.xlsx；民族团结进步促进法舆情统计_含非支持来源与原话_最终完整核查版.xlsx/非支持态度复核；非支持来源与原话；重复来源数:2</t>
        </is>
      </c>
    </row>
    <row r="800">
      <c r="A800" t="inlineStr">
        <is>
          <t>hist-eb65322885f91e25</t>
        </is>
      </c>
      <c r="B800" s="82" t="n">
        <v>46252.9403587963</v>
      </c>
      <c r="D800" t="inlineStr">
        <is>
          <t>快手</t>
        </is>
      </c>
      <c r="E800" t="inlineStr">
        <is>
          <t>快手</t>
        </is>
      </c>
      <c r="F800" t="inlineStr">
        <is>
          <t>逐条直接证据</t>
        </is>
      </c>
      <c r="G800" t="inlineStr">
        <is>
          <t>胡子哥</t>
        </is>
      </c>
      <c r="H800" t="inlineStr">
        <is>
          <t>这家伙也是个两面人看过它的前期作品</t>
        </is>
      </c>
      <c r="I800" t="inlineStr">
        <is>
          <t>https://v.kuaishou.com/KnkLfjuc</t>
        </is>
      </c>
      <c r="J800" t="inlineStr">
        <is>
          <t>甘肃</t>
        </is>
      </c>
      <c r="L800" t="inlineStr">
        <is>
          <t>甘肃</t>
        </is>
      </c>
      <c r="O800" t="inlineStr">
        <is>
          <t>中文</t>
        </is>
      </c>
      <c r="P800" t="inlineStr">
        <is>
          <t>否</t>
        </is>
      </c>
      <c r="Q800" t="inlineStr">
        <is>
          <t>明确批评</t>
        </is>
      </c>
      <c r="R800" t="inlineStr">
        <is>
          <t>对作者可信度质疑</t>
        </is>
      </c>
      <c r="S800" t="n">
        <v>0</v>
      </c>
      <c r="T800" t="n">
        <v>0</v>
      </c>
      <c r="U800" t="n">
        <v>0</v>
      </c>
      <c r="V800" t="inlineStr">
        <is>
          <t>否</t>
        </is>
      </c>
      <c r="W800" t="inlineStr">
        <is>
          <t>是</t>
        </is>
      </c>
      <c r="X800" t="inlineStr">
        <is>
          <t>历史导入:民族团结进步促进法舆情统计最终版_非支持原话全量汇总最终版.xlsx；证据状态:原始复核证据；记录类型:逐条直接证据；复核:评论日期2026-07-15，公开地区新疆；原话在截图可见。复核后维持“明确批评”分类。直接否定母帖作者立场/可信度。；来源:562e200c-ed5b-4cc5-b965-7d32697488ff.xlsx；民族团结进步促进法舆情统计_含非支持来源与原话_最终完整核查版.xlsx/非支持态度复核；非支持来源与原话；重复来源数:2</t>
        </is>
      </c>
    </row>
    <row r="801">
      <c r="A801" t="inlineStr">
        <is>
          <t>hist-4a202ede641bc347</t>
        </is>
      </c>
      <c r="B801" s="82" t="n">
        <v>46252.9403587963</v>
      </c>
      <c r="D801" t="inlineStr">
        <is>
          <t>快手</t>
        </is>
      </c>
      <c r="E801" t="inlineStr">
        <is>
          <t>快手</t>
        </is>
      </c>
      <c r="F801" t="inlineStr">
        <is>
          <t>逐条直接证据</t>
        </is>
      </c>
      <c r="G801" t="inlineStr">
        <is>
          <t>胡子哥</t>
        </is>
      </c>
      <c r="H801" t="inlineStr">
        <is>
          <t>都是假的</t>
        </is>
      </c>
      <c r="I801" t="inlineStr">
        <is>
          <t>https://v.kuaishou.com/KnkLfjuc</t>
        </is>
      </c>
      <c r="J801" t="inlineStr">
        <is>
          <t>甘肃</t>
        </is>
      </c>
      <c r="L801" t="inlineStr">
        <is>
          <t>甘肃</t>
        </is>
      </c>
      <c r="O801" t="inlineStr">
        <is>
          <t>中文</t>
        </is>
      </c>
      <c r="P801" t="inlineStr">
        <is>
          <t>否</t>
        </is>
      </c>
      <c r="Q801" t="inlineStr">
        <is>
          <t>明确批评</t>
        </is>
      </c>
      <c r="R801" t="inlineStr">
        <is>
          <t>低信息量负面评价</t>
        </is>
      </c>
      <c r="S801" t="n">
        <v>0</v>
      </c>
      <c r="T801" t="n">
        <v>0</v>
      </c>
      <c r="U801" t="n">
        <v>0</v>
      </c>
      <c r="V801" t="inlineStr">
        <is>
          <t>否</t>
        </is>
      </c>
      <c r="W801" t="inlineStr">
        <is>
          <t>是</t>
        </is>
      </c>
      <c r="X801" t="inlineStr">
        <is>
          <t>历史导入:民族团结进步促进法舆情统计最终版_非支持原话全量汇总最终版.xlsx；证据状态:原始复核证据；记录类型:逐条直接证据；复核:评论日期2026-07-03，公开地区辽宁；原话在截图可见。复核后维持“明确批评”分类。在本法主题母帖下直接否定内容/立场。；来源:562e200c-ed5b-4cc5-b965-7d32697488ff.xlsx；民族团结进步促进法舆情统计_含非支持来源与原话_最终完整核查版.xlsx/非支持态度复核；非支持来源与原话；重复来源数:2</t>
        </is>
      </c>
    </row>
    <row r="802">
      <c r="A802" t="inlineStr">
        <is>
          <t>hist-335f2b8e6dc9601c</t>
        </is>
      </c>
      <c r="B802" s="82" t="n">
        <v>46252.9403587963</v>
      </c>
      <c r="C802" s="82" t="n">
        <v>46240</v>
      </c>
      <c r="D802" t="inlineStr">
        <is>
          <t>抖音</t>
        </is>
      </c>
      <c r="E802" t="inlineStr">
        <is>
          <t>抖音等视频平台</t>
        </is>
      </c>
      <c r="F802" t="inlineStr">
        <is>
          <t>逐条直接证据</t>
        </is>
      </c>
      <c r="G802" t="inlineStr">
        <is>
          <t>蓝sir</t>
        </is>
      </c>
      <c r="H802" t="inlineStr">
        <is>
          <t>所以具体建议是什么？</t>
        </is>
      </c>
      <c r="I802" t="inlineStr">
        <is>
          <t>https://v.douyin.com/CyoBjsGPozU/</t>
        </is>
      </c>
      <c r="J802" t="inlineStr">
        <is>
          <t>云南</t>
        </is>
      </c>
      <c r="L802" t="inlineStr">
        <is>
          <t>云南</t>
        </is>
      </c>
      <c r="O802" t="inlineStr">
        <is>
          <t>中文</t>
        </is>
      </c>
      <c r="P802" t="inlineStr">
        <is>
          <t>否</t>
        </is>
      </c>
      <c r="Q802" t="inlineStr">
        <is>
          <t>咨询疑问</t>
        </is>
      </c>
      <c r="R802" t="inlineStr">
        <is>
          <t>立法建议内容</t>
        </is>
      </c>
      <c r="S802" t="n">
        <v>0</v>
      </c>
      <c r="T802" t="n">
        <v>0</v>
      </c>
      <c r="U802" t="n">
        <v>0</v>
      </c>
      <c r="V802" t="inlineStr">
        <is>
          <t>否</t>
        </is>
      </c>
      <c r="W802" t="inlineStr">
        <is>
          <t>是</t>
        </is>
      </c>
      <c r="X802" t="inlineStr">
        <is>
          <t>历史导入:民族团结进步促进法舆情统计最终版_非支持原话全量汇总最终版.xlsx；证据状态:原始复核证据；记录类型:逐条直接证据；复核:截图已嵌入工作簿；已据原始页面截图复核；原话与页面地区标记可见。；来源:云南地区民族团结进步促进法舆情监测_最终修正版(3).xlsx/舆情采集记录模板；重复来源数:1</t>
        </is>
      </c>
    </row>
    <row r="803">
      <c r="A803" t="inlineStr">
        <is>
          <t>hist-acc007c12a27daab</t>
        </is>
      </c>
      <c r="B803" s="82" t="n">
        <v>46252.9403587963</v>
      </c>
      <c r="D803" t="inlineStr">
        <is>
          <t>抖音</t>
        </is>
      </c>
      <c r="E803" t="inlineStr">
        <is>
          <t>抖音等视频平台</t>
        </is>
      </c>
      <c r="F803" t="inlineStr">
        <is>
          <t>汇总统计</t>
        </is>
      </c>
      <c r="G803" t="inlineStr">
        <is>
          <t>多个账号/评论区</t>
        </is>
      </c>
      <c r="H803" t="inlineStr">
        <is>
          <t>最终批量统计未逐条保存其余全部评论原话；本表上方已列出11条重点复核原话。未保存的原话不补写、不推测。</t>
        </is>
      </c>
      <c r="I803" t="inlineStr">
        <is>
          <t>详见原文件《公众意见汇总》及《非支持态度及少语内容复核明细》</t>
        </is>
      </c>
      <c r="J803" t="inlineStr">
        <is>
          <t>全国/平台维度</t>
        </is>
      </c>
      <c r="O803" t="inlineStr">
        <is>
          <t>中文</t>
        </is>
      </c>
      <c r="P803" t="inlineStr">
        <is>
          <t>否</t>
        </is>
      </c>
      <c r="Q803" t="inlineStr">
        <is>
          <t>平台非支持汇总：咨询132；担忧67；明确批评2；投诉维权1</t>
        </is>
      </c>
      <c r="R803" t="inlineStr">
        <is>
          <t>多议题</t>
        </is>
      </c>
      <c r="S803" t="n">
        <v>0</v>
      </c>
      <c r="T803" t="n">
        <v>0</v>
      </c>
      <c r="U803" t="n">
        <v>0</v>
      </c>
      <c r="V803" t="inlineStr">
        <is>
          <t>否</t>
        </is>
      </c>
      <c r="W803" t="inlineStr">
        <is>
          <t>否</t>
        </is>
      </c>
      <c r="X803" t="inlineStr">
        <is>
          <t>历史导入:民族团结进步促进法舆情统计最终版_非支持原话全量汇总最终版.xlsx；证据状态:原始复核证据；记录类型:汇总统计；复核:计入305总量；202=132+67+2+1。重点复核样本不用于机械改写批量分类总数。；来源:民族团结进步促进法舆情统计_含非支持来源与原话_最终完整核查版.xlsx/非支持来源与原话；重复来源数:1</t>
        </is>
      </c>
    </row>
    <row r="804">
      <c r="A804" t="inlineStr">
        <is>
          <t>hist-ca151471ca8bfafa</t>
        </is>
      </c>
      <c r="B804" s="82" t="n">
        <v>46252.9403587963</v>
      </c>
      <c r="D804" t="inlineStr">
        <is>
          <t>抖音</t>
        </is>
      </c>
      <c r="E804" t="inlineStr">
        <is>
          <t>抖音等视频平台</t>
        </is>
      </c>
      <c r="F804" t="inlineStr">
        <is>
          <t>逐条直接证据</t>
        </is>
      </c>
      <c r="G804" t="inlineStr">
        <is>
          <t>放猎老人~迪日（个人用户）</t>
        </is>
      </c>
      <c r="H804" t="inlineStr">
        <is>
          <t>不会直接说不要，会说不好意思人满了刚刚接到通知</t>
        </is>
      </c>
      <c r="I804" t="inlineStr">
        <is>
          <t>https://v.douyin.com/16OsNi3fsYg/</t>
        </is>
      </c>
      <c r="J804" t="inlineStr">
        <is>
          <t>全国/平台维度</t>
        </is>
      </c>
      <c r="O804" t="inlineStr">
        <is>
          <t>中文</t>
        </is>
      </c>
      <c r="P804" t="inlineStr">
        <is>
          <t>否</t>
        </is>
      </c>
      <c r="Q804" t="inlineStr">
        <is>
          <t>担忧影响</t>
        </is>
      </c>
      <c r="R804" t="inlineStr">
        <is>
          <t>工作、生活全各民族平等</t>
        </is>
      </c>
      <c r="S804" t="n">
        <v>0</v>
      </c>
      <c r="T804" t="n">
        <v>0</v>
      </c>
      <c r="U804" t="n">
        <v>0</v>
      </c>
      <c r="V804" t="inlineStr">
        <is>
          <t>否</t>
        </is>
      </c>
      <c r="W804" t="inlineStr">
        <is>
          <t>是</t>
        </is>
      </c>
      <c r="X804" t="inlineStr">
        <is>
          <t>历史导入:民族团结进步促进法舆情统计最终版_非支持原话全量汇总最终版.xlsx；证据状态:原始复核证据；记录类型:逐条直接证据；复核:已复核，最终定类为“担忧影响”：担心招聘方通过隐性方式规避禁止民族歧视的要求。；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05">
      <c r="A805" t="inlineStr">
        <is>
          <t>hist-91e90ca2be040243</t>
        </is>
      </c>
      <c r="B805" s="82" t="n">
        <v>46252.9403587963</v>
      </c>
      <c r="D805" t="inlineStr">
        <is>
          <t>抖音</t>
        </is>
      </c>
      <c r="E805" t="inlineStr">
        <is>
          <t>抖音等视频平台</t>
        </is>
      </c>
      <c r="F805" t="inlineStr">
        <is>
          <t>逐条直接证据</t>
        </is>
      </c>
      <c r="G805" t="inlineStr">
        <is>
          <t>放猎老人~迪日（个人用户）</t>
        </is>
      </c>
      <c r="H805" t="inlineStr">
        <is>
          <t>理想很丰满，现实很骨干</t>
        </is>
      </c>
      <c r="I805" t="inlineStr">
        <is>
          <t>https://v.douyin.com/16OsNi3fsYg/</t>
        </is>
      </c>
      <c r="J805" t="inlineStr">
        <is>
          <t>全国/平台维度</t>
        </is>
      </c>
      <c r="O805" t="inlineStr">
        <is>
          <t>中文</t>
        </is>
      </c>
      <c r="P805" t="inlineStr">
        <is>
          <t>否</t>
        </is>
      </c>
      <c r="Q805" t="inlineStr">
        <is>
          <t>担忧影响</t>
        </is>
      </c>
      <c r="R805" t="inlineStr">
        <is>
          <t>工作、生活全各民族平等</t>
        </is>
      </c>
      <c r="S805" t="n">
        <v>0</v>
      </c>
      <c r="T805" t="n">
        <v>0</v>
      </c>
      <c r="U805" t="n">
        <v>0</v>
      </c>
      <c r="V805" t="inlineStr">
        <is>
          <t>否</t>
        </is>
      </c>
      <c r="W805" t="inlineStr">
        <is>
          <t>是</t>
        </is>
      </c>
      <c r="X805" t="inlineStr">
        <is>
          <t>历史导入:民族团结进步促进法舆情统计最终版_非支持原话全量汇总最终版.xlsx；证据状态:原始复核证据；记录类型:逐条直接证据；复核:已复核，最终定类为“担忧影响”：对法律理想目标能否转化为现实效果持明显疑虑。；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06">
      <c r="A806" t="inlineStr">
        <is>
          <t>hist-de2824cf9159be97</t>
        </is>
      </c>
      <c r="B806" s="82" t="n">
        <v>46252.9403587963</v>
      </c>
      <c r="D806" t="inlineStr">
        <is>
          <t>抖音</t>
        </is>
      </c>
      <c r="E806" t="inlineStr">
        <is>
          <t>抖音等视频平台</t>
        </is>
      </c>
      <c r="F806" t="inlineStr">
        <is>
          <t>逐条直接证据</t>
        </is>
      </c>
      <c r="G806" t="inlineStr">
        <is>
          <t>放猎老人~迪日（个人用户）</t>
        </is>
      </c>
      <c r="H806" t="inlineStr">
        <is>
          <t>这个法不是以前就有了吗？但是没人管用人家。这个漏洞又不是不能钻/上有政策，下有对策呗。</t>
        </is>
      </c>
      <c r="I806" t="inlineStr">
        <is>
          <t>https://v.douyin.com/16OsNi3fsYg/</t>
        </is>
      </c>
      <c r="J806" t="inlineStr">
        <is>
          <t>全国/平台维度</t>
        </is>
      </c>
      <c r="O806" t="inlineStr">
        <is>
          <t>中文</t>
        </is>
      </c>
      <c r="P806" t="inlineStr">
        <is>
          <t>否</t>
        </is>
      </c>
      <c r="Q806" t="inlineStr">
        <is>
          <t>实施问题</t>
        </is>
      </c>
      <c r="R806" t="inlineStr">
        <is>
          <t>工作、生活全各民族平等</t>
        </is>
      </c>
      <c r="S806" t="n">
        <v>0</v>
      </c>
      <c r="T806" t="n">
        <v>0</v>
      </c>
      <c r="U806" t="n">
        <v>0</v>
      </c>
      <c r="V806" t="inlineStr">
        <is>
          <t>否</t>
        </is>
      </c>
      <c r="W806" t="inlineStr">
        <is>
          <t>是</t>
        </is>
      </c>
      <c r="X806" t="inlineStr">
        <is>
          <t>历史导入:民族团结进步促进法舆情统计最终版_非支持原话全量汇总最终版.xlsx；证据状态:原始复核证据；记录类型:逐条直接证据；复核:已复核，最终定类为“实施问题”：明确质疑监管执行、漏洞规避及“上有政策，下有对策”等落实问题。；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07">
      <c r="A807" t="inlineStr">
        <is>
          <t>hist-aa1be275aaae07a0</t>
        </is>
      </c>
      <c r="B807" s="82" t="n">
        <v>46252.9403587963</v>
      </c>
      <c r="D807" t="inlineStr">
        <is>
          <t>抖音</t>
        </is>
      </c>
      <c r="E807" t="inlineStr">
        <is>
          <t>抖音等视频平台</t>
        </is>
      </c>
      <c r="F807" t="inlineStr">
        <is>
          <t>逐条直接证据</t>
        </is>
      </c>
      <c r="G807" t="inlineStr">
        <is>
          <t>日土县融媒体中心</t>
        </is>
      </c>
      <c r="H807" t="inlineStr">
        <is>
          <t>反对歧视汉族！</t>
        </is>
      </c>
      <c r="I807" t="inlineStr">
        <is>
          <t>https://v.douyin.com/oqYxGDXPLBc/</t>
        </is>
      </c>
      <c r="J807" t="inlineStr">
        <is>
          <t>全国/平台维度</t>
        </is>
      </c>
      <c r="O807" t="inlineStr">
        <is>
          <t>中文</t>
        </is>
      </c>
      <c r="P807" t="inlineStr">
        <is>
          <t>否</t>
        </is>
      </c>
      <c r="Q807" t="inlineStr">
        <is>
          <t>公平争议</t>
        </is>
      </c>
      <c r="R807" t="inlineStr">
        <is>
          <t>招聘不允许设置民族条件</t>
        </is>
      </c>
      <c r="S807" t="n">
        <v>0</v>
      </c>
      <c r="T807" t="n">
        <v>0</v>
      </c>
      <c r="U807" t="n">
        <v>0</v>
      </c>
      <c r="V807" t="inlineStr">
        <is>
          <t>否</t>
        </is>
      </c>
      <c r="W807" t="inlineStr">
        <is>
          <t>是</t>
        </is>
      </c>
      <c r="X807" t="inlineStr">
        <is>
          <t>历史导入:民族团结进步促进法舆情统计最终版_非支持原话全量汇总最终版.xlsx；证据状态:原始复核证据；记录类型:逐条直接证据；复核:已复核，最终定类为“公平争议”：直接表达反对针对汉族的歧视，属于民族平等与公平对待议题。；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08">
      <c r="A808" t="inlineStr">
        <is>
          <t>hist-e08f9798749b0ecf</t>
        </is>
      </c>
      <c r="B808" s="82" t="n">
        <v>46252.9403587963</v>
      </c>
      <c r="D808" t="inlineStr">
        <is>
          <t>抖音</t>
        </is>
      </c>
      <c r="E808" t="inlineStr">
        <is>
          <t>抖音等视频平台</t>
        </is>
      </c>
      <c r="F808" t="inlineStr">
        <is>
          <t>逐条直接证据</t>
        </is>
      </c>
      <c r="G808" t="inlineStr">
        <is>
          <t>法治宝鸡</t>
        </is>
      </c>
      <c r="H808" t="inlineStr">
        <is>
          <t>高考不能加分了么？贫困地区的孩子可以住校迁到县城里面上。不能大范围以民族来加分。</t>
        </is>
      </c>
      <c r="I808" t="inlineStr">
        <is>
          <t>https://v.douyin.com/T1nIpBJ3-3w/</t>
        </is>
      </c>
      <c r="J808" t="inlineStr">
        <is>
          <t>全国/平台维度</t>
        </is>
      </c>
      <c r="O808" t="inlineStr">
        <is>
          <t>中文</t>
        </is>
      </c>
      <c r="P808" t="inlineStr">
        <is>
          <t>否</t>
        </is>
      </c>
      <c r="Q808" t="inlineStr">
        <is>
          <t>咨询疑问</t>
        </is>
      </c>
      <c r="R808" t="inlineStr">
        <is>
          <t>学习生活方面</t>
        </is>
      </c>
      <c r="S808" t="n">
        <v>0</v>
      </c>
      <c r="T808" t="n">
        <v>0</v>
      </c>
      <c r="U808" t="n">
        <v>0</v>
      </c>
      <c r="V808" t="inlineStr">
        <is>
          <t>否</t>
        </is>
      </c>
      <c r="W808" t="inlineStr">
        <is>
          <t>是</t>
        </is>
      </c>
      <c r="X808" t="inlineStr">
        <is>
          <t>历史导入:民族团结进步促进法舆情统计最终版_非支持原话全量汇总最终版.xlsx；证据状态:原始复核证据；记录类型:逐条直接证据；复核:已复核，无误；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09">
      <c r="A809" t="inlineStr">
        <is>
          <t>hist-ba6e6f274a6675da</t>
        </is>
      </c>
      <c r="B809" s="82" t="n">
        <v>46252.9403587963</v>
      </c>
      <c r="D809" t="inlineStr">
        <is>
          <t>抖音</t>
        </is>
      </c>
      <c r="E809" t="inlineStr">
        <is>
          <t>抖音等视频平台</t>
        </is>
      </c>
      <c r="F809" t="inlineStr">
        <is>
          <t>逐条直接证据</t>
        </is>
      </c>
      <c r="G809" t="inlineStr">
        <is>
          <t>牛牛妈妈要加油呀！ （个人用户）</t>
        </is>
      </c>
      <c r="H809" t="inlineStr">
        <is>
          <t>回族可以正常办护照吗</t>
        </is>
      </c>
      <c r="I809" t="inlineStr">
        <is>
          <t>https://v.douyin.com/DzPQPZBYk3k/</t>
        </is>
      </c>
      <c r="J809" t="inlineStr">
        <is>
          <t>全国/平台维度</t>
        </is>
      </c>
      <c r="O809" t="inlineStr">
        <is>
          <t>中文</t>
        </is>
      </c>
      <c r="P809" t="inlineStr">
        <is>
          <t>否</t>
        </is>
      </c>
      <c r="Q809" t="inlineStr">
        <is>
          <t>咨询疑问</t>
        </is>
      </c>
      <c r="R809" t="inlineStr">
        <is>
          <t>禁止民族歧视、仇恨，全面推广普通话</t>
        </is>
      </c>
      <c r="S809" t="n">
        <v>0</v>
      </c>
      <c r="T809" t="n">
        <v>0</v>
      </c>
      <c r="U809" t="n">
        <v>0</v>
      </c>
      <c r="V809" t="inlineStr">
        <is>
          <t>否</t>
        </is>
      </c>
      <c r="W809" t="inlineStr">
        <is>
          <t>是</t>
        </is>
      </c>
      <c r="X809" t="inlineStr">
        <is>
          <t>历史导入:民族团结进步促进法舆情统计最终版_非支持原话全量汇总最终版.xlsx；证据状态:原始复核证据；记录类型:逐条直接证据；复核:已复核，无误；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0">
      <c r="A810" t="inlineStr">
        <is>
          <t>hist-2983ad33b68dcb2c</t>
        </is>
      </c>
      <c r="B810" s="82" t="n">
        <v>46252.9403587963</v>
      </c>
      <c r="D810" t="inlineStr">
        <is>
          <t>抖音</t>
        </is>
      </c>
      <c r="E810" t="inlineStr">
        <is>
          <t>抖音等视频平台</t>
        </is>
      </c>
      <c r="F810" t="inlineStr">
        <is>
          <t>逐条直接证据</t>
        </is>
      </c>
      <c r="G810" t="inlineStr">
        <is>
          <t>第五师司法局</t>
        </is>
      </c>
      <c r="H810" t="inlineStr">
        <is>
          <t>他们歧视你吃猪肉，不信你们可以试试</t>
        </is>
      </c>
      <c r="I810" t="inlineStr">
        <is>
          <t>https://v.douyin.com/ByxyE1ZyQug/</t>
        </is>
      </c>
      <c r="J810" t="inlineStr">
        <is>
          <t>全国/平台维度</t>
        </is>
      </c>
      <c r="O810" t="inlineStr">
        <is>
          <t>中文</t>
        </is>
      </c>
      <c r="P810" t="inlineStr">
        <is>
          <t>否</t>
        </is>
      </c>
      <c r="Q810" t="inlineStr">
        <is>
          <t>担忧影响</t>
        </is>
      </c>
      <c r="R810" t="inlineStr">
        <is>
          <t>彝族、新疆同胞在外务工问题</t>
        </is>
      </c>
      <c r="S810" t="n">
        <v>0</v>
      </c>
      <c r="T810" t="n">
        <v>0</v>
      </c>
      <c r="U810" t="n">
        <v>0</v>
      </c>
      <c r="V810" t="inlineStr">
        <is>
          <t>否</t>
        </is>
      </c>
      <c r="W810" t="inlineStr">
        <is>
          <t>是</t>
        </is>
      </c>
      <c r="X810" t="inlineStr">
        <is>
          <t>历史导入:民族团结进步促进法舆情统计最终版_非支持原话全量汇总最终版.xlsx；证据状态:原始复核证据；记录类型:逐条直接证据；复核:已复核，无误；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1">
      <c r="A811" t="inlineStr">
        <is>
          <t>hist-7cc505d41213a3f3</t>
        </is>
      </c>
      <c r="B811" s="82" t="n">
        <v>46252.9403587963</v>
      </c>
      <c r="D811" t="inlineStr">
        <is>
          <t>抖音</t>
        </is>
      </c>
      <c r="E811" t="inlineStr">
        <is>
          <t>抖音等视频平台</t>
        </is>
      </c>
      <c r="F811" t="inlineStr">
        <is>
          <t>逐条直接证据</t>
        </is>
      </c>
      <c r="G811" t="inlineStr">
        <is>
          <t>第五师司法局</t>
        </is>
      </c>
      <c r="H811" t="inlineStr">
        <is>
          <t>出了这个也没用在成都依旧找不到工作问就是招满了</t>
        </is>
      </c>
      <c r="I811" t="inlineStr">
        <is>
          <t>https://v.douyin.com/ByxyE1ZyQug/</t>
        </is>
      </c>
      <c r="J811" t="inlineStr">
        <is>
          <t>全国/平台维度</t>
        </is>
      </c>
      <c r="O811" t="inlineStr">
        <is>
          <t>中文</t>
        </is>
      </c>
      <c r="P811" t="inlineStr">
        <is>
          <t>否</t>
        </is>
      </c>
      <c r="Q811" t="inlineStr">
        <is>
          <t>担忧影响</t>
        </is>
      </c>
      <c r="R811" t="inlineStr">
        <is>
          <t>彝族、新疆同胞在外务工问题</t>
        </is>
      </c>
      <c r="S811" t="n">
        <v>0</v>
      </c>
      <c r="T811" t="n">
        <v>0</v>
      </c>
      <c r="U811" t="n">
        <v>0</v>
      </c>
      <c r="V811" t="inlineStr">
        <is>
          <t>否</t>
        </is>
      </c>
      <c r="W811" t="inlineStr">
        <is>
          <t>是</t>
        </is>
      </c>
      <c r="X811" t="inlineStr">
        <is>
          <t>历史导入:民族团结进步促进法舆情统计最终版_非支持原话全量汇总最终版.xlsx；证据状态:原始复核证据；记录类型:逐条直接证据；复核:已复核，无误；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2">
      <c r="A812" t="inlineStr">
        <is>
          <t>hist-9b121a96651e657f</t>
        </is>
      </c>
      <c r="B812" s="82" t="n">
        <v>46252.9403587963</v>
      </c>
      <c r="D812" t="inlineStr">
        <is>
          <t>抖音</t>
        </is>
      </c>
      <c r="E812" t="inlineStr">
        <is>
          <t>抖音等视频平台</t>
        </is>
      </c>
      <c r="F812" t="inlineStr">
        <is>
          <t>逐条直接证据</t>
        </is>
      </c>
      <c r="G812" t="inlineStr">
        <is>
          <t>道中华</t>
        </is>
      </c>
      <c r="H812" t="inlineStr">
        <is>
          <t>不管是什么族，红线就是红线，别搞那种模棱两可的规则对全国各民族都好（2026.7.4）</t>
        </is>
      </c>
      <c r="I812" t="inlineStr">
        <is>
          <t>https://v.douyin.com/3j4ie2lLfSY/</t>
        </is>
      </c>
      <c r="J812" t="inlineStr">
        <is>
          <t>全国/平台维度</t>
        </is>
      </c>
      <c r="O812" t="inlineStr">
        <is>
          <t>中文</t>
        </is>
      </c>
      <c r="P812" t="inlineStr">
        <is>
          <t>否</t>
        </is>
      </c>
      <c r="Q812" t="inlineStr">
        <is>
          <t>公平争议</t>
        </is>
      </c>
      <c r="R812" t="inlineStr">
        <is>
          <t>说清红线</t>
        </is>
      </c>
      <c r="S812" t="n">
        <v>0</v>
      </c>
      <c r="T812" t="n">
        <v>0</v>
      </c>
      <c r="U812" t="n">
        <v>0</v>
      </c>
      <c r="V812" t="inlineStr">
        <is>
          <t>否</t>
        </is>
      </c>
      <c r="W812" t="inlineStr">
        <is>
          <t>是</t>
        </is>
      </c>
      <c r="X812" t="inlineStr">
        <is>
          <t>历史导入:民族团结进步促进法舆情统计最终版_非支持原话全量汇总最终版.xlsx；证据状态:原始复核证据；记录类型:逐条直接证据；复核:已复核，最终定类为“公平争议”：强调各民族适用同一明确红线，属于规则一致性和公平性诉求。；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3">
      <c r="A813" t="inlineStr">
        <is>
          <t>hist-ea9ed1abd9920062</t>
        </is>
      </c>
      <c r="B813" s="82" t="n">
        <v>46252.9403587963</v>
      </c>
      <c r="D813" t="inlineStr">
        <is>
          <t>抖音</t>
        </is>
      </c>
      <c r="E813" t="inlineStr">
        <is>
          <t>抖音等视频平台</t>
        </is>
      </c>
      <c r="F813" t="inlineStr">
        <is>
          <t>逐条直接证据</t>
        </is>
      </c>
      <c r="G813" t="inlineStr">
        <is>
          <t>青海石榴籽家园</t>
        </is>
      </c>
      <c r="H813" t="inlineStr">
        <is>
          <t>中国各民族一律平等，全国各地公用餐厅，学校，工厂取消掉清真餐厅。促进民族团结，不内耗，不浪费资源！法律不是一张白纸！</t>
        </is>
      </c>
      <c r="I813" t="inlineStr">
        <is>
          <t>https://v.douyin.com/_iWvdSJ48v0/</t>
        </is>
      </c>
      <c r="J813" t="inlineStr">
        <is>
          <t>全国/平台维度</t>
        </is>
      </c>
      <c r="O813" t="inlineStr">
        <is>
          <t>中文</t>
        </is>
      </c>
      <c r="P813" t="inlineStr">
        <is>
          <t>否</t>
        </is>
      </c>
      <c r="Q813" t="inlineStr">
        <is>
          <t>公平争议</t>
        </is>
      </c>
      <c r="R813" t="inlineStr">
        <is>
          <t>民族饮食问题</t>
        </is>
      </c>
      <c r="S813" t="n">
        <v>0</v>
      </c>
      <c r="T813" t="n">
        <v>0</v>
      </c>
      <c r="U813" t="n">
        <v>0</v>
      </c>
      <c r="V813" t="inlineStr">
        <is>
          <t>否</t>
        </is>
      </c>
      <c r="W813" t="inlineStr">
        <is>
          <t>是</t>
        </is>
      </c>
      <c r="X813" t="inlineStr">
        <is>
          <t>历史导入:民族团结进步促进法舆情统计最终版_非支持原话全量汇总最终版.xlsx；证据状态:原始复核证据；记录类型:逐条直接证据；复核:已复核，最终定类为“公平争议”：围绕公共餐饮、学校、工厂等是否应实行一致规则表达公平性主张。；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4">
      <c r="A814" t="inlineStr">
        <is>
          <t>hist-76589e264b39b257</t>
        </is>
      </c>
      <c r="B814" s="82" t="n">
        <v>46252.9403587963</v>
      </c>
      <c r="D814" t="inlineStr">
        <is>
          <t>抖音</t>
        </is>
      </c>
      <c r="E814" t="inlineStr">
        <is>
          <t>抖音等视频平台</t>
        </is>
      </c>
      <c r="F814" t="inlineStr">
        <is>
          <t>逐条直接证据</t>
        </is>
      </c>
      <c r="G814" t="inlineStr">
        <is>
          <t>黔南公安</t>
        </is>
      </c>
      <c r="H814" t="inlineStr">
        <is>
          <t>高考加分怎么办？</t>
        </is>
      </c>
      <c r="I814" t="inlineStr">
        <is>
          <t>https://v.douyin.com/GuEZxvdgFjA/</t>
        </is>
      </c>
      <c r="J814" t="inlineStr">
        <is>
          <t>全国/平台维度</t>
        </is>
      </c>
      <c r="O814" t="inlineStr">
        <is>
          <t>中文</t>
        </is>
      </c>
      <c r="P814" t="inlineStr">
        <is>
          <t>否</t>
        </is>
      </c>
      <c r="Q814" t="inlineStr">
        <is>
          <t>咨询疑问</t>
        </is>
      </c>
      <c r="R814" t="inlineStr">
        <is>
          <t>学习方面，各民族平等</t>
        </is>
      </c>
      <c r="S814" t="n">
        <v>0</v>
      </c>
      <c r="T814" t="n">
        <v>0</v>
      </c>
      <c r="U814" t="n">
        <v>0</v>
      </c>
      <c r="V814" t="inlineStr">
        <is>
          <t>否</t>
        </is>
      </c>
      <c r="W814" t="inlineStr">
        <is>
          <t>是</t>
        </is>
      </c>
      <c r="X814" t="inlineStr">
        <is>
          <t>历史导入:民族团结进步促进法舆情统计最终版_非支持原话全量汇总最终版.xlsx；证据状态:原始复核证据；记录类型:逐条直接证据；复核:已复核，更改意见类型为：咨询疑问，现无误；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5">
      <c r="A815" t="inlineStr">
        <is>
          <t>hist-d5c3e4f1bca35962</t>
        </is>
      </c>
      <c r="B815" s="82" t="n">
        <v>46252.9403587963</v>
      </c>
      <c r="C815" s="82" t="n">
        <v>46237</v>
      </c>
      <c r="D815" t="inlineStr">
        <is>
          <t>知乎</t>
        </is>
      </c>
      <c r="E815" t="inlineStr">
        <is>
          <t>知乎/B站/百度知道</t>
        </is>
      </c>
      <c r="F815" t="inlineStr">
        <is>
          <t>逐条直接证据</t>
        </is>
      </c>
      <c r="G815" t="inlineStr">
        <is>
          <t>南海西侯</t>
        </is>
      </c>
      <c r="H815" t="inlineStr">
        <is>
          <t>评论回复：我满族人，反对埋没满语。</t>
        </is>
      </c>
      <c r="I815" t="inlineStr">
        <is>
          <t>知乎 2026-08-03</t>
        </is>
      </c>
      <c r="J815" t="inlineStr">
        <is>
          <t>全国</t>
        </is>
      </c>
      <c r="O815" t="inlineStr">
        <is>
          <t>中文</t>
        </is>
      </c>
      <c r="P815" t="inlineStr">
        <is>
          <t>否</t>
        </is>
      </c>
      <c r="Q815" t="inlineStr">
        <is>
          <t>咨询/诉求</t>
        </is>
      </c>
      <c r="R815" t="inlineStr">
        <is>
          <t>少数民族语言保护</t>
        </is>
      </c>
      <c r="S815" t="n">
        <v>0</v>
      </c>
      <c r="T815" t="n">
        <v>0</v>
      </c>
      <c r="U815" t="n">
        <v>0</v>
      </c>
      <c r="V815" t="inlineStr">
        <is>
          <t>否</t>
        </is>
      </c>
      <c r="W815" t="inlineStr">
        <is>
          <t>是</t>
        </is>
      </c>
      <c r="X815" t="inlineStr">
        <is>
          <t>历史导入:民族团结进步促进法舆情统计最终版_非支持原话全量汇总最终版.xlsx；证据状态:原始复核证据；记录类型:逐条直接证据；复核:已复核：用户表达对满语传承的关切，属语言权利诉求，非对法律的直接批评；态度分类无误。复核人：编号九负责人；复核时间：2026-08-06；来源:新疆区州网页与视频号舆情监测_最终修正版(1).xlsx/第一部分_有效舆情明细；重复来源数:1</t>
        </is>
      </c>
    </row>
    <row r="816">
      <c r="A816" t="inlineStr">
        <is>
          <t>hist-d10ac0a02334d90e</t>
        </is>
      </c>
      <c r="B816" s="82" t="n">
        <v>46252.9403587963</v>
      </c>
      <c r="D816" t="inlineStr">
        <is>
          <t>Reddit</t>
        </is>
      </c>
      <c r="E816" t="inlineStr">
        <is>
          <t>其他</t>
        </is>
      </c>
      <c r="F816" t="inlineStr">
        <is>
          <t>原始明细证据</t>
        </is>
      </c>
      <c r="G816" t="inlineStr">
        <is>
          <t>r/China（发布者未抓取）</t>
        </is>
      </c>
      <c r="H816" t="inlineStr">
        <is>
          <t>a new tool to silence minorities</t>
        </is>
      </c>
      <c r="I816" t="inlineStr">
        <is>
          <t>https://www.reddit.com/r/China/comments/1uqak88/chinas_ethnic_unity_law_a_new_tool_to_silence/</t>
        </is>
      </c>
      <c r="J816" t="inlineStr">
        <is>
          <t>全国议题（境外平台）</t>
        </is>
      </c>
      <c r="O816" t="inlineStr">
        <is>
          <t>中文</t>
        </is>
      </c>
      <c r="P816" t="inlineStr">
        <is>
          <t>否</t>
        </is>
      </c>
      <c r="Q816" t="inlineStr">
        <is>
          <t>明确批评</t>
        </is>
      </c>
      <c r="R816" t="inlineStr">
        <is>
          <t>言论空间与少数群体权利</t>
        </is>
      </c>
      <c r="S816" t="n">
        <v>0</v>
      </c>
      <c r="T816" t="n">
        <v>0</v>
      </c>
      <c r="U816" t="n">
        <v>0</v>
      </c>
      <c r="V816" t="inlineStr">
        <is>
          <t>否</t>
        </is>
      </c>
      <c r="W816" t="inlineStr">
        <is>
          <t>是</t>
        </is>
      </c>
      <c r="X816" t="inlineStr">
        <is>
          <t>历史导入:民族团结进步促进法舆情统计最终版_非支持原话全量汇总最终版.xlsx；证据状态:扩展备查（不计平台305/地区140）；记录类型:原始明细证据；复核:复核视频内容、帖文附加语和评论互动。；来源:15地区微信及Reddit舆情监测_最终修正版(1).xlsx/公众舆情明细；重复来源数:1</t>
        </is>
      </c>
    </row>
    <row r="817">
      <c r="A817" t="inlineStr">
        <is>
          <t>hist-964b85aea7c7d023</t>
        </is>
      </c>
      <c r="B817" s="82" t="n">
        <v>46252.9403587963</v>
      </c>
      <c r="D817" t="inlineStr">
        <is>
          <t>Reddit</t>
        </is>
      </c>
      <c r="E817" t="inlineStr">
        <is>
          <t>其他</t>
        </is>
      </c>
      <c r="F817" t="inlineStr">
        <is>
          <t>原始明细证据</t>
        </is>
      </c>
      <c r="G817" t="inlineStr">
        <is>
          <t>r/China（发布者未抓取）</t>
        </is>
      </c>
      <c r="H817" t="inlineStr">
        <is>
          <t>denounced as forced assimilation</t>
        </is>
      </c>
      <c r="I817" t="inlineStr">
        <is>
          <t>https://www.reddit.com/r/China/comments/1ulokp1/chinas_ethnic_unity_law_denounced_as_forced/</t>
        </is>
      </c>
      <c r="J817" t="inlineStr">
        <is>
          <t>全国议题（境外平台）</t>
        </is>
      </c>
      <c r="O817" t="inlineStr">
        <is>
          <t>中文</t>
        </is>
      </c>
      <c r="P817" t="inlineStr">
        <is>
          <t>否</t>
        </is>
      </c>
      <c r="Q817" t="inlineStr">
        <is>
          <t>明确批评</t>
        </is>
      </c>
      <c r="R817" t="inlineStr">
        <is>
          <t>强制同化与身份认同</t>
        </is>
      </c>
      <c r="S817" t="n">
        <v>0</v>
      </c>
      <c r="T817" t="n">
        <v>0</v>
      </c>
      <c r="U817" t="n">
        <v>0</v>
      </c>
      <c r="V817" t="inlineStr">
        <is>
          <t>否</t>
        </is>
      </c>
      <c r="W817" t="inlineStr">
        <is>
          <t>是</t>
        </is>
      </c>
      <c r="X817" t="inlineStr">
        <is>
          <t>历史导入:民族团结进步促进法舆情统计最终版_非支持原话全量汇总最终版.xlsx；证据状态:扩展备查（不计平台305/地区140）；记录类型:原始明细证据；复核:复核原媒体报道、帖文附加语和评论区观点。；来源:15地区微信及Reddit舆情监测_最终修正版(1).xlsx/公众舆情明细；重复来源数:1</t>
        </is>
      </c>
    </row>
    <row r="818">
      <c r="A818" t="inlineStr">
        <is>
          <t>hist-0d7e22935a7a0b8b</t>
        </is>
      </c>
      <c r="B818" s="82" t="n">
        <v>46252.9403587963</v>
      </c>
      <c r="D818" t="inlineStr">
        <is>
          <t>Reddit</t>
        </is>
      </c>
      <c r="E818" t="inlineStr">
        <is>
          <t>其他</t>
        </is>
      </c>
      <c r="F818" t="inlineStr">
        <is>
          <t>原始明细证据</t>
        </is>
      </c>
      <c r="G818" t="inlineStr">
        <is>
          <t>r/InsightBridge（发布者未抓取）</t>
        </is>
      </c>
      <c r="H818" t="inlineStr">
        <is>
          <t>global reach draws concern</t>
        </is>
      </c>
      <c r="I818" t="inlineStr">
        <is>
          <t>https://www.reddit.com/r/InsightBridge/comments/1ukk4ys/chinas_ethnic_law_with_global_reach_draws/</t>
        </is>
      </c>
      <c r="J818" t="inlineStr">
        <is>
          <t>全国议题（境外平台）</t>
        </is>
      </c>
      <c r="O818" t="inlineStr">
        <is>
          <t>中文</t>
        </is>
      </c>
      <c r="P818" t="inlineStr">
        <is>
          <t>否</t>
        </is>
      </c>
      <c r="Q818" t="inlineStr">
        <is>
          <t>担忧影响</t>
        </is>
      </c>
      <c r="R818" t="inlineStr">
        <is>
          <t>域外适用与跨境影响</t>
        </is>
      </c>
      <c r="S818" t="n">
        <v>0</v>
      </c>
      <c r="T818" t="n">
        <v>0</v>
      </c>
      <c r="U818" t="n">
        <v>0</v>
      </c>
      <c r="V818" t="inlineStr">
        <is>
          <t>否</t>
        </is>
      </c>
      <c r="W818" t="inlineStr">
        <is>
          <t>是</t>
        </is>
      </c>
      <c r="X818" t="inlineStr">
        <is>
          <t>历史导入:民族团结进步促进法舆情统计最终版_非支持原话全量汇总最终版.xlsx；证据状态:扩展备查（不计平台305/地区140）；记录类型:原始明细证据；复核:复核帖子是否完整转载媒体标题、正文观点和评论区具体担忧。（已核对）；来源:15地区微信及Reddit舆情监测_最终修正版(1).xlsx/公众舆情明细；重复来源数:1</t>
        </is>
      </c>
    </row>
    <row r="819">
      <c r="A819" t="inlineStr">
        <is>
          <t>hist-9cc38e77b1628826</t>
        </is>
      </c>
      <c r="B819" s="82" t="n">
        <v>46252.9403587963</v>
      </c>
      <c r="D819" t="inlineStr">
        <is>
          <t>Reddit</t>
        </is>
      </c>
      <c r="E819" t="inlineStr">
        <is>
          <t>其他</t>
        </is>
      </c>
      <c r="F819" t="inlineStr">
        <is>
          <t>原始明细证据</t>
        </is>
      </c>
      <c r="G819" t="inlineStr">
        <is>
          <t>r/InsightBridge（发布者未抓取）</t>
        </is>
      </c>
      <c r="H819" t="inlineStr">
        <is>
          <t>予以谴责</t>
        </is>
      </c>
      <c r="I819" t="inlineStr">
        <is>
          <t>https://www.reddit.com/r/InsightBridge/comments/1ukjeky/%E4%B8%AD%E5%9C%8B%E6%B0%91%E6%97%8F%E5%9C%98%E7%B5%90%E6%B3%957%E6%9C%881%E6%97%A5%E5%AF%A6%E6%96%BD%E7%BE%8E%E5%9C%8B%E6%9C%83%E8%AD%B0%E5%93%A1%E5%92%8C%E5%9C%8B%E9%9A%9B%E4%BA%BA%E6%AC%8A%E4%BA%BA%E5%A3%AB%E7%B4%9B%E7%B4%9B%E4%BA%88%E4%BB%A5%E8%AD%B4%E8%B2%AC/</t>
        </is>
      </c>
      <c r="J819" t="inlineStr">
        <is>
          <t>全国议题（境外平台）</t>
        </is>
      </c>
      <c r="O819" t="inlineStr">
        <is>
          <t>中文</t>
        </is>
      </c>
      <c r="P819" t="inlineStr">
        <is>
          <t>否</t>
        </is>
      </c>
      <c r="Q819" t="inlineStr">
        <is>
          <t>明确批评</t>
        </is>
      </c>
      <c r="R819" t="inlineStr">
        <is>
          <t>域外适用与跨境影响</t>
        </is>
      </c>
      <c r="S819" t="n">
        <v>0</v>
      </c>
      <c r="T819" t="n">
        <v>0</v>
      </c>
      <c r="U819" t="n">
        <v>0</v>
      </c>
      <c r="V819" t="inlineStr">
        <is>
          <t>否</t>
        </is>
      </c>
      <c r="W819" t="inlineStr">
        <is>
          <t>是</t>
        </is>
      </c>
      <c r="X819" t="inlineStr">
        <is>
          <t>历史导入:民族团结进步促进法舆情统计最终版_非支持原话全量汇总最终版.xlsx；证据状态:扩展备查（不计平台305/地区140）；记录类型:原始明细证据；复核:复核引述对象、原始声明和帖子评论。；来源:15地区微信及Reddit舆情监测_最终修正版(1).xlsx/公众舆情明细；重复来源数:1</t>
        </is>
      </c>
    </row>
    <row r="820">
      <c r="A820" t="inlineStr">
        <is>
          <t>hist-abb5e1ae4146952e</t>
        </is>
      </c>
      <c r="B820" s="82" t="n">
        <v>46252.9403587963</v>
      </c>
      <c r="D820" t="inlineStr">
        <is>
          <t>Reddit</t>
        </is>
      </c>
      <c r="E820" t="inlineStr">
        <is>
          <t>其他</t>
        </is>
      </c>
      <c r="F820" t="inlineStr">
        <is>
          <t>原始明细证据</t>
        </is>
      </c>
      <c r="G820" t="inlineStr">
        <is>
          <t>r/LOOK_CHINA（发布者未抓取）</t>
        </is>
      </c>
      <c r="H820" t="inlineStr">
        <is>
          <t>中国民族团结法</t>
        </is>
      </c>
      <c r="I820" t="inlineStr">
        <is>
          <t>https://www.reddit.com/r/LOOK_CHINA/comments/1umbxc5/%E4%B8%AD%E5%9C%8B%E6%B0%91%E6%97%8F%E5%9C%98%E7%B5%90%E6%B3%95/</t>
        </is>
      </c>
      <c r="J820" t="inlineStr">
        <is>
          <t>全国议题（境外平台）</t>
        </is>
      </c>
      <c r="O820" t="inlineStr">
        <is>
          <t>中文</t>
        </is>
      </c>
      <c r="P820" t="inlineStr">
        <is>
          <t>否</t>
        </is>
      </c>
      <c r="Q820" t="inlineStr">
        <is>
          <t>明确批评</t>
        </is>
      </c>
      <c r="R820" t="inlineStr">
        <is>
          <t>强制同化与身份认同</t>
        </is>
      </c>
      <c r="S820" t="n">
        <v>0</v>
      </c>
      <c r="T820" t="n">
        <v>0</v>
      </c>
      <c r="U820" t="n">
        <v>0</v>
      </c>
      <c r="V820" t="inlineStr">
        <is>
          <t>否</t>
        </is>
      </c>
      <c r="W820" t="inlineStr">
        <is>
          <t>是</t>
        </is>
      </c>
      <c r="X820" t="inlineStr">
        <is>
          <t>历史导入:民族团结进步促进法舆情统计最终版_非支持原话全量汇总最终版.xlsx；证据状态:扩展备查（不计平台305/地区140）；记录类型:原始明细证据；复核:标题信息有限，需人工打开正文确认完整论点、来源和互动数据。；来源:15地区微信及Reddit舆情监测_最终修正版(1).xlsx/公众舆情明细；重复来源数:1</t>
        </is>
      </c>
    </row>
    <row r="821">
      <c r="A821" t="inlineStr">
        <is>
          <t>hist-43f8603df9d18260</t>
        </is>
      </c>
      <c r="B821" s="82" t="n">
        <v>46252.9403587963</v>
      </c>
      <c r="D821" t="inlineStr">
        <is>
          <t>Reddit</t>
        </is>
      </c>
      <c r="E821" t="inlineStr">
        <is>
          <t>其他</t>
        </is>
      </c>
      <c r="F821" t="inlineStr">
        <is>
          <t>原始明细证据</t>
        </is>
      </c>
      <c r="G821" t="inlineStr">
        <is>
          <t>r/news（发布者未抓取）</t>
        </is>
      </c>
      <c r="H821" t="inlineStr">
        <is>
          <t>integrate or face legal consequences</t>
        </is>
      </c>
      <c r="I821" t="inlineStr">
        <is>
          <t>https://www.reddit.com/r/news/comments/1ukk7ea/china_tells_its_ethnic_minorities_to_integrate_or/</t>
        </is>
      </c>
      <c r="J821" t="inlineStr">
        <is>
          <t>全国议题（境外平台）</t>
        </is>
      </c>
      <c r="O821" t="inlineStr">
        <is>
          <t>中文</t>
        </is>
      </c>
      <c r="P821" t="inlineStr">
        <is>
          <t>否</t>
        </is>
      </c>
      <c r="Q821" t="inlineStr">
        <is>
          <t>明确批评</t>
        </is>
      </c>
      <c r="R821" t="inlineStr">
        <is>
          <t>强制同化与身份认同</t>
        </is>
      </c>
      <c r="S821" t="n">
        <v>0</v>
      </c>
      <c r="T821" t="n">
        <v>0</v>
      </c>
      <c r="U821" t="n">
        <v>0</v>
      </c>
      <c r="V821" t="inlineStr">
        <is>
          <t>否</t>
        </is>
      </c>
      <c r="W821" t="inlineStr">
        <is>
          <t>是</t>
        </is>
      </c>
      <c r="X821" t="inlineStr">
        <is>
          <t>历史导入:民族团结进步促进法舆情统计最终版_非支持原话全量汇总最终版.xlsx；证据状态:扩展备查（不计平台305/地区140）；记录类型:原始明细证据；复核:复核实时赞数、评论总量、最高赞支持/反对评论及原报道链接。（已核对）；来源:15地区微信及Reddit舆情监测_最终修正版(1).xlsx/公众舆情明细；重复来源数:1</t>
        </is>
      </c>
    </row>
    <row r="822">
      <c r="A822" t="inlineStr">
        <is>
          <t>hist-9b18b700fc4390cd</t>
        </is>
      </c>
      <c r="B822" s="82" t="n">
        <v>46252.9403587963</v>
      </c>
      <c r="D822" t="inlineStr">
        <is>
          <t>Reddit</t>
        </is>
      </c>
      <c r="E822" t="inlineStr">
        <is>
          <t>其他</t>
        </is>
      </c>
      <c r="F822" t="inlineStr">
        <is>
          <t>原始明细证据</t>
        </is>
      </c>
      <c r="G822" t="inlineStr">
        <is>
          <t>r/socialism（发布者未抓取）</t>
        </is>
      </c>
      <c r="H822" t="inlineStr">
        <is>
          <t>Thoughts on China's new law?</t>
        </is>
      </c>
      <c r="I822" t="inlineStr">
        <is>
          <t>https://www.reddit.com/r/socialism/comments/1upupdu/thoughts_on_chinas_new_ethnic_unity_law/</t>
        </is>
      </c>
      <c r="J822" t="inlineStr">
        <is>
          <t>全国议题（境外平台）</t>
        </is>
      </c>
      <c r="O822" t="inlineStr">
        <is>
          <t>中文</t>
        </is>
      </c>
      <c r="P822" t="inlineStr">
        <is>
          <t>否</t>
        </is>
      </c>
      <c r="Q822" t="inlineStr">
        <is>
          <t>咨询疑问</t>
        </is>
      </c>
      <c r="R822" t="inlineStr">
        <is>
          <t>法律目的与执法边界</t>
        </is>
      </c>
      <c r="S822" t="n">
        <v>0</v>
      </c>
      <c r="T822" t="n">
        <v>0</v>
      </c>
      <c r="U822" t="n">
        <v>0</v>
      </c>
      <c r="V822" t="inlineStr">
        <is>
          <t>否</t>
        </is>
      </c>
      <c r="W822" t="inlineStr">
        <is>
          <t>是</t>
        </is>
      </c>
      <c r="X822" t="inlineStr">
        <is>
          <t>历史导入:民族团结进步促进法舆情统计最终版_非支持原话全量汇总最终版.xlsx；证据状态:扩展备查（不计平台305/地区140）；记录类型:原始明细证据；复核:需逐条复核评论并分别编码；不得以社区名称推断发帖者身份。；来源:15地区微信及Reddit舆情监测_最终修正版(1).xlsx/公众舆情明细；重复来源数:1</t>
        </is>
      </c>
    </row>
    <row r="823">
      <c r="A823" t="inlineStr">
        <is>
          <t>hist-5b2575bf231e8e1e</t>
        </is>
      </c>
      <c r="B823" s="82" t="n">
        <v>46252.9403587963</v>
      </c>
      <c r="D823" t="inlineStr">
        <is>
          <t>Reddit</t>
        </is>
      </c>
      <c r="E823" t="inlineStr">
        <is>
          <t>其他</t>
        </is>
      </c>
      <c r="F823" t="inlineStr">
        <is>
          <t>原始明细证据</t>
        </is>
      </c>
      <c r="G823" t="inlineStr">
        <is>
          <t>r/Taiwanese（发布者未抓取）</t>
        </is>
      </c>
      <c r="H823" t="inlineStr">
        <is>
          <t>为何引起台湾忧虑</t>
        </is>
      </c>
      <c r="I823" t="inlineStr">
        <is>
          <t>https://www.reddit.com/r/Taiwanese/comments/1um8dv3/%E4%B8%AD%E5%9C%8B%E5%AF%A6%E6%96%BD%E6%B0%91%E6%97%8F%E5%9C%98%E7%B5%90%E9%80%B2%E6%AD%A5%E4%BF%83%E9%80%B2%E6%B3%95%E7%82%BA%E4%BD%95%E5%BC%95%E8%B5%B7%E5%8F%B0%E7%81%A3%E6%86%82%E6%85%AE/</t>
        </is>
      </c>
      <c r="J823" t="inlineStr">
        <is>
          <t>台湾相关（境外平台）</t>
        </is>
      </c>
      <c r="L823" t="inlineStr">
        <is>
          <t>台湾</t>
        </is>
      </c>
      <c r="O823" t="inlineStr">
        <is>
          <t>中文</t>
        </is>
      </c>
      <c r="P823" t="inlineStr">
        <is>
          <t>否</t>
        </is>
      </c>
      <c r="Q823" t="inlineStr">
        <is>
          <t>担忧影响</t>
        </is>
      </c>
      <c r="R823" t="inlineStr">
        <is>
          <t>台湾社会与政治影响</t>
        </is>
      </c>
      <c r="S823" t="n">
        <v>0</v>
      </c>
      <c r="T823" t="n">
        <v>0</v>
      </c>
      <c r="U823" t="n">
        <v>0</v>
      </c>
      <c r="V823" t="inlineStr">
        <is>
          <t>否</t>
        </is>
      </c>
      <c r="W823" t="inlineStr">
        <is>
          <t>是</t>
        </is>
      </c>
      <c r="X823" t="inlineStr">
        <is>
          <t>历史导入:民族团结进步促进法舆情统计最终版_非支持原话全量汇总最终版.xlsx；证据状态:扩展备查（不计平台305/地区140）；记录类型:原始明细证据；复核:复核正文所引资料、评论中是否存在反驳或支持意见。；来源:15地区微信及Reddit舆情监测_最终修正版(1).xlsx/公众舆情明细；重复来源数:1</t>
        </is>
      </c>
    </row>
    <row r="824">
      <c r="A824" t="inlineStr">
        <is>
          <t>hist-e576e6b96618be3a</t>
        </is>
      </c>
      <c r="B824" s="82" t="n">
        <v>46252.9403587963</v>
      </c>
      <c r="D824" t="inlineStr">
        <is>
          <t>Reddit</t>
        </is>
      </c>
      <c r="E824" t="inlineStr">
        <is>
          <t>其他</t>
        </is>
      </c>
      <c r="F824" t="inlineStr">
        <is>
          <t>原始明细证据</t>
        </is>
      </c>
      <c r="G824" t="inlineStr">
        <is>
          <t>r/Taiwanese（发布者未抓取）</t>
        </is>
      </c>
      <c r="H824" t="inlineStr">
        <is>
          <t>提案谴责</t>
        </is>
      </c>
      <c r="I824" t="inlineStr">
        <is>
          <t>https://www.reddit.com/r/Taiwanese/comments/1um8s48/%E6%B0%91%E9%80%B2%E9%BB%A8%E6%8F%90%E6%A1%88%E8%AD%B4%E8%B2%AC%E4%B8%AD%E5%9C%8B%E6%B0%91%E6%97%8F%E5%9C%98%E7%B5%90%E6%83%A1%E6%B3%95_60%E5%90%8D%E8%97%8D%E7%99%BD%E5%A7%94%E8%81%AF%E6%89%8B%E5%B0%81%E6%AE%BA/</t>
        </is>
      </c>
      <c r="J824" t="inlineStr">
        <is>
          <t>台湾相关（境外平台）</t>
        </is>
      </c>
      <c r="L824" t="inlineStr">
        <is>
          <t>台湾</t>
        </is>
      </c>
      <c r="O824" t="inlineStr">
        <is>
          <t>中文</t>
        </is>
      </c>
      <c r="P824" t="inlineStr">
        <is>
          <t>否</t>
        </is>
      </c>
      <c r="Q824" t="inlineStr">
        <is>
          <t>明确批评</t>
        </is>
      </c>
      <c r="R824" t="inlineStr">
        <is>
          <t>台湾社会与政治影响</t>
        </is>
      </c>
      <c r="S824" t="n">
        <v>0</v>
      </c>
      <c r="T824" t="n">
        <v>0</v>
      </c>
      <c r="U824" t="n">
        <v>0</v>
      </c>
      <c r="V824" t="inlineStr">
        <is>
          <t>否</t>
        </is>
      </c>
      <c r="W824" t="inlineStr">
        <is>
          <t>是</t>
        </is>
      </c>
      <c r="X824" t="inlineStr">
        <is>
          <t>历史导入:民族团结进步促进法舆情统计最终版_非支持原话全量汇总最终版.xlsx；证据状态:扩展备查（不计平台305/地区140）；记录类型:原始明细证据；复核:复核政治程序事实、原新闻链接及评论区立场分布。；来源:15地区微信及Reddit舆情监测_最终修正版(1).xlsx/公众舆情明细；重复来源数:1</t>
        </is>
      </c>
    </row>
    <row r="825">
      <c r="A825" t="inlineStr">
        <is>
          <t>hist-4456722a475a3961</t>
        </is>
      </c>
      <c r="B825" s="82" t="n">
        <v>46252.9403587963</v>
      </c>
      <c r="D825" t="inlineStr">
        <is>
          <t>Reddit</t>
        </is>
      </c>
      <c r="E825" t="inlineStr">
        <is>
          <t>其他</t>
        </is>
      </c>
      <c r="F825" t="inlineStr">
        <is>
          <t>原始明细证据</t>
        </is>
      </c>
      <c r="G825" t="inlineStr">
        <is>
          <t>r/China_irl（发布者未抓取）</t>
        </is>
      </c>
      <c r="H825" t="inlineStr">
        <is>
          <t>流亡藏人</t>
        </is>
      </c>
      <c r="I825" t="inlineStr">
        <is>
          <t>https://www.reddit.com/r/China_irl/comments/1vewi8l/%E6%B5%81%E4%BA%A1%E8%97%8F%E4%BA%BA%E8%AE%A9%E4%B8%AD%E5%9B%BD%E6%BB%9A_%E5%8D%B0%E5%BA%A6%E8%AD%A6%E5%AF%9F%E6%8B%89%E6%89%AF%E6%8D%95%E4%BA%BA/</t>
        </is>
      </c>
      <c r="J825" t="inlineStr">
        <is>
          <t>西藏相关（境外活动）</t>
        </is>
      </c>
      <c r="L825" t="inlineStr">
        <is>
          <t>西藏</t>
        </is>
      </c>
      <c r="O825" t="inlineStr">
        <is>
          <t>中文</t>
        </is>
      </c>
      <c r="P825" t="inlineStr">
        <is>
          <t>否</t>
        </is>
      </c>
      <c r="Q825" t="inlineStr">
        <is>
          <t>明确批评</t>
        </is>
      </c>
      <c r="R825" t="inlineStr">
        <is>
          <t>西藏语言文化与境外抗议</t>
        </is>
      </c>
      <c r="S825" t="n">
        <v>0</v>
      </c>
      <c r="T825" t="n">
        <v>0</v>
      </c>
      <c r="U825" t="n">
        <v>0</v>
      </c>
      <c r="V825" t="inlineStr">
        <is>
          <t>否</t>
        </is>
      </c>
      <c r="W825" t="inlineStr">
        <is>
          <t>是</t>
        </is>
      </c>
      <c r="X825" t="inlineStr">
        <is>
          <t>历史导入:民族团结进步促进法舆情统计最终版_非支持原话全量汇总最终版.xlsx；证据状态:扩展备查（不计平台305/地区140）；记录类型:原始明细证据；复核:优先核验事件日期、地点、视频原始来源以及正文是否明确提及本法。；来源:15地区微信及Reddit舆情监测_最终修正版(1).xlsx/公众舆情明细；重复来源数:1</t>
        </is>
      </c>
    </row>
    <row r="826">
      <c r="A826" t="inlineStr">
        <is>
          <t>hist-ba6109e4490fb3e7</t>
        </is>
      </c>
      <c r="B826" s="82" t="n">
        <v>46252.9403587963</v>
      </c>
      <c r="D826" t="inlineStr">
        <is>
          <t>哔哩哔哩/B站</t>
        </is>
      </c>
      <c r="E826" t="inlineStr">
        <is>
          <t>知乎/B站/百度知道</t>
        </is>
      </c>
      <c r="F826" t="inlineStr">
        <is>
          <t>复核摘要证据</t>
        </is>
      </c>
      <c r="G826" t="inlineStr">
        <is>
          <t>西藏广播电视台、青春昌都、青海普法等（原表汇总描述）</t>
        </is>
      </c>
      <c r="H826" t="inlineStr">
        <is>
          <t>西藏广播电视台、青春昌都、青海普法等发布，如《西藏自治区民族团结进步模范区创建条例》；评论区言论为支持，共采集7条。 专栏文章内容，有提出对于促进法的修改意见，如“忽视民族历史对立，单纯强调合作的逻辑存在致命缺陷，压制冲突可能引发更强反弹”。此外提出需要加强对平台的约束；最终复核说明：最终复核：第一条“对民族团结进步促进法的意见与认为其不合理之处”原同时标注“公平争议+咨询疑问”，为避免重复计数，统一以“公平争议”为主态度。 青藏地区可确认：本地账号支持7条；“青藏、西北等地区宗教信仰和教育……”相关担忧1条。</t>
        </is>
      </c>
      <c r="I826" t="inlineStr">
        <is>
          <t>原表未留该1条本地担忧的单独永久评论URL</t>
        </is>
      </c>
      <c r="J826" t="inlineStr">
        <is>
          <t>青海/西藏</t>
        </is>
      </c>
      <c r="L826" t="inlineStr">
        <is>
          <t>西藏</t>
        </is>
      </c>
      <c r="O826" t="inlineStr">
        <is>
          <t>中文</t>
        </is>
      </c>
      <c r="P826" t="inlineStr">
        <is>
          <t>否</t>
        </is>
      </c>
      <c r="Q826" t="inlineStr">
        <is>
          <t>担忧影响</t>
        </is>
      </c>
      <c r="R826" t="inlineStr">
        <is>
          <t>宗教信仰、教育及法律实施相关担忧</t>
        </is>
      </c>
      <c r="S826" t="n">
        <v>0</v>
      </c>
      <c r="T826" t="n">
        <v>0</v>
      </c>
      <c r="U826" t="n">
        <v>0</v>
      </c>
      <c r="V826" t="inlineStr">
        <is>
          <t>否</t>
        </is>
      </c>
      <c r="W826" t="inlineStr">
        <is>
          <t>是</t>
        </is>
      </c>
      <c r="X826" t="inlineStr">
        <is>
          <t>历史导入:民族团结进步促进法舆情统计最终版_非支持原话全量汇总最终版.xlsx；证据状态:原始复核证据（原表仅留复核描述）；记录类型:复核摘要证据；复核:原表确认青藏本地担忧1条，但未将该1条单独评论URL完整保存；本行保留原表复核描述，不冒充逐字单条评论。；来源:青藏地区_民族团结进步促进法实施情况汇总_最终修正版(1).xlsx/人工补查入口及结果；重复来源数:1</t>
        </is>
      </c>
    </row>
    <row r="827">
      <c r="A827" t="inlineStr">
        <is>
          <t>hist-52211163fe2227b1</t>
        </is>
      </c>
      <c r="B827" s="82" t="n">
        <v>46252.9403587963</v>
      </c>
      <c r="C827" s="82" t="n">
        <v>46218</v>
      </c>
      <c r="D827" t="inlineStr">
        <is>
          <t>知乎</t>
        </is>
      </c>
      <c r="E827" t="inlineStr">
        <is>
          <t>知乎/B站/百度知道</t>
        </is>
      </c>
      <c r="F827" t="inlineStr">
        <is>
          <t>网络检索</t>
        </is>
      </c>
      <c r="G827" t="inlineStr">
        <is>
          <t>知乎问答/专栏</t>
        </is>
      </c>
      <c r="H827" t="inlineStr">
        <is>
          <t>文章标题明确涉及《民族团结进步促进法》的实施，但现有工作簿未保存知乎用户评论原话。</t>
        </is>
      </c>
      <c r="I827" t="inlineStr">
        <is>
          <t>https://zhuanlan.zhihu.com/p/2067608355355505291</t>
        </is>
      </c>
      <c r="J827" t="inlineStr">
        <is>
          <t>全国</t>
        </is>
      </c>
      <c r="O827" t="inlineStr">
        <is>
          <t>普通话</t>
        </is>
      </c>
      <c r="P827" t="inlineStr">
        <is>
          <t>否</t>
        </is>
      </c>
      <c r="Q827" t="inlineStr">
        <is>
          <t>中性信息</t>
        </is>
      </c>
      <c r="R827" t="inlineStr">
        <is>
          <t>法律条款解读与争议讨论</t>
        </is>
      </c>
      <c r="S827" t="n">
        <v>0</v>
      </c>
      <c r="T827" t="n">
        <v>0</v>
      </c>
      <c r="U827" t="n">
        <v>0</v>
      </c>
      <c r="V827" t="inlineStr">
        <is>
          <t>否</t>
        </is>
      </c>
      <c r="W827" t="inlineStr">
        <is>
          <t>否</t>
        </is>
      </c>
      <c r="X827" t="inlineStr">
        <is>
          <t>历史导入:知乎_哔哩哔哩_百度知道舆情监测_最终修正版.xlsx；来源类型:媒体评论/平台转载；复核:最终复核：保留为本法相关媒体评论线索；因未保存公众原话，且来源性质偏媒体评论，不计入公众意见统计。；重复:否；待核实:否</t>
        </is>
      </c>
    </row>
    <row r="828">
      <c r="A828" t="inlineStr">
        <is>
          <t>hist-44c8ea4b84e80020</t>
        </is>
      </c>
      <c r="B828" s="82" t="n">
        <v>46252.9403587963</v>
      </c>
      <c r="C828" s="82" t="n">
        <v>46218</v>
      </c>
      <c r="D828" t="inlineStr">
        <is>
          <t>知乎</t>
        </is>
      </c>
      <c r="E828" t="inlineStr">
        <is>
          <t>知乎/B站/百度知道</t>
        </is>
      </c>
      <c r="F828" t="inlineStr">
        <is>
          <t>网络检索</t>
        </is>
      </c>
      <c r="G828" t="inlineStr">
        <is>
          <t>知乎问答/专栏</t>
        </is>
      </c>
      <c r="H828" t="inlineStr">
        <is>
          <t>文章标题为“一部中国法律落地！美欧反应激烈，境外黑手知道大事不妙了？”，但现有工作簿未保存作者身份或评论区公众原话。</t>
        </is>
      </c>
      <c r="I828" t="inlineStr">
        <is>
          <t>https://zhuanlan.zhihu.com/p/2056903490518230049</t>
        </is>
      </c>
      <c r="J828" t="inlineStr">
        <is>
          <t>全国</t>
        </is>
      </c>
      <c r="O828" t="inlineStr">
        <is>
          <t>普通话</t>
        </is>
      </c>
      <c r="P828" t="inlineStr">
        <is>
          <t>否</t>
        </is>
      </c>
      <c r="Q828" t="inlineStr">
        <is>
          <t>中性信息</t>
        </is>
      </c>
      <c r="R828" t="inlineStr">
        <is>
          <t>法律条款解读与争议讨论</t>
        </is>
      </c>
      <c r="S828" t="n">
        <v>0</v>
      </c>
      <c r="T828" t="n">
        <v>0</v>
      </c>
      <c r="U828" t="n">
        <v>0</v>
      </c>
      <c r="V828" t="inlineStr">
        <is>
          <t>否</t>
        </is>
      </c>
      <c r="W828" t="inlineStr">
        <is>
          <t>否</t>
        </is>
      </c>
      <c r="X828" t="inlineStr">
        <is>
          <t>历史导入:知乎_哔哩哔哩_百度知道舆情监测_最终修正版.xlsx；来源类型:自媒体/专栏（作者性质未记录）；复核:最终复核：按严格证据口径暂不计入公众意见；保留为本法相关自媒体/专栏线索，不再要求学生补查。；重复:否；待核实:否</t>
        </is>
      </c>
    </row>
    <row r="829">
      <c r="A829" t="inlineStr">
        <is>
          <t>hist-64b50e22798d6ce5</t>
        </is>
      </c>
      <c r="B829" s="82" t="n">
        <v>46252.9403587963</v>
      </c>
      <c r="C829" s="82" t="n">
        <v>46213</v>
      </c>
      <c r="D829" t="inlineStr">
        <is>
          <t>哔哩哔哩</t>
        </is>
      </c>
      <c r="E829" t="inlineStr">
        <is>
          <t>知乎/B站/百度知道</t>
        </is>
      </c>
      <c r="F829" t="inlineStr">
        <is>
          <t>网络检索</t>
        </is>
      </c>
      <c r="G829" t="inlineStr">
        <is>
          <t>哔哩哔哩视频/评论</t>
        </is>
      </c>
      <c r="H829" t="inlineStr">
        <is>
          <t>UP主视频标题明确写出“反对‘皇汉’极端民族主义者曲解《民族团结进步促进法》，筑牢中华民族共同体意识”。</t>
        </is>
      </c>
      <c r="I829" t="inlineStr">
        <is>
          <t>https://www.bilibili.com/video/BV15PuP6bEeM/</t>
        </is>
      </c>
      <c r="J829" t="inlineStr">
        <is>
          <t>全国</t>
        </is>
      </c>
      <c r="O829" t="inlineStr">
        <is>
          <t>普通话</t>
        </is>
      </c>
      <c r="P829" t="inlineStr">
        <is>
          <t>否</t>
        </is>
      </c>
      <c r="Q829" t="inlineStr">
        <is>
          <t>支持认可</t>
        </is>
      </c>
      <c r="R829" t="inlineStr">
        <is>
          <t>法律宣贯与施行解读</t>
        </is>
      </c>
      <c r="S829" t="n">
        <v>0</v>
      </c>
      <c r="T829" t="n">
        <v>0</v>
      </c>
      <c r="U829" t="n">
        <v>0</v>
      </c>
      <c r="V829" t="inlineStr">
        <is>
          <t>否</t>
        </is>
      </c>
      <c r="W829" t="inlineStr">
        <is>
          <t>是</t>
        </is>
      </c>
      <c r="X829" t="inlineStr">
        <is>
          <t>历史导入:知乎_哔哩哔哩_百度知道舆情监测_最终修正版.xlsx；来源类型:公众意见/视频；复核:最终复核：以UP主视频标题作为原始公开观点证据；不把未摘录的弹幕/评论纳入判断。；重复:否；待核实:否</t>
        </is>
      </c>
    </row>
    <row r="830">
      <c r="A830" t="inlineStr">
        <is>
          <t>hist-1f4b029ecc42d0b0</t>
        </is>
      </c>
      <c r="B830" s="82" t="n">
        <v>46252.9403587963</v>
      </c>
      <c r="C830" s="82" t="n">
        <v>46213</v>
      </c>
      <c r="D830" t="inlineStr">
        <is>
          <t>哔哩哔哩</t>
        </is>
      </c>
      <c r="E830" t="inlineStr">
        <is>
          <t>知乎/B站/百度知道</t>
        </is>
      </c>
      <c r="F830" t="inlineStr">
        <is>
          <t>网络检索</t>
        </is>
      </c>
      <c r="G830" t="inlineStr">
        <is>
          <t>哔哩哔哩视频/评论</t>
        </is>
      </c>
      <c r="H830" t="inlineStr">
        <is>
          <t>UP主视频标题为“一起看民族团结进步促进法”。</t>
        </is>
      </c>
      <c r="I830" t="inlineStr">
        <is>
          <t>https://www.bilibili.com/video/BV1oiKm6yEq2/</t>
        </is>
      </c>
      <c r="J830" t="inlineStr">
        <is>
          <t>全国</t>
        </is>
      </c>
      <c r="O830" t="inlineStr">
        <is>
          <t>普通话</t>
        </is>
      </c>
      <c r="P830" t="inlineStr">
        <is>
          <t>否</t>
        </is>
      </c>
      <c r="Q830" t="inlineStr">
        <is>
          <t>中性信息</t>
        </is>
      </c>
      <c r="R830" t="inlineStr">
        <is>
          <t>法律宣贯与施行解读</t>
        </is>
      </c>
      <c r="S830" t="n">
        <v>0</v>
      </c>
      <c r="T830" t="n">
        <v>0</v>
      </c>
      <c r="U830" t="n">
        <v>0</v>
      </c>
      <c r="V830" t="inlineStr">
        <is>
          <t>否</t>
        </is>
      </c>
      <c r="W830" t="inlineStr">
        <is>
          <t>是</t>
        </is>
      </c>
      <c r="X830" t="inlineStr">
        <is>
          <t>历史导入:知乎_哔哩哔哩_百度知道舆情监测_最终修正版.xlsx；来源类型:公众意见/视频；复核:最终复核：相关性明确，但没有直接支持性措辞，改为中性信息。；重复:否；待核实:否</t>
        </is>
      </c>
    </row>
    <row r="831">
      <c r="A831" t="inlineStr">
        <is>
          <t>hist-f13f13d8d1924bfe</t>
        </is>
      </c>
      <c r="B831" s="82" t="n">
        <v>46252.9403587963</v>
      </c>
      <c r="C831" s="82" t="n">
        <v>46213</v>
      </c>
      <c r="D831" t="inlineStr">
        <is>
          <t>哔哩哔哩</t>
        </is>
      </c>
      <c r="E831" t="inlineStr">
        <is>
          <t>知乎/B站/百度知道</t>
        </is>
      </c>
      <c r="F831" t="inlineStr">
        <is>
          <t>网络检索</t>
        </is>
      </c>
      <c r="G831" t="inlineStr">
        <is>
          <t>哔哩哔哩视频/热评</t>
        </is>
      </c>
      <c r="H831" t="inlineStr">
        <is>
          <t>UP主视频标题为“民族团结法7月1日正式实施，对外国人有效”。</t>
        </is>
      </c>
      <c r="I831" t="inlineStr">
        <is>
          <t>https://www.bilibili.com/video/BV1137P6AEbg/</t>
        </is>
      </c>
      <c r="J831" t="inlineStr">
        <is>
          <t>全国</t>
        </is>
      </c>
      <c r="O831" t="inlineStr">
        <is>
          <t>普通话</t>
        </is>
      </c>
      <c r="P831" t="inlineStr">
        <is>
          <t>否</t>
        </is>
      </c>
      <c r="Q831" t="inlineStr">
        <is>
          <t>中性信息</t>
        </is>
      </c>
      <c r="R831" t="inlineStr">
        <is>
          <t>法律解读与宣贯</t>
        </is>
      </c>
      <c r="S831" t="n">
        <v>0</v>
      </c>
      <c r="T831" t="n">
        <v>0</v>
      </c>
      <c r="U831" t="n">
        <v>0</v>
      </c>
      <c r="V831" t="inlineStr">
        <is>
          <t>否</t>
        </is>
      </c>
      <c r="W831" t="inlineStr">
        <is>
          <t>是</t>
        </is>
      </c>
      <c r="X831" t="inlineStr">
        <is>
          <t>历史导入:知乎_哔哩哔哩_百度知道舆情监测_最终修正版.xlsx；来源类型:公众意见/视频；复核:最终复核：属于法律适用范围解读，没有直接支持性措辞，改为中性信息。；重复:否；待核实:否</t>
        </is>
      </c>
    </row>
    <row r="832">
      <c r="A832" t="inlineStr">
        <is>
          <t>hist-976bdfa3f43c5fcc</t>
        </is>
      </c>
      <c r="B832" s="82" t="n">
        <v>46252.9403587963</v>
      </c>
      <c r="C832" s="82" t="n">
        <v>46218</v>
      </c>
      <c r="D832" t="inlineStr">
        <is>
          <t>知乎</t>
        </is>
      </c>
      <c r="E832" t="inlineStr">
        <is>
          <t>知乎/B站/百度知道</t>
        </is>
      </c>
      <c r="F832" t="inlineStr">
        <is>
          <t>网络检索</t>
        </is>
      </c>
      <c r="G832" t="inlineStr">
        <is>
          <t>知乎问答/专栏</t>
        </is>
      </c>
      <c r="H832" t="inlineStr">
        <is>
          <t>核心观点：最高人民检察院：依法服务建设强大国内市场、加快构建高水平社会主义市场经济体制。坚持和落实“两个毫不动摇”，落实民营经济促进法，依法平等保护各类经营主体。协同健全规范涉企执法长效机制 | 高赞评论侧重落实细则与执法边界</t>
        </is>
      </c>
      <c r="I832" t="inlineStr">
        <is>
          <t>https://zhuanlan.zhihu.com/p/2062936792987444027</t>
        </is>
      </c>
      <c r="J832" t="inlineStr">
        <is>
          <t>全国</t>
        </is>
      </c>
      <c r="O832" t="inlineStr">
        <is>
          <t>普通话</t>
        </is>
      </c>
      <c r="P832" t="inlineStr">
        <is>
          <t>否</t>
        </is>
      </c>
      <c r="Q832" t="inlineStr">
        <is>
          <t>咨询疑问</t>
        </is>
      </c>
      <c r="R832" t="inlineStr">
        <is>
          <t>实施细则与法律责任</t>
        </is>
      </c>
      <c r="S832" t="n">
        <v>0</v>
      </c>
      <c r="T832" t="n">
        <v>0</v>
      </c>
      <c r="U832" t="n">
        <v>0</v>
      </c>
      <c r="V832" t="inlineStr">
        <is>
          <t>否</t>
        </is>
      </c>
      <c r="W832" t="inlineStr">
        <is>
          <t>否</t>
        </is>
      </c>
      <c r="X832" t="inlineStr">
        <is>
          <t>历史导入:知乎_哔哩哔哩_百度知道舆情监测_最终修正版.xlsx；来源类型:公众意见/讨论；复核:已同步摘录长回答核心观点与高赞评论；重复:否；待核实:否</t>
        </is>
      </c>
    </row>
    <row r="833">
      <c r="A833" t="inlineStr">
        <is>
          <t>hist-ed1bb53712f87861</t>
        </is>
      </c>
      <c r="B833" s="82" t="n">
        <v>46252.9403587963</v>
      </c>
      <c r="C833" s="82" t="n">
        <v>46218</v>
      </c>
      <c r="D833" t="inlineStr">
        <is>
          <t>知乎</t>
        </is>
      </c>
      <c r="E833" t="inlineStr">
        <is>
          <t>知乎/B站/百度知道</t>
        </is>
      </c>
      <c r="F833" t="inlineStr">
        <is>
          <t>网络检索</t>
        </is>
      </c>
      <c r="G833" t="inlineStr">
        <is>
          <t>知乎问答/专栏</t>
        </is>
      </c>
      <c r="H833" t="inlineStr">
        <is>
          <t>核心观点：人民法院报：以平等保护促进各种所有制经济优势互补、共同发展。保护企业合法权益。出台贯彻民营经济促进法25条举措。会同国家发展改革委发布典型案... | 高赞评论侧重落实细则与执法边界</t>
        </is>
      </c>
      <c r="I833" t="inlineStr">
        <is>
          <t>https://zhuanlan.zhihu.com/p/2014641321655181357</t>
        </is>
      </c>
      <c r="J833" t="inlineStr">
        <is>
          <t>全国</t>
        </is>
      </c>
      <c r="O833" t="inlineStr">
        <is>
          <t>普通话</t>
        </is>
      </c>
      <c r="P833" t="inlineStr">
        <is>
          <t>否</t>
        </is>
      </c>
      <c r="Q833" t="inlineStr">
        <is>
          <t>咨询疑问</t>
        </is>
      </c>
      <c r="R833" t="inlineStr">
        <is>
          <t>实施细则与法律责任</t>
        </is>
      </c>
      <c r="S833" t="n">
        <v>0</v>
      </c>
      <c r="T833" t="n">
        <v>0</v>
      </c>
      <c r="U833" t="n">
        <v>0</v>
      </c>
      <c r="V833" t="inlineStr">
        <is>
          <t>否</t>
        </is>
      </c>
      <c r="W833" t="inlineStr">
        <is>
          <t>否</t>
        </is>
      </c>
      <c r="X833" t="inlineStr">
        <is>
          <t>历史导入:知乎_哔哩哔哩_百度知道舆情监测_最终修正版.xlsx；来源类型:公众意见/讨论；复核:已同步摘录长回答核心观点与高赞评论；重复:否；待核实:否</t>
        </is>
      </c>
    </row>
    <row r="834">
      <c r="A834" t="inlineStr">
        <is>
          <t>hist-ed235281aaecb3d8</t>
        </is>
      </c>
      <c r="B834" s="82" t="n">
        <v>46252.9403587963</v>
      </c>
      <c r="C834" s="82" t="n">
        <v>46218</v>
      </c>
      <c r="D834" t="inlineStr">
        <is>
          <t>知乎</t>
        </is>
      </c>
      <c r="E834" t="inlineStr">
        <is>
          <t>知乎/B站/百度知道</t>
        </is>
      </c>
      <c r="F834" t="inlineStr">
        <is>
          <t>网络检索</t>
        </is>
      </c>
      <c r="G834" t="inlineStr">
        <is>
          <t>知乎问答/专栏</t>
        </is>
      </c>
      <c r="H834" t="inlineStr">
        <is>
          <t>核心观点：最高人民检察院：为推进人与自然和谐共生的现代化提供有力司法保障。 应勇在审议民族团结进步促进法草案时表示，制定民族团结进步促进法，是深入贯彻习近平总书记关于加强和改进民族工作的重要思想和党中央决策部署 | 高赞评论侧重落实细则与执法边界</t>
        </is>
      </c>
      <c r="I834" t="inlineStr">
        <is>
          <t>https://zhuanlan.zhihu.com/p/2014036129788229072</t>
        </is>
      </c>
      <c r="J834" t="inlineStr">
        <is>
          <t>全国</t>
        </is>
      </c>
      <c r="O834" t="inlineStr">
        <is>
          <t>普通话</t>
        </is>
      </c>
      <c r="P834" t="inlineStr">
        <is>
          <t>否</t>
        </is>
      </c>
      <c r="Q834" t="inlineStr">
        <is>
          <t>咨询疑问</t>
        </is>
      </c>
      <c r="R834" t="inlineStr">
        <is>
          <t>实施细则与法律责任</t>
        </is>
      </c>
      <c r="S834" t="n">
        <v>0</v>
      </c>
      <c r="T834" t="n">
        <v>0</v>
      </c>
      <c r="U834" t="n">
        <v>0</v>
      </c>
      <c r="V834" t="inlineStr">
        <is>
          <t>否</t>
        </is>
      </c>
      <c r="W834" t="inlineStr">
        <is>
          <t>否</t>
        </is>
      </c>
      <c r="X834" t="inlineStr">
        <is>
          <t>历史导入:知乎_哔哩哔哩_百度知道舆情监测_最终修正版.xlsx；来源类型:公众意见/讨论；复核:已同步摘录长回答核心观点与高赞评论；重复:否；待核实:否</t>
        </is>
      </c>
    </row>
    <row r="835">
      <c r="A835" t="inlineStr">
        <is>
          <t>hist-037069247e67a95b</t>
        </is>
      </c>
      <c r="B835" s="82" t="n">
        <v>46252.9403587963</v>
      </c>
      <c r="C835" s="82" t="n">
        <v>46218</v>
      </c>
      <c r="D835" t="inlineStr">
        <is>
          <t>知乎</t>
        </is>
      </c>
      <c r="E835" t="inlineStr">
        <is>
          <t>知乎/B站/百度知道</t>
        </is>
      </c>
      <c r="F835" t="inlineStr">
        <is>
          <t>网络检索</t>
        </is>
      </c>
      <c r="G835" t="inlineStr">
        <is>
          <t>知乎问答/专栏</t>
        </is>
      </c>
      <c r="H835" t="inlineStr">
        <is>
          <t>核心观点：中新社国是直通车：中国55个少数民族中，除回族、满族、畲族等通用汉语文外，有18个民族有自己的文字，其余民族有语言没有文字 | 高赞评论侧重落实细则与执法边界</t>
        </is>
      </c>
      <c r="I835" t="inlineStr">
        <is>
          <t>https://zhuanlan.zhihu.com/p/370109948</t>
        </is>
      </c>
      <c r="J835" t="inlineStr">
        <is>
          <t>全国</t>
        </is>
      </c>
      <c r="O835" t="inlineStr">
        <is>
          <t>普通话</t>
        </is>
      </c>
      <c r="P835" t="inlineStr">
        <is>
          <t>否</t>
        </is>
      </c>
      <c r="Q835" t="inlineStr">
        <is>
          <t>咨询疑问</t>
        </is>
      </c>
      <c r="R835" t="inlineStr">
        <is>
          <t>实施细则与法律责任</t>
        </is>
      </c>
      <c r="S835" t="n">
        <v>0</v>
      </c>
      <c r="T835" t="n">
        <v>0</v>
      </c>
      <c r="U835" t="n">
        <v>0</v>
      </c>
      <c r="V835" t="inlineStr">
        <is>
          <t>否</t>
        </is>
      </c>
      <c r="W835" t="inlineStr">
        <is>
          <t>否</t>
        </is>
      </c>
      <c r="X835" t="inlineStr">
        <is>
          <t>历史导入:知乎_哔哩哔哩_百度知道舆情监测_最终修正版.xlsx；来源类型:公众意见/讨论；复核:已同步摘录长回答核心观点与高赞评论；重复:否；待核实:否</t>
        </is>
      </c>
    </row>
    <row r="836">
      <c r="A836" t="inlineStr">
        <is>
          <t>hist-0c4f78e758599bb2</t>
        </is>
      </c>
      <c r="B836" s="82" t="n">
        <v>46252.9403587963</v>
      </c>
      <c r="C836" s="82" t="n">
        <v>46218</v>
      </c>
      <c r="D836" t="inlineStr">
        <is>
          <t>知乎</t>
        </is>
      </c>
      <c r="E836" t="inlineStr">
        <is>
          <t>知乎/B站/百度知道</t>
        </is>
      </c>
      <c r="F836" t="inlineStr">
        <is>
          <t>网络检索</t>
        </is>
      </c>
      <c r="G836" t="inlineStr">
        <is>
          <t>知乎问答/专栏</t>
        </is>
      </c>
      <c r="H836" t="inlineStr">
        <is>
          <t>知乎用户讨论关于【十四届全国人大四次会议在京开幕 习近平等在主席台就座】的实施细则与公众关切</t>
        </is>
      </c>
      <c r="I836" t="inlineStr">
        <is>
          <t>https://zhuanlan.zhihu.com/p/2013166950256247966</t>
        </is>
      </c>
      <c r="J836" t="inlineStr">
        <is>
          <t>全国</t>
        </is>
      </c>
      <c r="O836" t="inlineStr">
        <is>
          <t>普通话</t>
        </is>
      </c>
      <c r="P836" t="inlineStr">
        <is>
          <t>否</t>
        </is>
      </c>
      <c r="Q836" t="inlineStr">
        <is>
          <t>咨询疑问</t>
        </is>
      </c>
      <c r="R836" t="inlineStr">
        <is>
          <t>法律条款解读与争议讨论</t>
        </is>
      </c>
      <c r="S836" t="n">
        <v>0</v>
      </c>
      <c r="T836" t="n">
        <v>0</v>
      </c>
      <c r="U836" t="n">
        <v>0</v>
      </c>
      <c r="V836" t="inlineStr">
        <is>
          <t>否</t>
        </is>
      </c>
      <c r="W836" t="inlineStr">
        <is>
          <t>否</t>
        </is>
      </c>
      <c r="X836" t="inlineStr">
        <is>
          <t>历史导入:知乎_哔哩哔哩_百度知道舆情监测_最终修正版.xlsx；来源类型:公众意见/讨论；复核:知乎登录状态下抓取，真实有效；重复:否；待核实:否</t>
        </is>
      </c>
    </row>
    <row r="837">
      <c r="A837" t="inlineStr">
        <is>
          <t>hist-8b8bbd1e30b93854</t>
        </is>
      </c>
      <c r="B837" s="82" t="n">
        <v>46252.9403587963</v>
      </c>
      <c r="C837" s="82" t="n">
        <v>46218</v>
      </c>
      <c r="D837" t="inlineStr">
        <is>
          <t>知乎</t>
        </is>
      </c>
      <c r="E837" t="inlineStr">
        <is>
          <t>知乎/B站/百度知道</t>
        </is>
      </c>
      <c r="F837" t="inlineStr">
        <is>
          <t>网络检索</t>
        </is>
      </c>
      <c r="G837" t="inlineStr">
        <is>
          <t>知乎问答/专栏</t>
        </is>
      </c>
      <c r="H837" t="inlineStr">
        <is>
          <t>知乎用户讨论关于【每经17点丨外交部回应厄齐尔涉疆言论：欢迎他到新疆走一走看一看；全国人大常委会将审议证券法修订草案；海关总署：支持澳门产业多元发展、融入国家发展大局】的实施细则与公众关切</t>
        </is>
      </c>
      <c r="I837" t="inlineStr">
        <is>
          <t>https://zhuanlan.zhihu.com/p/97664807</t>
        </is>
      </c>
      <c r="J837" t="inlineStr">
        <is>
          <t>全国</t>
        </is>
      </c>
      <c r="O837" t="inlineStr">
        <is>
          <t>普通话</t>
        </is>
      </c>
      <c r="P837" t="inlineStr">
        <is>
          <t>否</t>
        </is>
      </c>
      <c r="Q837" t="inlineStr">
        <is>
          <t>咨询疑问</t>
        </is>
      </c>
      <c r="R837" t="inlineStr">
        <is>
          <t>法律条款解读与争议讨论</t>
        </is>
      </c>
      <c r="S837" t="n">
        <v>0</v>
      </c>
      <c r="T837" t="n">
        <v>0</v>
      </c>
      <c r="U837" t="n">
        <v>0</v>
      </c>
      <c r="V837" t="inlineStr">
        <is>
          <t>否</t>
        </is>
      </c>
      <c r="W837" t="inlineStr">
        <is>
          <t>否</t>
        </is>
      </c>
      <c r="X837" t="inlineStr">
        <is>
          <t>历史导入:知乎_哔哩哔哩_百度知道舆情监测_最终修正版.xlsx；来源类型:公众意见/讨论；复核:知乎登录状态下抓取，真实有效；重复:否；待核实:否</t>
        </is>
      </c>
    </row>
    <row r="838">
      <c r="A838" t="inlineStr">
        <is>
          <t>hist-1cf97657ebad257e</t>
        </is>
      </c>
      <c r="B838" s="82" t="n">
        <v>46252.9403587963</v>
      </c>
      <c r="C838" s="82" t="n">
        <v>46218</v>
      </c>
      <c r="D838" t="inlineStr">
        <is>
          <t>知乎</t>
        </is>
      </c>
      <c r="E838" t="inlineStr">
        <is>
          <t>知乎/B站/百度知道</t>
        </is>
      </c>
      <c r="F838" t="inlineStr">
        <is>
          <t>网络检索</t>
        </is>
      </c>
      <c r="G838" t="inlineStr">
        <is>
          <t>知乎问答/专栏</t>
        </is>
      </c>
      <c r="H838" t="inlineStr">
        <is>
          <t>知乎用户讨论关于【关于涉疆问题的谎言与事实真相】的实施细则与公众关切</t>
        </is>
      </c>
      <c r="I838" t="inlineStr">
        <is>
          <t>https://zhuanlan.zhihu.com/p/349350547</t>
        </is>
      </c>
      <c r="J838" t="inlineStr">
        <is>
          <t>全国</t>
        </is>
      </c>
      <c r="O838" t="inlineStr">
        <is>
          <t>普通话</t>
        </is>
      </c>
      <c r="P838" t="inlineStr">
        <is>
          <t>否</t>
        </is>
      </c>
      <c r="Q838" t="inlineStr">
        <is>
          <t>咨询疑问</t>
        </is>
      </c>
      <c r="R838" t="inlineStr">
        <is>
          <t>法律条款解读与争议讨论</t>
        </is>
      </c>
      <c r="S838" t="n">
        <v>0</v>
      </c>
      <c r="T838" t="n">
        <v>0</v>
      </c>
      <c r="U838" t="n">
        <v>0</v>
      </c>
      <c r="V838" t="inlineStr">
        <is>
          <t>否</t>
        </is>
      </c>
      <c r="W838" t="inlineStr">
        <is>
          <t>否</t>
        </is>
      </c>
      <c r="X838" t="inlineStr">
        <is>
          <t>历史导入:知乎_哔哩哔哩_百度知道舆情监测_最终修正版.xlsx；来源类型:公众意见/讨论；复核:知乎登录状态下抓取，真实有效；重复:否；待核实:否</t>
        </is>
      </c>
    </row>
    <row r="839">
      <c r="A839" t="inlineStr">
        <is>
          <t>hist-1ceebe4ca07cbdd4</t>
        </is>
      </c>
      <c r="B839" s="82" t="n">
        <v>46252.9403587963</v>
      </c>
      <c r="C839" s="82" t="n">
        <v>46218</v>
      </c>
      <c r="D839" t="inlineStr">
        <is>
          <t>知乎</t>
        </is>
      </c>
      <c r="E839" t="inlineStr">
        <is>
          <t>知乎/B站/百度知道</t>
        </is>
      </c>
      <c r="F839" t="inlineStr">
        <is>
          <t>网络检索</t>
        </is>
      </c>
      <c r="G839" t="inlineStr">
        <is>
          <t>知乎问答/专栏</t>
        </is>
      </c>
      <c r="H839" t="inlineStr">
        <is>
          <t>文章标题明确涉及本法落地及国际舆论，但现有工作簿未保存作者身份或评论区公众原话。</t>
        </is>
      </c>
      <c r="I839" t="inlineStr">
        <is>
          <t>https://zhuanlan.zhihu.com/p/2056903490518230049</t>
        </is>
      </c>
      <c r="J839" t="inlineStr">
        <is>
          <t>全国</t>
        </is>
      </c>
      <c r="O839" t="inlineStr">
        <is>
          <t>普通话</t>
        </is>
      </c>
      <c r="P839" t="inlineStr">
        <is>
          <t>否</t>
        </is>
      </c>
      <c r="Q839" t="inlineStr">
        <is>
          <t>中性信息</t>
        </is>
      </c>
      <c r="R839" t="inlineStr">
        <is>
          <t>法律条款解读与争议讨论</t>
        </is>
      </c>
      <c r="S839" t="n">
        <v>0</v>
      </c>
      <c r="T839" t="n">
        <v>0</v>
      </c>
      <c r="U839" t="n">
        <v>0</v>
      </c>
      <c r="V839" t="inlineStr">
        <is>
          <t>否</t>
        </is>
      </c>
      <c r="W839" t="inlineStr">
        <is>
          <t>否</t>
        </is>
      </c>
      <c r="X839" t="inlineStr">
        <is>
          <t>历史导入:知乎_哔哩哔哩_百度知道舆情监测_最终修正版.xlsx；来源类型:自媒体/专栏（作者性质未记录）；复核:最终复核：保留相关线索，公众统计=否。；重复:否；待核实:否</t>
        </is>
      </c>
    </row>
    <row r="840">
      <c r="A840" t="inlineStr">
        <is>
          <t>hist-6cac694cb943f6b2</t>
        </is>
      </c>
      <c r="B840" s="82" t="n">
        <v>46252.9403587963</v>
      </c>
      <c r="C840" s="82" t="n">
        <v>46218</v>
      </c>
      <c r="D840" t="inlineStr">
        <is>
          <t>知乎</t>
        </is>
      </c>
      <c r="E840" t="inlineStr">
        <is>
          <t>知乎/B站/百度知道</t>
        </is>
      </c>
      <c r="F840" t="inlineStr">
        <is>
          <t>网络检索</t>
        </is>
      </c>
      <c r="G840" t="inlineStr">
        <is>
          <t>知乎问答/专栏</t>
        </is>
      </c>
      <c r="H840" t="inlineStr">
        <is>
          <t>知乎用户讨论关于【如何看待「男子因观看下载涉暴恐音视频被拘留 15 天」？】的实施细则与公众关切</t>
        </is>
      </c>
      <c r="I840" t="inlineStr">
        <is>
          <t>https://www.zhihu.com/question/44480542/answer/1902305650454803960</t>
        </is>
      </c>
      <c r="J840" t="inlineStr">
        <is>
          <t>全国</t>
        </is>
      </c>
      <c r="O840" t="inlineStr">
        <is>
          <t>普通话</t>
        </is>
      </c>
      <c r="P840" t="inlineStr">
        <is>
          <t>否</t>
        </is>
      </c>
      <c r="Q840" t="inlineStr">
        <is>
          <t>咨询疑问</t>
        </is>
      </c>
      <c r="R840" t="inlineStr">
        <is>
          <t>法律条款解读与争议讨论</t>
        </is>
      </c>
      <c r="S840" t="n">
        <v>0</v>
      </c>
      <c r="T840" t="n">
        <v>0</v>
      </c>
      <c r="U840" t="n">
        <v>0</v>
      </c>
      <c r="V840" t="inlineStr">
        <is>
          <t>否</t>
        </is>
      </c>
      <c r="W840" t="inlineStr">
        <is>
          <t>否</t>
        </is>
      </c>
      <c r="X840" t="inlineStr">
        <is>
          <t>历史导入:知乎_哔哩哔哩_百度知道舆情监测_最终修正版.xlsx；来源类型:公众意见/讨论；复核:知乎登录状态下抓取，真实有效；重复:否；待核实:否</t>
        </is>
      </c>
    </row>
    <row r="841">
      <c r="A841" t="inlineStr">
        <is>
          <t>hist-34acebf878523ba6</t>
        </is>
      </c>
      <c r="B841" s="82" t="n">
        <v>46252.9403587963</v>
      </c>
      <c r="C841" s="82" t="n">
        <v>46218</v>
      </c>
      <c r="D841" t="inlineStr">
        <is>
          <t>知乎</t>
        </is>
      </c>
      <c r="E841" t="inlineStr">
        <is>
          <t>知乎/B站/百度知道</t>
        </is>
      </c>
      <c r="F841" t="inlineStr">
        <is>
          <t>网络检索</t>
        </is>
      </c>
      <c r="G841" t="inlineStr">
        <is>
          <t>知乎问答/专栏</t>
        </is>
      </c>
      <c r="H841" t="inlineStr">
        <is>
          <t>知乎用户讨论关于【【新闻评论】立足司法本职 推进民族团结】的实施细则与公众关切</t>
        </is>
      </c>
      <c r="I841" t="inlineStr">
        <is>
          <t>https://zhuanlan.zhihu.com/p/89143255</t>
        </is>
      </c>
      <c r="J841" t="inlineStr">
        <is>
          <t>全国</t>
        </is>
      </c>
      <c r="O841" t="inlineStr">
        <is>
          <t>普通话</t>
        </is>
      </c>
      <c r="P841" t="inlineStr">
        <is>
          <t>否</t>
        </is>
      </c>
      <c r="Q841" t="inlineStr">
        <is>
          <t>咨询疑问</t>
        </is>
      </c>
      <c r="R841" t="inlineStr">
        <is>
          <t>法律条款解读与争议讨论</t>
        </is>
      </c>
      <c r="S841" t="n">
        <v>0</v>
      </c>
      <c r="T841" t="n">
        <v>0</v>
      </c>
      <c r="U841" t="n">
        <v>0</v>
      </c>
      <c r="V841" t="inlineStr">
        <is>
          <t>否</t>
        </is>
      </c>
      <c r="W841" t="inlineStr">
        <is>
          <t>否</t>
        </is>
      </c>
      <c r="X841" t="inlineStr">
        <is>
          <t>历史导入:知乎_哔哩哔哩_百度知道舆情监测_最终修正版.xlsx；来源类型:公众意见/讨论；复核:知乎登录状态下抓取，真实有效；重复:否；待核实:否</t>
        </is>
      </c>
    </row>
    <row r="842">
      <c r="A842" t="inlineStr">
        <is>
          <t>hist-1b04ccc54b784713</t>
        </is>
      </c>
      <c r="B842" s="82" t="n">
        <v>46252.9403587963</v>
      </c>
      <c r="C842" s="82" t="n">
        <v>46218</v>
      </c>
      <c r="D842" t="inlineStr">
        <is>
          <t>知乎</t>
        </is>
      </c>
      <c r="E842" t="inlineStr">
        <is>
          <t>知乎/B站/百度知道</t>
        </is>
      </c>
      <c r="F842" t="inlineStr">
        <is>
          <t>网络检索</t>
        </is>
      </c>
      <c r="G842" t="inlineStr">
        <is>
          <t>知乎问答/专栏</t>
        </is>
      </c>
      <c r="H842" t="inlineStr">
        <is>
          <t>知乎用户讨论关于【专家、委员解读政协报告：凝聚共识、团结一心共筑民族复兴梦】的实施细则与公众关切</t>
        </is>
      </c>
      <c r="I842" t="inlineStr">
        <is>
          <t>https://zhuanlan.zhihu.com/p/476442544</t>
        </is>
      </c>
      <c r="J842" t="inlineStr">
        <is>
          <t>全国</t>
        </is>
      </c>
      <c r="O842" t="inlineStr">
        <is>
          <t>普通话</t>
        </is>
      </c>
      <c r="P842" t="inlineStr">
        <is>
          <t>否</t>
        </is>
      </c>
      <c r="Q842" t="inlineStr">
        <is>
          <t>咨询疑问</t>
        </is>
      </c>
      <c r="R842" t="inlineStr">
        <is>
          <t>法律条款解读与争议讨论</t>
        </is>
      </c>
      <c r="S842" t="n">
        <v>0</v>
      </c>
      <c r="T842" t="n">
        <v>0</v>
      </c>
      <c r="U842" t="n">
        <v>0</v>
      </c>
      <c r="V842" t="inlineStr">
        <is>
          <t>否</t>
        </is>
      </c>
      <c r="W842" t="inlineStr">
        <is>
          <t>否</t>
        </is>
      </c>
      <c r="X842" t="inlineStr">
        <is>
          <t>历史导入:知乎_哔哩哔哩_百度知道舆情监测_最终修正版.xlsx；来源类型:公众意见/讨论；复核:知乎登录状态下抓取，真实有效；重复:否；待核实:否</t>
        </is>
      </c>
    </row>
    <row r="843">
      <c r="A843" t="inlineStr">
        <is>
          <t>hist-3479b7d7885cb552</t>
        </is>
      </c>
      <c r="B843" s="82" t="n">
        <v>46252.9403587963</v>
      </c>
      <c r="C843" s="82" t="n">
        <v>46218</v>
      </c>
      <c r="D843" t="inlineStr">
        <is>
          <t>知乎</t>
        </is>
      </c>
      <c r="E843" t="inlineStr">
        <is>
          <t>知乎/B站/百度知道</t>
        </is>
      </c>
      <c r="F843" t="inlineStr">
        <is>
          <t>网络检索</t>
        </is>
      </c>
      <c r="G843" t="inlineStr">
        <is>
          <t>知乎问答/专栏</t>
        </is>
      </c>
      <c r="H843" t="inlineStr">
        <is>
          <t>知乎用户讨论关于【中华人民共和国宪法（全文）】的实施细则与公众关切</t>
        </is>
      </c>
      <c r="I843" t="inlineStr">
        <is>
          <t>https://zhuanlan.zhihu.com/p/89155367</t>
        </is>
      </c>
      <c r="J843" t="inlineStr">
        <is>
          <t>全国</t>
        </is>
      </c>
      <c r="O843" t="inlineStr">
        <is>
          <t>普通话</t>
        </is>
      </c>
      <c r="P843" t="inlineStr">
        <is>
          <t>否</t>
        </is>
      </c>
      <c r="Q843" t="inlineStr">
        <is>
          <t>咨询疑问</t>
        </is>
      </c>
      <c r="R843" t="inlineStr">
        <is>
          <t>法律条款解读与争议讨论</t>
        </is>
      </c>
      <c r="S843" t="n">
        <v>0</v>
      </c>
      <c r="T843" t="n">
        <v>0</v>
      </c>
      <c r="U843" t="n">
        <v>0</v>
      </c>
      <c r="V843" t="inlineStr">
        <is>
          <t>否</t>
        </is>
      </c>
      <c r="W843" t="inlineStr">
        <is>
          <t>否</t>
        </is>
      </c>
      <c r="X843" t="inlineStr">
        <is>
          <t>历史导入:知乎_哔哩哔哩_百度知道舆情监测_最终修正版.xlsx；来源类型:公众意见/讨论；复核:知乎登录状态下抓取，真实有效；重复:否；待核实:否</t>
        </is>
      </c>
    </row>
    <row r="844">
      <c r="A844" t="inlineStr">
        <is>
          <t>hist-fcb01483f07b0686</t>
        </is>
      </c>
      <c r="B844" s="82" t="n">
        <v>46252.9403587963</v>
      </c>
      <c r="C844" s="82" t="n">
        <v>46218</v>
      </c>
      <c r="D844" t="inlineStr">
        <is>
          <t>知乎</t>
        </is>
      </c>
      <c r="E844" t="inlineStr">
        <is>
          <t>知乎/B站/百度知道</t>
        </is>
      </c>
      <c r="F844" t="inlineStr">
        <is>
          <t>网络检索</t>
        </is>
      </c>
      <c r="G844" t="inlineStr">
        <is>
          <t>知乎问答/专栏</t>
        </is>
      </c>
      <c r="H844" t="inlineStr">
        <is>
          <t>知乎用户讨论关于【人民日报任仲平文章：徙木立信焕发新活力 干净干事创造新伟业——写在全党深入贯彻中央八项规定精神学习教育开展之际】的实施细则与公众关切</t>
        </is>
      </c>
      <c r="I844" t="inlineStr">
        <is>
          <t>https://zhuanlan.zhihu.com/p/1888541144339689525</t>
        </is>
      </c>
      <c r="J844" t="inlineStr">
        <is>
          <t>全国</t>
        </is>
      </c>
      <c r="O844" t="inlineStr">
        <is>
          <t>普通话</t>
        </is>
      </c>
      <c r="P844" t="inlineStr">
        <is>
          <t>否</t>
        </is>
      </c>
      <c r="Q844" t="inlineStr">
        <is>
          <t>咨询疑问</t>
        </is>
      </c>
      <c r="R844" t="inlineStr">
        <is>
          <t>法律条款解读与争议讨论</t>
        </is>
      </c>
      <c r="S844" t="n">
        <v>0</v>
      </c>
      <c r="T844" t="n">
        <v>0</v>
      </c>
      <c r="U844" t="n">
        <v>0</v>
      </c>
      <c r="V844" t="inlineStr">
        <is>
          <t>否</t>
        </is>
      </c>
      <c r="W844" t="inlineStr">
        <is>
          <t>否</t>
        </is>
      </c>
      <c r="X844" t="inlineStr">
        <is>
          <t>历史导入:知乎_哔哩哔哩_百度知道舆情监测_最终修正版.xlsx；来源类型:公众意见/讨论；复核:知乎登录状态下抓取，真实有效；重复:否；待核实:否</t>
        </is>
      </c>
    </row>
    <row r="845">
      <c r="A845" t="inlineStr">
        <is>
          <t>hist-240cc8e7d224570d</t>
        </is>
      </c>
      <c r="B845" s="82" t="n">
        <v>46252.9403587963</v>
      </c>
      <c r="C845" s="82" t="n">
        <v>46218</v>
      </c>
      <c r="D845" t="inlineStr">
        <is>
          <t>知乎</t>
        </is>
      </c>
      <c r="E845" t="inlineStr">
        <is>
          <t>知乎/B站/百度知道</t>
        </is>
      </c>
      <c r="F845" t="inlineStr">
        <is>
          <t>网络检索</t>
        </is>
      </c>
      <c r="G845" t="inlineStr">
        <is>
          <t>知乎问答/专栏</t>
        </is>
      </c>
      <c r="H845" t="inlineStr">
        <is>
          <t>知乎用户讨论关于【重磅文章｜俞建华：深入践行习近平法治思想 全面提升海关法治建设水平】的实施细则与公众关切</t>
        </is>
      </c>
      <c r="I845" t="inlineStr">
        <is>
          <t>https://zhuanlan.zhihu.com/p/673193500</t>
        </is>
      </c>
      <c r="J845" t="inlineStr">
        <is>
          <t>全国</t>
        </is>
      </c>
      <c r="O845" t="inlineStr">
        <is>
          <t>普通话</t>
        </is>
      </c>
      <c r="P845" t="inlineStr">
        <is>
          <t>否</t>
        </is>
      </c>
      <c r="Q845" t="inlineStr">
        <is>
          <t>咨询疑问</t>
        </is>
      </c>
      <c r="R845" t="inlineStr">
        <is>
          <t>法律条款解读与争议讨论</t>
        </is>
      </c>
      <c r="S845" t="n">
        <v>0</v>
      </c>
      <c r="T845" t="n">
        <v>0</v>
      </c>
      <c r="U845" t="n">
        <v>0</v>
      </c>
      <c r="V845" t="inlineStr">
        <is>
          <t>否</t>
        </is>
      </c>
      <c r="W845" t="inlineStr">
        <is>
          <t>否</t>
        </is>
      </c>
      <c r="X845" t="inlineStr">
        <is>
          <t>历史导入:知乎_哔哩哔哩_百度知道舆情监测_最终修正版.xlsx；来源类型:公众意见/讨论；复核:知乎登录状态下抓取，真实有效；重复:否；待核实:否</t>
        </is>
      </c>
    </row>
    <row r="846">
      <c r="A846" t="inlineStr">
        <is>
          <t>hist-8b26f92ce9cc7507</t>
        </is>
      </c>
      <c r="B846" s="82" t="n">
        <v>46252.9403587963</v>
      </c>
      <c r="C846" s="82" t="n">
        <v>46218</v>
      </c>
      <c r="D846" t="inlineStr">
        <is>
          <t>知乎</t>
        </is>
      </c>
      <c r="E846" t="inlineStr">
        <is>
          <t>知乎/B站/百度知道</t>
        </is>
      </c>
      <c r="F846" t="inlineStr">
        <is>
          <t>网络检索</t>
        </is>
      </c>
      <c r="G846" t="inlineStr">
        <is>
          <t>知乎问答/专栏</t>
        </is>
      </c>
      <c r="H846" t="inlineStr">
        <is>
          <t>知乎用户讨论关于【政治建军专刊淬火要论丨律令如山壮军威】的实施细则与公众关切</t>
        </is>
      </c>
      <c r="I846" t="inlineStr">
        <is>
          <t>https://zhuanlan.zhihu.com/p/2011830379749852009</t>
        </is>
      </c>
      <c r="J846" t="inlineStr">
        <is>
          <t>全国</t>
        </is>
      </c>
      <c r="O846" t="inlineStr">
        <is>
          <t>普通话</t>
        </is>
      </c>
      <c r="P846" t="inlineStr">
        <is>
          <t>否</t>
        </is>
      </c>
      <c r="Q846" t="inlineStr">
        <is>
          <t>咨询疑问</t>
        </is>
      </c>
      <c r="R846" t="inlineStr">
        <is>
          <t>法律条款解读与争议讨论</t>
        </is>
      </c>
      <c r="S846" t="n">
        <v>0</v>
      </c>
      <c r="T846" t="n">
        <v>0</v>
      </c>
      <c r="U846" t="n">
        <v>0</v>
      </c>
      <c r="V846" t="inlineStr">
        <is>
          <t>否</t>
        </is>
      </c>
      <c r="W846" t="inlineStr">
        <is>
          <t>否</t>
        </is>
      </c>
      <c r="X846" t="inlineStr">
        <is>
          <t>历史导入:知乎_哔哩哔哩_百度知道舆情监测_最终修正版.xlsx；来源类型:公众意见/讨论；复核:知乎登录状态下抓取，真实有效；重复:否；待核实:否</t>
        </is>
      </c>
    </row>
    <row r="847">
      <c r="A847" t="inlineStr">
        <is>
          <t>hist-969736b7fe77032f</t>
        </is>
      </c>
      <c r="B847" s="82" t="n">
        <v>46252.9403587963</v>
      </c>
      <c r="C847" s="82" t="n">
        <v>46218</v>
      </c>
      <c r="D847" t="inlineStr">
        <is>
          <t>知乎</t>
        </is>
      </c>
      <c r="E847" t="inlineStr">
        <is>
          <t>知乎/B站/百度知道</t>
        </is>
      </c>
      <c r="F847" t="inlineStr">
        <is>
          <t>网络检索</t>
        </is>
      </c>
      <c r="G847" t="inlineStr">
        <is>
          <t>知乎问答/专栏</t>
        </is>
      </c>
      <c r="H847" t="inlineStr">
        <is>
          <t>知乎用户讨论关于【中央政法工作会议召开！今年政法工作重点抓这7件大事】的实施细则与公众关切</t>
        </is>
      </c>
      <c r="I847" t="inlineStr">
        <is>
          <t>https://zhuanlan.zhihu.com/p/343200034</t>
        </is>
      </c>
      <c r="J847" t="inlineStr">
        <is>
          <t>全国</t>
        </is>
      </c>
      <c r="O847" t="inlineStr">
        <is>
          <t>普通话</t>
        </is>
      </c>
      <c r="P847" t="inlineStr">
        <is>
          <t>否</t>
        </is>
      </c>
      <c r="Q847" t="inlineStr">
        <is>
          <t>咨询疑问</t>
        </is>
      </c>
      <c r="R847" t="inlineStr">
        <is>
          <t>法律条款解读与争议讨论</t>
        </is>
      </c>
      <c r="S847" t="n">
        <v>0</v>
      </c>
      <c r="T847" t="n">
        <v>0</v>
      </c>
      <c r="U847" t="n">
        <v>0</v>
      </c>
      <c r="V847" t="inlineStr">
        <is>
          <t>否</t>
        </is>
      </c>
      <c r="W847" t="inlineStr">
        <is>
          <t>否</t>
        </is>
      </c>
      <c r="X847" t="inlineStr">
        <is>
          <t>历史导入:知乎_哔哩哔哩_百度知道舆情监测_最终修正版.xlsx；来源类型:公众意见/讨论；复核:知乎登录状态下抓取，真实有效；重复:否；待核实:否</t>
        </is>
      </c>
    </row>
    <row r="848">
      <c r="A848" t="inlineStr">
        <is>
          <t>hist-1486594ab8489c76</t>
        </is>
      </c>
      <c r="B848" s="82" t="n">
        <v>46252.9403587963</v>
      </c>
      <c r="C848" s="82" t="n">
        <v>46218</v>
      </c>
      <c r="D848" t="inlineStr">
        <is>
          <t>知乎</t>
        </is>
      </c>
      <c r="E848" t="inlineStr">
        <is>
          <t>知乎/B站/百度知道</t>
        </is>
      </c>
      <c r="F848" t="inlineStr">
        <is>
          <t>网络检索</t>
        </is>
      </c>
      <c r="G848" t="inlineStr">
        <is>
          <t>知乎问答/专栏</t>
        </is>
      </c>
      <c r="H848" t="inlineStr">
        <is>
          <t>知乎用户讨论关于【外交部澄清37个涉华人权谬论】的实施细则与公众关切</t>
        </is>
      </c>
      <c r="I848" t="inlineStr">
        <is>
          <t>https://zhuanlan.zhihu.com/p/153246184</t>
        </is>
      </c>
      <c r="J848" t="inlineStr">
        <is>
          <t>全国</t>
        </is>
      </c>
      <c r="O848" t="inlineStr">
        <is>
          <t>普通话</t>
        </is>
      </c>
      <c r="P848" t="inlineStr">
        <is>
          <t>否</t>
        </is>
      </c>
      <c r="Q848" t="inlineStr">
        <is>
          <t>咨询疑问</t>
        </is>
      </c>
      <c r="R848" t="inlineStr">
        <is>
          <t>法律条款解读与争议讨论</t>
        </is>
      </c>
      <c r="S848" t="n">
        <v>0</v>
      </c>
      <c r="T848" t="n">
        <v>0</v>
      </c>
      <c r="U848" t="n">
        <v>0</v>
      </c>
      <c r="V848" t="inlineStr">
        <is>
          <t>否</t>
        </is>
      </c>
      <c r="W848" t="inlineStr">
        <is>
          <t>否</t>
        </is>
      </c>
      <c r="X848" t="inlineStr">
        <is>
          <t>历史导入:知乎_哔哩哔哩_百度知道舆情监测_最终修正版.xlsx；来源类型:公众意见/讨论；复核:知乎登录状态下抓取，真实有效；重复:否；待核实:否</t>
        </is>
      </c>
    </row>
    <row r="849">
      <c r="A849" t="inlineStr">
        <is>
          <t>hist-3753d309aa98689a</t>
        </is>
      </c>
      <c r="B849" s="82" t="n">
        <v>46252.9403587963</v>
      </c>
      <c r="C849" s="82" t="n">
        <v>46218</v>
      </c>
      <c r="D849" t="inlineStr">
        <is>
          <t>知乎</t>
        </is>
      </c>
      <c r="E849" t="inlineStr">
        <is>
          <t>知乎/B站/百度知道</t>
        </is>
      </c>
      <c r="F849" t="inlineStr">
        <is>
          <t>网络检索</t>
        </is>
      </c>
      <c r="G849" t="inlineStr">
        <is>
          <t>知乎问答/专栏</t>
        </is>
      </c>
      <c r="H849" t="inlineStr">
        <is>
          <t>知乎用户讨论关于【国新办发表《新疆各民族平等权利的保障》白皮书（全文）】的实施细则与公众关切</t>
        </is>
      </c>
      <c r="I849" t="inlineStr">
        <is>
          <t>https://zhuanlan.zhihu.com/p/389551616</t>
        </is>
      </c>
      <c r="J849" t="inlineStr">
        <is>
          <t>全国</t>
        </is>
      </c>
      <c r="O849" t="inlineStr">
        <is>
          <t>普通话</t>
        </is>
      </c>
      <c r="P849" t="inlineStr">
        <is>
          <t>否</t>
        </is>
      </c>
      <c r="Q849" t="inlineStr">
        <is>
          <t>咨询疑问</t>
        </is>
      </c>
      <c r="R849" t="inlineStr">
        <is>
          <t>法律条款解读与争议讨论</t>
        </is>
      </c>
      <c r="S849" t="n">
        <v>0</v>
      </c>
      <c r="T849" t="n">
        <v>0</v>
      </c>
      <c r="U849" t="n">
        <v>0</v>
      </c>
      <c r="V849" t="inlineStr">
        <is>
          <t>否</t>
        </is>
      </c>
      <c r="W849" t="inlineStr">
        <is>
          <t>否</t>
        </is>
      </c>
      <c r="X849" t="inlineStr">
        <is>
          <t>历史导入:知乎_哔哩哔哩_百度知道舆情监测_最终修正版.xlsx；来源类型:公众意见/讨论；复核:知乎登录状态下抓取，真实有效；重复:否；待核实:否</t>
        </is>
      </c>
    </row>
    <row r="850">
      <c r="A850" t="inlineStr">
        <is>
          <t>hist-a69e7cb84eec221d</t>
        </is>
      </c>
      <c r="B850" s="82" t="n">
        <v>46252.9403587963</v>
      </c>
      <c r="C850" s="82" t="n">
        <v>46218</v>
      </c>
      <c r="D850" t="inlineStr">
        <is>
          <t>知乎</t>
        </is>
      </c>
      <c r="E850" t="inlineStr">
        <is>
          <t>知乎/B站/百度知道</t>
        </is>
      </c>
      <c r="F850" t="inlineStr">
        <is>
          <t>网络检索</t>
        </is>
      </c>
      <c r="G850" t="inlineStr">
        <is>
          <t>知乎问答/专栏</t>
        </is>
      </c>
      <c r="H850" t="inlineStr">
        <is>
          <t>知乎用户讨论关于【检察机关依法履职推动社会主义核心价值观融入法治建设典型案例】的实施细则与公众关切</t>
        </is>
      </c>
      <c r="I850" t="inlineStr">
        <is>
          <t>https://zhuanlan.zhihu.com/p/1972289736396771764</t>
        </is>
      </c>
      <c r="J850" t="inlineStr">
        <is>
          <t>全国</t>
        </is>
      </c>
      <c r="O850" t="inlineStr">
        <is>
          <t>普通话</t>
        </is>
      </c>
      <c r="P850" t="inlineStr">
        <is>
          <t>否</t>
        </is>
      </c>
      <c r="Q850" t="inlineStr">
        <is>
          <t>咨询疑问</t>
        </is>
      </c>
      <c r="R850" t="inlineStr">
        <is>
          <t>法律条款解读与争议讨论</t>
        </is>
      </c>
      <c r="S850" t="n">
        <v>0</v>
      </c>
      <c r="T850" t="n">
        <v>0</v>
      </c>
      <c r="U850" t="n">
        <v>0</v>
      </c>
      <c r="V850" t="inlineStr">
        <is>
          <t>否</t>
        </is>
      </c>
      <c r="W850" t="inlineStr">
        <is>
          <t>否</t>
        </is>
      </c>
      <c r="X850" t="inlineStr">
        <is>
          <t>历史导入:知乎_哔哩哔哩_百度知道舆情监测_最终修正版.xlsx；来源类型:公众意见/讨论；复核:知乎登录状态下抓取，真实有效；重复:否；待核实:否</t>
        </is>
      </c>
    </row>
    <row r="851">
      <c r="A851" t="inlineStr">
        <is>
          <t>hist-5f7abeb92045a7b1</t>
        </is>
      </c>
      <c r="B851" s="82" t="n">
        <v>46252.9403587963</v>
      </c>
      <c r="C851" s="82" t="n">
        <v>46218</v>
      </c>
      <c r="D851" t="inlineStr">
        <is>
          <t>知乎</t>
        </is>
      </c>
      <c r="E851" t="inlineStr">
        <is>
          <t>知乎/B站/百度知道</t>
        </is>
      </c>
      <c r="F851" t="inlineStr">
        <is>
          <t>网络检索</t>
        </is>
      </c>
      <c r="G851" t="inlineStr">
        <is>
          <t>知乎问答/专栏</t>
        </is>
      </c>
      <c r="H851" t="inlineStr">
        <is>
          <t>知乎用户讨论关于【如何更好的应对网络暴力？】的实施细则与公众关切</t>
        </is>
      </c>
      <c r="I851" t="inlineStr">
        <is>
          <t>https://www.zhihu.com/question/547754166/answer/3211882622</t>
        </is>
      </c>
      <c r="J851" t="inlineStr">
        <is>
          <t>全国</t>
        </is>
      </c>
      <c r="O851" t="inlineStr">
        <is>
          <t>普通话</t>
        </is>
      </c>
      <c r="P851" t="inlineStr">
        <is>
          <t>否</t>
        </is>
      </c>
      <c r="Q851" t="inlineStr">
        <is>
          <t>咨询疑问</t>
        </is>
      </c>
      <c r="R851" t="inlineStr">
        <is>
          <t>法律条款解读与争议讨论</t>
        </is>
      </c>
      <c r="S851" t="n">
        <v>0</v>
      </c>
      <c r="T851" t="n">
        <v>0</v>
      </c>
      <c r="U851" t="n">
        <v>0</v>
      </c>
      <c r="V851" t="inlineStr">
        <is>
          <t>否</t>
        </is>
      </c>
      <c r="W851" t="inlineStr">
        <is>
          <t>否</t>
        </is>
      </c>
      <c r="X851" t="inlineStr">
        <is>
          <t>历史导入:知乎_哔哩哔哩_百度知道舆情监测_最终修正版.xlsx；来源类型:公众意见/讨论；复核:知乎登录状态下抓取，真实有效；重复:否；待核实:否</t>
        </is>
      </c>
    </row>
    <row r="852">
      <c r="A852" t="inlineStr">
        <is>
          <t>hist-3d786b7b6942c0b0</t>
        </is>
      </c>
      <c r="B852" s="82" t="n">
        <v>46252.9403587963</v>
      </c>
      <c r="C852" s="82" t="n">
        <v>46218</v>
      </c>
      <c r="D852" t="inlineStr">
        <is>
          <t>知乎</t>
        </is>
      </c>
      <c r="E852" t="inlineStr">
        <is>
          <t>知乎/B站/百度知道</t>
        </is>
      </c>
      <c r="F852" t="inlineStr">
        <is>
          <t>网络检索</t>
        </is>
      </c>
      <c r="G852" t="inlineStr">
        <is>
          <t>知乎问答/专栏</t>
        </is>
      </c>
      <c r="H852" t="inlineStr">
        <is>
          <t>知乎用户讨论关于【碰瓷新疆棉花？H&amp;M已“查无此店”】的实施细则与公众关切</t>
        </is>
      </c>
      <c r="I852" t="inlineStr">
        <is>
          <t>https://zhuanlan.zhihu.com/p/360249528</t>
        </is>
      </c>
      <c r="J852" t="inlineStr">
        <is>
          <t>全国</t>
        </is>
      </c>
      <c r="O852" t="inlineStr">
        <is>
          <t>普通话</t>
        </is>
      </c>
      <c r="P852" t="inlineStr">
        <is>
          <t>否</t>
        </is>
      </c>
      <c r="Q852" t="inlineStr">
        <is>
          <t>咨询疑问</t>
        </is>
      </c>
      <c r="R852" t="inlineStr">
        <is>
          <t>法律条款解读与争议讨论</t>
        </is>
      </c>
      <c r="S852" t="n">
        <v>0</v>
      </c>
      <c r="T852" t="n">
        <v>0</v>
      </c>
      <c r="U852" t="n">
        <v>0</v>
      </c>
      <c r="V852" t="inlineStr">
        <is>
          <t>否</t>
        </is>
      </c>
      <c r="W852" t="inlineStr">
        <is>
          <t>否</t>
        </is>
      </c>
      <c r="X852" t="inlineStr">
        <is>
          <t>历史导入:知乎_哔哩哔哩_百度知道舆情监测_最终修正版.xlsx；来源类型:公众意见/讨论；复核:知乎登录状态下抓取，真实有效；重复:否；待核实:否</t>
        </is>
      </c>
    </row>
    <row r="853">
      <c r="A853" t="inlineStr">
        <is>
          <t>hist-72114bc1a8f9d561</t>
        </is>
      </c>
      <c r="B853" s="82" t="n">
        <v>46252.9403587963</v>
      </c>
      <c r="C853" s="82" t="n">
        <v>46218</v>
      </c>
      <c r="D853" t="inlineStr">
        <is>
          <t>知乎</t>
        </is>
      </c>
      <c r="E853" t="inlineStr">
        <is>
          <t>知乎/B站/百度知道</t>
        </is>
      </c>
      <c r="F853" t="inlineStr">
        <is>
          <t>网络检索</t>
        </is>
      </c>
      <c r="G853" t="inlineStr">
        <is>
          <t>知乎问答/专栏</t>
        </is>
      </c>
      <c r="H853" t="inlineStr">
        <is>
          <t>知乎用户讨论关于【信息量巨大！不愧是王毅的记者会！】的实施细则与公众关切</t>
        </is>
      </c>
      <c r="I853" t="inlineStr">
        <is>
          <t>https://zhuanlan.zhihu.com/p/143231191</t>
        </is>
      </c>
      <c r="J853" t="inlineStr">
        <is>
          <t>全国</t>
        </is>
      </c>
      <c r="O853" t="inlineStr">
        <is>
          <t>普通话</t>
        </is>
      </c>
      <c r="P853" t="inlineStr">
        <is>
          <t>否</t>
        </is>
      </c>
      <c r="Q853" t="inlineStr">
        <is>
          <t>咨询疑问</t>
        </is>
      </c>
      <c r="R853" t="inlineStr">
        <is>
          <t>法律条款解读与争议讨论</t>
        </is>
      </c>
      <c r="S853" t="n">
        <v>0</v>
      </c>
      <c r="T853" t="n">
        <v>0</v>
      </c>
      <c r="U853" t="n">
        <v>0</v>
      </c>
      <c r="V853" t="inlineStr">
        <is>
          <t>否</t>
        </is>
      </c>
      <c r="W853" t="inlineStr">
        <is>
          <t>否</t>
        </is>
      </c>
      <c r="X853" t="inlineStr">
        <is>
          <t>历史导入:知乎_哔哩哔哩_百度知道舆情监测_最终修正版.xlsx；来源类型:公众意见/讨论；复核:知乎登录状态下抓取，真实有效；重复:否；待核实:否</t>
        </is>
      </c>
    </row>
    <row r="854">
      <c r="A854" t="inlineStr">
        <is>
          <t>hist-788a8ccc68644cf4</t>
        </is>
      </c>
      <c r="B854" s="82" t="n">
        <v>46252.9403587963</v>
      </c>
      <c r="C854" s="82" t="n">
        <v>46218</v>
      </c>
      <c r="D854" t="inlineStr">
        <is>
          <t>知乎</t>
        </is>
      </c>
      <c r="E854" t="inlineStr">
        <is>
          <t>知乎/B站/百度知道</t>
        </is>
      </c>
      <c r="F854" t="inlineStr">
        <is>
          <t>网络检索</t>
        </is>
      </c>
      <c r="G854" t="inlineStr">
        <is>
          <t>知乎问答/专栏</t>
        </is>
      </c>
      <c r="H854" t="inlineStr">
        <is>
          <t>知乎用户讨论关于【尹锡悦狼狈出局，却留下“内战遗产”】的实施细则与公众关切</t>
        </is>
      </c>
      <c r="I854" t="inlineStr">
        <is>
          <t>https://zhuanlan.zhihu.com/p/1892528630237746998</t>
        </is>
      </c>
      <c r="J854" t="inlineStr">
        <is>
          <t>全国</t>
        </is>
      </c>
      <c r="O854" t="inlineStr">
        <is>
          <t>普通话</t>
        </is>
      </c>
      <c r="P854" t="inlineStr">
        <is>
          <t>否</t>
        </is>
      </c>
      <c r="Q854" t="inlineStr">
        <is>
          <t>咨询疑问</t>
        </is>
      </c>
      <c r="R854" t="inlineStr">
        <is>
          <t>法律条款解读与争议讨论</t>
        </is>
      </c>
      <c r="S854" t="n">
        <v>0</v>
      </c>
      <c r="T854" t="n">
        <v>0</v>
      </c>
      <c r="U854" t="n">
        <v>0</v>
      </c>
      <c r="V854" t="inlineStr">
        <is>
          <t>否</t>
        </is>
      </c>
      <c r="W854" t="inlineStr">
        <is>
          <t>否</t>
        </is>
      </c>
      <c r="X854" t="inlineStr">
        <is>
          <t>历史导入:知乎_哔哩哔哩_百度知道舆情监测_最终修正版.xlsx；来源类型:公众意见/讨论；复核:知乎登录状态下抓取，真实有效；重复:否；待核实:否</t>
        </is>
      </c>
    </row>
    <row r="855">
      <c r="A855" t="inlineStr">
        <is>
          <t>hist-3c54eaa27ccfed27</t>
        </is>
      </c>
      <c r="B855" s="82" t="n">
        <v>46252.9403587963</v>
      </c>
      <c r="C855" s="82" t="n">
        <v>46218</v>
      </c>
      <c r="D855" t="inlineStr">
        <is>
          <t>知乎</t>
        </is>
      </c>
      <c r="E855" t="inlineStr">
        <is>
          <t>知乎/B站/百度知道</t>
        </is>
      </c>
      <c r="F855" t="inlineStr">
        <is>
          <t>网络检索</t>
        </is>
      </c>
      <c r="G855" t="inlineStr">
        <is>
          <t>知乎问答/专栏</t>
        </is>
      </c>
      <c r="H855" t="inlineStr">
        <is>
          <t>知乎用户讨论关于【《全国人民代表大会常务委员会工作报告》（全文）】的实施细则与公众关切</t>
        </is>
      </c>
      <c r="I855" t="inlineStr">
        <is>
          <t>https://zhuanlan.zhihu.com/p/480757778</t>
        </is>
      </c>
      <c r="J855" t="inlineStr">
        <is>
          <t>全国</t>
        </is>
      </c>
      <c r="O855" t="inlineStr">
        <is>
          <t>普通话</t>
        </is>
      </c>
      <c r="P855" t="inlineStr">
        <is>
          <t>否</t>
        </is>
      </c>
      <c r="Q855" t="inlineStr">
        <is>
          <t>咨询疑问</t>
        </is>
      </c>
      <c r="R855" t="inlineStr">
        <is>
          <t>法律条款解读与争议讨论</t>
        </is>
      </c>
      <c r="S855" t="n">
        <v>0</v>
      </c>
      <c r="T855" t="n">
        <v>0</v>
      </c>
      <c r="U855" t="n">
        <v>0</v>
      </c>
      <c r="V855" t="inlineStr">
        <is>
          <t>否</t>
        </is>
      </c>
      <c r="W855" t="inlineStr">
        <is>
          <t>否</t>
        </is>
      </c>
      <c r="X855" t="inlineStr">
        <is>
          <t>历史导入:知乎_哔哩哔哩_百度知道舆情监测_最终修正版.xlsx；来源类型:公众意见/讨论；复核:知乎登录状态下抓取，真实有效；重复:否；待核实:否</t>
        </is>
      </c>
    </row>
    <row r="856">
      <c r="A856" t="inlineStr">
        <is>
          <t>hist-589ea51c66c8c662</t>
        </is>
      </c>
      <c r="B856" s="82" t="n">
        <v>46252.9403587963</v>
      </c>
      <c r="C856" s="82" t="n">
        <v>46213</v>
      </c>
      <c r="D856" t="inlineStr">
        <is>
          <t>哔哩哔哩</t>
        </is>
      </c>
      <c r="E856" t="inlineStr">
        <is>
          <t>知乎/B站/百度知道</t>
        </is>
      </c>
      <c r="F856" t="inlineStr">
        <is>
          <t>网络检索</t>
        </is>
      </c>
      <c r="G856" t="inlineStr">
        <is>
          <t>哔哩哔哩视频/评论</t>
        </is>
      </c>
      <c r="H856" t="inlineStr">
        <is>
          <t>B站普及宣贯视频【《中华人民共和国民族团结进步促进法》解读促进交往交流交融 来源：海西州普法】及下方网友弹幕留言</t>
        </is>
      </c>
      <c r="I856" t="inlineStr">
        <is>
          <t>https://www.bilibili.com/video/BV1Do3D6xEap/</t>
        </is>
      </c>
      <c r="J856" t="inlineStr">
        <is>
          <t>全国</t>
        </is>
      </c>
      <c r="O856" t="inlineStr">
        <is>
          <t>普通话</t>
        </is>
      </c>
      <c r="P856" t="inlineStr">
        <is>
          <t>否</t>
        </is>
      </c>
      <c r="Q856" t="inlineStr">
        <is>
          <t>支持认可</t>
        </is>
      </c>
      <c r="R856" t="inlineStr">
        <is>
          <t>法律宣贯与施行解读</t>
        </is>
      </c>
      <c r="S856" t="n">
        <v>0</v>
      </c>
      <c r="T856" t="n">
        <v>0</v>
      </c>
      <c r="U856" t="n">
        <v>0</v>
      </c>
      <c r="V856" t="inlineStr">
        <is>
          <t>否</t>
        </is>
      </c>
      <c r="W856" t="inlineStr">
        <is>
          <t>否</t>
        </is>
      </c>
      <c r="X856" t="inlineStr">
        <is>
          <t>历史导入:知乎_哔哩哔哩_百度知道舆情监测_最终修正版.xlsx；来源类型:公众意见/视频；复核:B站真实数据，链接有效；重复:否；待核实:否</t>
        </is>
      </c>
    </row>
    <row r="857">
      <c r="A857" t="inlineStr">
        <is>
          <t>hist-19c7e4bb66179f38</t>
        </is>
      </c>
      <c r="B857" s="82" t="n">
        <v>46252.9403587963</v>
      </c>
      <c r="C857" s="82" t="n">
        <v>46223</v>
      </c>
      <c r="D857" t="inlineStr">
        <is>
          <t>百度知道</t>
        </is>
      </c>
      <c r="E857" t="inlineStr">
        <is>
          <t>知乎/B站/百度知道</t>
        </is>
      </c>
      <c r="F857" t="inlineStr">
        <is>
          <t>网络检索</t>
        </is>
      </c>
      <c r="G857" t="inlineStr">
        <is>
          <t>百度知道问答</t>
        </is>
      </c>
      <c r="H857" t="inlineStr">
        <is>
          <t>网民在百度知道提问求助：中华人民共和国民族团结进步促进法是</t>
        </is>
      </c>
      <c r="I857" t="inlineStr">
        <is>
          <t>http://zhidao.baidu.com/question/2088507598171455388.html?fr=iks&amp;word=%E4%B8%AD%E5%8D%8E%E4%BA%BA%E6%B0%91%E5%85%B1%E5%92%8C%E5%9B%BD%E6%B0%91%E6%97%8F%E5%9B%A2%E7%BB%93%E8%BF%9B%E6%AD%A5%E4%BF%83%E8%BF%9B%E6%B3%95</t>
        </is>
      </c>
      <c r="J857" t="inlineStr">
        <is>
          <t>全国</t>
        </is>
      </c>
      <c r="O857" t="inlineStr">
        <is>
          <t>普通话</t>
        </is>
      </c>
      <c r="P857" t="inlineStr">
        <is>
          <t>否</t>
        </is>
      </c>
      <c r="Q857" t="inlineStr">
        <is>
          <t>咨询疑问</t>
        </is>
      </c>
      <c r="R857" t="inlineStr">
        <is>
          <t>地方配套政策与求助咨询</t>
        </is>
      </c>
      <c r="S857" t="n">
        <v>0</v>
      </c>
      <c r="T857" t="n">
        <v>0</v>
      </c>
      <c r="U857" t="n">
        <v>0</v>
      </c>
      <c r="V857" t="inlineStr">
        <is>
          <t>否</t>
        </is>
      </c>
      <c r="W857" t="inlineStr">
        <is>
          <t>否</t>
        </is>
      </c>
      <c r="X857" t="inlineStr">
        <is>
          <t>历史导入:知乎_哔哩哔哩_百度知道舆情监测_最终修正版.xlsx；来源类型:公众意见/提问；复核:百度知道真实数据，链接有效；重复:否；待核实:否</t>
        </is>
      </c>
    </row>
    <row r="858">
      <c r="A858" t="inlineStr">
        <is>
          <t>hist-11677eb040e36e3d</t>
        </is>
      </c>
      <c r="B858" s="82" t="n">
        <v>46252.9403587963</v>
      </c>
      <c r="C858" s="82" t="n">
        <v>46223</v>
      </c>
      <c r="D858" t="inlineStr">
        <is>
          <t>百度知道</t>
        </is>
      </c>
      <c r="E858" t="inlineStr">
        <is>
          <t>知乎/B站/百度知道</t>
        </is>
      </c>
      <c r="F858" t="inlineStr">
        <is>
          <t>网络检索</t>
        </is>
      </c>
      <c r="G858" t="inlineStr">
        <is>
          <t>百度知道问答</t>
        </is>
      </c>
      <c r="H858" t="inlineStr">
        <is>
          <t>网民在百度知道提问求助：中华人民共和国民族团结进步促进法规定每年第几月的第四周</t>
        </is>
      </c>
      <c r="I858" t="inlineStr">
        <is>
          <t>http://zhidao.baidu.com/question/1832316221867225228.html?fr=iks&amp;word=%E4%B8%AD%E5%8D%8E%E4%BA%BA%E6%B0%91%E5%85%B1%E5%92%8C%E5%9B%BD%E6%B0%91%E6%97%8F%E5%9B%A2%E7%BB%93%E8%BF%9B%E6%AD%A5%E4%BF%83%E8%BF%9B%E6%B3%95</t>
        </is>
      </c>
      <c r="J858" t="inlineStr">
        <is>
          <t>全国</t>
        </is>
      </c>
      <c r="O858" t="inlineStr">
        <is>
          <t>普通话</t>
        </is>
      </c>
      <c r="P858" t="inlineStr">
        <is>
          <t>否</t>
        </is>
      </c>
      <c r="Q858" t="inlineStr">
        <is>
          <t>咨询疑问</t>
        </is>
      </c>
      <c r="R858" t="inlineStr">
        <is>
          <t>地方配套政策与求助咨询</t>
        </is>
      </c>
      <c r="S858" t="n">
        <v>0</v>
      </c>
      <c r="T858" t="n">
        <v>0</v>
      </c>
      <c r="U858" t="n">
        <v>0</v>
      </c>
      <c r="V858" t="inlineStr">
        <is>
          <t>否</t>
        </is>
      </c>
      <c r="W858" t="inlineStr">
        <is>
          <t>否</t>
        </is>
      </c>
      <c r="X858" t="inlineStr">
        <is>
          <t>历史导入:知乎_哔哩哔哩_百度知道舆情监测_最终修正版.xlsx；来源类型:公众意见/提问；复核:百度知道真实数据，链接有效；重复:否；待核实:否</t>
        </is>
      </c>
    </row>
    <row r="859">
      <c r="A859" t="inlineStr">
        <is>
          <t>hist-1ca7801267b92788</t>
        </is>
      </c>
      <c r="B859" s="82" t="n">
        <v>46252.9403587963</v>
      </c>
      <c r="C859" s="82" t="n">
        <v>46223</v>
      </c>
      <c r="D859" t="inlineStr">
        <is>
          <t>百度知道</t>
        </is>
      </c>
      <c r="E859" t="inlineStr">
        <is>
          <t>知乎/B站/百度知道</t>
        </is>
      </c>
      <c r="F859" t="inlineStr">
        <is>
          <t>网络检索</t>
        </is>
      </c>
      <c r="G859" t="inlineStr">
        <is>
          <t>百度知道问答</t>
        </is>
      </c>
      <c r="H859" t="inlineStr">
        <is>
          <t>网民在百度知道提问求助：新疆维吾尔自治区民族团结进步工作条例</t>
        </is>
      </c>
      <c r="I859" t="inlineStr">
        <is>
          <t>http://zhidao.baidu.com/question/1312035756536453259.html?fr=iks&amp;word=%E6%B0%91%E6%97%8F%E5%9B%A2%E7%BB%93%E8%BF%9B%E6%AD%A5%E4%BF%83%E8%BF%9B%E6%B3%95+%E6%96%B0%E7%96%86</t>
        </is>
      </c>
      <c r="J859" t="inlineStr">
        <is>
          <t>全国</t>
        </is>
      </c>
      <c r="O859" t="inlineStr">
        <is>
          <t>普通话</t>
        </is>
      </c>
      <c r="P859" t="inlineStr">
        <is>
          <t>否</t>
        </is>
      </c>
      <c r="Q859" t="inlineStr">
        <is>
          <t>咨询疑问</t>
        </is>
      </c>
      <c r="R859" t="inlineStr">
        <is>
          <t>地方配套政策与求助咨询</t>
        </is>
      </c>
      <c r="S859" t="n">
        <v>0</v>
      </c>
      <c r="T859" t="n">
        <v>0</v>
      </c>
      <c r="U859" t="n">
        <v>0</v>
      </c>
      <c r="V859" t="inlineStr">
        <is>
          <t>否</t>
        </is>
      </c>
      <c r="W859" t="inlineStr">
        <is>
          <t>否</t>
        </is>
      </c>
      <c r="X859" t="inlineStr">
        <is>
          <t>历史导入:知乎_哔哩哔哩_百度知道舆情监测_最终修正版.xlsx；来源类型:公众意见/提问；复核:百度知道真实数据，链接有效；重复:否；待核实:否</t>
        </is>
      </c>
    </row>
    <row r="860">
      <c r="A860" t="inlineStr">
        <is>
          <t>hist-6975d0e2b95826aa</t>
        </is>
      </c>
      <c r="B860" s="82" t="n">
        <v>46252.9403587963</v>
      </c>
      <c r="C860" s="82" t="n">
        <v>46223</v>
      </c>
      <c r="D860" t="inlineStr">
        <is>
          <t>百度知道</t>
        </is>
      </c>
      <c r="E860" t="inlineStr">
        <is>
          <t>知乎/B站/百度知道</t>
        </is>
      </c>
      <c r="F860" t="inlineStr">
        <is>
          <t>网络检索</t>
        </is>
      </c>
      <c r="G860" t="inlineStr">
        <is>
          <t>百度知道问答</t>
        </is>
      </c>
      <c r="H860" t="inlineStr">
        <is>
          <t>网民在百度知道提问求助：现行中华人民共和国民族团结进步促进法共有条文数量是</t>
        </is>
      </c>
      <c r="I860" t="inlineStr">
        <is>
          <t>http://zhidao.baidu.com/question/277537741070035125.html?fr=iks&amp;word=%E6%B0%91%E6%97%8F%E5%9B%A2%E7%BB%93%E8%BF%9B%E6%AD%A5%E4%BF%83%E8%BF%9B%E6%B3%95+%E6%96%B0%E7%96%86</t>
        </is>
      </c>
      <c r="J860" t="inlineStr">
        <is>
          <t>全国</t>
        </is>
      </c>
      <c r="O860" t="inlineStr">
        <is>
          <t>普通话</t>
        </is>
      </c>
      <c r="P860" t="inlineStr">
        <is>
          <t>否</t>
        </is>
      </c>
      <c r="Q860" t="inlineStr">
        <is>
          <t>咨询疑问</t>
        </is>
      </c>
      <c r="R860" t="inlineStr">
        <is>
          <t>地方配套政策与求助咨询</t>
        </is>
      </c>
      <c r="S860" t="n">
        <v>0</v>
      </c>
      <c r="T860" t="n">
        <v>0</v>
      </c>
      <c r="U860" t="n">
        <v>0</v>
      </c>
      <c r="V860" t="inlineStr">
        <is>
          <t>否</t>
        </is>
      </c>
      <c r="W860" t="inlineStr">
        <is>
          <t>否</t>
        </is>
      </c>
      <c r="X860" t="inlineStr">
        <is>
          <t>历史导入:知乎_哔哩哔哩_百度知道舆情监测_最终修正版.xlsx；来源类型:公众意见/提问；复核:百度知道真实数据，链接有效；重复:否；待核实:否</t>
        </is>
      </c>
    </row>
    <row r="861">
      <c r="A861" t="inlineStr">
        <is>
          <t>hist-411ea430719d4561</t>
        </is>
      </c>
      <c r="B861" s="82" t="n">
        <v>46252.9403587963</v>
      </c>
      <c r="C861" s="82" t="n">
        <v>46205</v>
      </c>
      <c r="D861" t="inlineStr">
        <is>
          <t>重庆市民族宗教事务委员会</t>
        </is>
      </c>
      <c r="E861" t="inlineStr">
        <is>
          <t>其他</t>
        </is>
      </c>
      <c r="F861" t="inlineStr">
        <is>
          <t>A轮官方网站</t>
        </is>
      </c>
      <c r="G861" t="inlineStr">
        <is>
          <t>区县动态</t>
        </is>
      </c>
      <c r="H861" t="inlineStr">
        <is>
          <t>“秀山县围绕新施行的《中华人民共和国民族团结进步促进法》逐条研学。”</t>
        </is>
      </c>
      <c r="I861" t="inlineStr">
        <is>
          <t>https://mzzjw.cq.gov.cn/sy_188/qxdt/202607/t20260702_15793268.html</t>
        </is>
      </c>
      <c r="J861" t="inlineStr">
        <is>
          <t>重庆市秀山土家族苗族自治县</t>
        </is>
      </c>
      <c r="L861" t="inlineStr">
        <is>
          <t>重庆</t>
        </is>
      </c>
      <c r="O861" t="inlineStr">
        <is>
          <t>中文</t>
        </is>
      </c>
      <c r="P861" t="inlineStr">
        <is>
          <t>否</t>
        </is>
      </c>
      <c r="Q861" t="inlineStr">
        <is>
          <t>官方政策信息</t>
        </is>
      </c>
      <c r="R861" t="inlineStr">
        <is>
          <t>学习贯彻；部门学习；新法施行</t>
        </is>
      </c>
      <c r="S861" t="n">
        <v>0</v>
      </c>
      <c r="T861" t="n">
        <v>0</v>
      </c>
      <c r="U861" t="n">
        <v>0</v>
      </c>
      <c r="V861" t="inlineStr">
        <is>
          <t>否</t>
        </is>
      </c>
      <c r="W861" t="inlineStr">
        <is>
          <t>否</t>
        </is>
      </c>
      <c r="X861" t="inlineStr">
        <is>
          <t>历史导入:第二组16县_民族团结进步促进法舆情回溯_最终修正版.xlsx；来源类型:政府部门官网；复核:已打开官网线索；来源为重庆市民宗委。；重复:否；待核实:否</t>
        </is>
      </c>
    </row>
    <row r="862">
      <c r="A862" t="inlineStr">
        <is>
          <t>hist-de8a2586731f007d</t>
        </is>
      </c>
      <c r="B862" s="82" t="n">
        <v>46252.9403587963</v>
      </c>
      <c r="C862" s="82" t="n">
        <v>46217</v>
      </c>
      <c r="D862" t="inlineStr">
        <is>
          <t>重庆统一战线</t>
        </is>
      </c>
      <c r="E862" t="inlineStr">
        <is>
          <t>其他</t>
        </is>
      </c>
      <c r="F862" t="inlineStr">
        <is>
          <t>A轮官方网站</t>
        </is>
      </c>
      <c r="G862" t="inlineStr">
        <is>
          <t>区县动态/统战系统</t>
        </is>
      </c>
      <c r="H862" t="inlineStr">
        <is>
          <t>标题直接写明“《中华人民共和国民族团结进步促进法》专题学习会”。</t>
        </is>
      </c>
      <c r="I862" t="inlineStr">
        <is>
          <t>https://www.cqtzb.gov.cn/web/article/1526541177761370112/web/content_1526541177761370112.html</t>
        </is>
      </c>
      <c r="J862" t="inlineStr">
        <is>
          <t>重庆市秀山土家族苗族自治县</t>
        </is>
      </c>
      <c r="L862" t="inlineStr">
        <is>
          <t>重庆</t>
        </is>
      </c>
      <c r="O862" t="inlineStr">
        <is>
          <t>中文</t>
        </is>
      </c>
      <c r="P862" t="inlineStr">
        <is>
          <t>否</t>
        </is>
      </c>
      <c r="Q862" t="inlineStr">
        <is>
          <t>官方政策信息</t>
        </is>
      </c>
      <c r="R862" t="inlineStr">
        <is>
          <t>专题学习；统战系统；干部学习</t>
        </is>
      </c>
      <c r="S862" t="n">
        <v>0</v>
      </c>
      <c r="T862" t="n">
        <v>0</v>
      </c>
      <c r="U862" t="n">
        <v>0</v>
      </c>
      <c r="V862" t="inlineStr">
        <is>
          <t>否</t>
        </is>
      </c>
      <c r="W862" t="inlineStr">
        <is>
          <t>否</t>
        </is>
      </c>
      <c r="X862" t="inlineStr">
        <is>
          <t>历史导入:第二组16县_民族团结进步促进法舆情回溯_最终修正版.xlsx；来源类型:党委统战部门官网；复核:已补入A轮有效记录；应与微信同步情况分开核验。；重复:否；待核实:否</t>
        </is>
      </c>
    </row>
    <row r="863">
      <c r="A863" t="inlineStr">
        <is>
          <t>hist-590474f943788945</t>
        </is>
      </c>
      <c r="B863" s="82" t="n">
        <v>46252.9403587963</v>
      </c>
      <c r="C863" s="82" t="n">
        <v>46220</v>
      </c>
      <c r="D863" t="inlineStr">
        <is>
          <t>最高人民法院</t>
        </is>
      </c>
      <c r="E863" t="inlineStr">
        <is>
          <t>其他</t>
        </is>
      </c>
      <c r="F863" t="inlineStr">
        <is>
          <t>A轮官方网站</t>
        </is>
      </c>
      <c r="G863" t="inlineStr">
        <is>
          <t>人民法院新闻/人民法院报</t>
        </is>
      </c>
      <c r="H863" t="inlineStr">
        <is>
          <t>“出台《关于深入贯彻〈中华人民共和国民族团结进步促进法〉铸牢中华民族共同体意识的工作意见》。”</t>
        </is>
      </c>
      <c r="I863" t="inlineStr">
        <is>
          <t>https://www.court.gov.cn/zixun/xiangqing/506331.html</t>
        </is>
      </c>
      <c r="J863" t="inlineStr">
        <is>
          <t>重庆市秀山土家族苗族自治县</t>
        </is>
      </c>
      <c r="L863" t="inlineStr">
        <is>
          <t>重庆</t>
        </is>
      </c>
      <c r="O863" t="inlineStr">
        <is>
          <t>中文</t>
        </is>
      </c>
      <c r="P863" t="inlineStr">
        <is>
          <t>否</t>
        </is>
      </c>
      <c r="Q863" t="inlineStr">
        <is>
          <t>官方政策信息</t>
        </is>
      </c>
      <c r="R863" t="inlineStr">
        <is>
          <t>司法实施；工作意见；基层落实</t>
        </is>
      </c>
      <c r="S863" t="n">
        <v>0</v>
      </c>
      <c r="T863" t="n">
        <v>0</v>
      </c>
      <c r="U863" t="n">
        <v>0</v>
      </c>
      <c r="V863" t="inlineStr">
        <is>
          <t>否</t>
        </is>
      </c>
      <c r="W863" t="inlineStr">
        <is>
          <t>否</t>
        </is>
      </c>
      <c r="X863" t="inlineStr">
        <is>
          <t>历史导入:第二组16县_民族团结进步促进法舆情回溯_最终修正版.xlsx；来源类型:中央机关官网/官方媒体；复核:中央官网可核验；属于官方网站A轮有效。；重复:否；待核实:否</t>
        </is>
      </c>
    </row>
    <row r="864">
      <c r="A864" t="inlineStr">
        <is>
          <t>hist-117a8da94e7312c2</t>
        </is>
      </c>
      <c r="B864" s="82" t="n">
        <v>46252.9403587963</v>
      </c>
      <c r="C864" s="82" t="n">
        <v>46226</v>
      </c>
      <c r="D864" t="inlineStr">
        <is>
          <t>重庆市民族宗教事务委员会</t>
        </is>
      </c>
      <c r="E864" t="inlineStr">
        <is>
          <t>其他</t>
        </is>
      </c>
      <c r="F864" t="inlineStr">
        <is>
          <t>A轮官方网站</t>
        </is>
      </c>
      <c r="G864" t="inlineStr">
        <is>
          <t>部门动态</t>
        </is>
      </c>
      <c r="H864" t="inlineStr">
        <is>
          <t>“在石柱土家族自治县举行……广泛学习宣传民族团结进步促进法。”</t>
        </is>
      </c>
      <c r="I864" t="inlineStr">
        <is>
          <t>https://mzzjw.cq.gov.cn/sy_188/bmdt/202607/t20260723_15844175.html</t>
        </is>
      </c>
      <c r="J864" t="inlineStr">
        <is>
          <t>重庆市石柱土家族自治县</t>
        </is>
      </c>
      <c r="L864" t="inlineStr">
        <is>
          <t>重庆</t>
        </is>
      </c>
      <c r="O864" t="inlineStr">
        <is>
          <t>中文</t>
        </is>
      </c>
      <c r="P864" t="inlineStr">
        <is>
          <t>否</t>
        </is>
      </c>
      <c r="Q864" t="inlineStr">
        <is>
          <t>官方政策信息</t>
        </is>
      </c>
      <c r="R864" t="inlineStr">
        <is>
          <t>学习宣传；会议活动；石柱举办</t>
        </is>
      </c>
      <c r="S864" t="n">
        <v>0</v>
      </c>
      <c r="T864" t="n">
        <v>0</v>
      </c>
      <c r="U864" t="n">
        <v>0</v>
      </c>
      <c r="V864" t="inlineStr">
        <is>
          <t>否</t>
        </is>
      </c>
      <c r="W864" t="inlineStr">
        <is>
          <t>否</t>
        </is>
      </c>
      <c r="X864" t="inlineStr">
        <is>
          <t>历史导入:第二组16县_民族团结进步促进法舆情回溯_最终修正版.xlsx；来源类型:政府部门官网；复核:活动地点在石柱，来源为重庆市民宗委；不等同于石柱县政府单独发布。；重复:否；待核实:否</t>
        </is>
      </c>
    </row>
    <row r="865">
      <c r="A865" t="inlineStr">
        <is>
          <t>hist-271d5db4046ffeb7</t>
        </is>
      </c>
      <c r="B865" s="82" t="n">
        <v>46252.9403587963</v>
      </c>
      <c r="C865" s="82" t="n">
        <v>46204</v>
      </c>
      <c r="D865" t="inlineStr">
        <is>
          <t>玉屏侗族自治县人民政府/玉屏网</t>
        </is>
      </c>
      <c r="E865" t="inlineStr">
        <is>
          <t>其他</t>
        </is>
      </c>
      <c r="F865" t="inlineStr">
        <is>
          <t>A轮官方网站</t>
        </is>
      </c>
      <c r="G865" t="inlineStr">
        <is>
          <t>玉屏要闻</t>
        </is>
      </c>
      <c r="H865" t="inlineStr">
        <is>
          <t>“抢答题目涵盖《中华人民共和国民族团结进步促进法》……7月1日正式施行。”</t>
        </is>
      </c>
      <c r="I865" t="inlineStr">
        <is>
          <t>https://www.yp.gov.cn/contents/2026/07/01/receive-0cfdbd19-dce9-4ae5-b3cb-0ca19e9c3912.html</t>
        </is>
      </c>
      <c r="J865" t="inlineStr">
        <is>
          <t>贵州省玉屏侗族自治县</t>
        </is>
      </c>
      <c r="L865" t="inlineStr">
        <is>
          <t>贵州</t>
        </is>
      </c>
      <c r="O865" t="inlineStr">
        <is>
          <t>中文</t>
        </is>
      </c>
      <c r="P865" t="inlineStr">
        <is>
          <t>否</t>
        </is>
      </c>
      <c r="Q865" t="inlineStr">
        <is>
          <t>官方政策信息</t>
        </is>
      </c>
      <c r="R865" t="inlineStr">
        <is>
          <t>文艺普法；基层宣传；群众参与</t>
        </is>
      </c>
      <c r="S865" t="n">
        <v>0</v>
      </c>
      <c r="T865" t="n">
        <v>0</v>
      </c>
      <c r="U865" t="n">
        <v>0</v>
      </c>
      <c r="V865" t="inlineStr">
        <is>
          <t>否</t>
        </is>
      </c>
      <c r="W865" t="inlineStr">
        <is>
          <t>否</t>
        </is>
      </c>
      <c r="X865" t="inlineStr">
        <is>
          <t>历史导入:第二组16县_民族团结进步促进法舆情回溯_最终修正版.xlsx；来源类型:县级政府门户/官方新闻网；复核:已打开政府门户；B轮需核验是否同步到微信公众号。；重复:否；待核实:否</t>
        </is>
      </c>
    </row>
    <row r="866">
      <c r="A866" t="inlineStr">
        <is>
          <t>hist-319c23af4b3ac7fe</t>
        </is>
      </c>
      <c r="B866" s="82" t="n">
        <v>46252.9403587963</v>
      </c>
      <c r="C866" s="82" t="n">
        <v>46224</v>
      </c>
      <c r="D866" t="inlineStr">
        <is>
          <t>中央网信办官网；微信搜一搜/公众号</t>
        </is>
      </c>
      <c r="E866" t="inlineStr">
        <is>
          <t>微信公众号/视频号</t>
        </is>
      </c>
      <c r="F866" t="inlineStr">
        <is>
          <t>A轮官方公开网页/B轮微信截图补证</t>
        </is>
      </c>
      <c r="G866" t="inlineStr">
        <is>
          <t>中央网信办/宁夏日报；网信沙坡头、隆德重法、中卫政法、银川政法、宁夏高级人民法院等转载</t>
        </is>
      </c>
      <c r="H866" t="inlineStr">
        <is>
          <t>7月15日，青铜峡市瞿靖镇光辉村的蔬菜基地里，来自贵州省紫云苗族布依族自治县的苗族务工人员杨小马歇晌间隙，看起了手机里关于《中华人民共和国民族团结进步促进法》的普法直播。</t>
        </is>
      </c>
      <c r="I866" t="inlineStr">
        <is>
          <t>https://www.cac.gov.cn/2026-07/21/c_1786380775697842.htm</t>
        </is>
      </c>
      <c r="J866" t="inlineStr">
        <is>
          <t>贵州省紫云苗族布依族自治县（跨省联动涉及）</t>
        </is>
      </c>
      <c r="L866" t="inlineStr">
        <is>
          <t>贵州</t>
        </is>
      </c>
      <c r="O866" t="inlineStr">
        <is>
          <t>中文</t>
        </is>
      </c>
      <c r="P866" t="inlineStr">
        <is>
          <t>否</t>
        </is>
      </c>
      <c r="Q866" t="inlineStr">
        <is>
          <t>官方政策信息</t>
        </is>
      </c>
      <c r="R866" t="inlineStr">
        <is>
          <t>网络法治宣传/跨省务工服务/基层落实/紫云跨省联动</t>
        </is>
      </c>
      <c r="S866" t="n">
        <v>0</v>
      </c>
      <c r="T866" t="n">
        <v>0</v>
      </c>
      <c r="U866" t="n">
        <v>0</v>
      </c>
      <c r="V866" t="inlineStr">
        <is>
          <t>否</t>
        </is>
      </c>
      <c r="W866" t="inlineStr">
        <is>
          <t>否</t>
        </is>
      </c>
      <c r="X866" t="inlineStr">
        <is>
          <t>历史导入:第二组16县_民族团结进步促进法舆情回溯_最终修正版.xlsx；来源类型:官方媒体/新闻网站；复核:已完成口径复核：中央网信办原文可核验，主体为宁夏网络法治宣传实践，但明确涉及贵州紫云务工群体及青铜峡—紫云跨省联动。作为跨省联动补充信息保留，不计入紫云本地有效信息数；用户已确认紫云本地未有转载。；重复:否（正式仅保留中央网信办原始来源；微信多账号转载不重复计数）；待核实:否</t>
        </is>
      </c>
    </row>
    <row r="867">
      <c r="A867" t="inlineStr">
        <is>
          <t>hist-ee3b99422643d0dc</t>
        </is>
      </c>
      <c r="B867" s="82" t="n">
        <v>46252.9403587963</v>
      </c>
      <c r="C867" s="82" t="n">
        <v>46234.82291666666</v>
      </c>
      <c r="D867" t="inlineStr">
        <is>
          <t>微信公众号</t>
        </is>
      </c>
      <c r="E867" t="inlineStr">
        <is>
          <t>微信公众号/视频号</t>
        </is>
      </c>
      <c r="F867" t="inlineStr">
        <is>
          <t>B轮微信生态（人工截图/原文链接补充）</t>
        </is>
      </c>
      <c r="G867" t="inlineStr">
        <is>
          <t>微麻阳</t>
        </is>
      </c>
      <c r="H867" t="inlineStr">
        <is>
          <t>“会议审议并原则通过了《麻阳苗族自治县学习宣传贯彻〈中华人民共和国民族团结进步促进法〉工作方案》。”</t>
        </is>
      </c>
      <c r="I867" t="inlineStr">
        <is>
          <t>https://mp.weixin.qq.com/s/Xof7V_2csg6_G4JmSihZFQ</t>
        </is>
      </c>
      <c r="J867" t="inlineStr">
        <is>
          <t>湖南省麻阳苗族自治县</t>
        </is>
      </c>
      <c r="L867" t="inlineStr">
        <is>
          <t>湖南</t>
        </is>
      </c>
      <c r="O867" t="inlineStr">
        <is>
          <t>中文</t>
        </is>
      </c>
      <c r="P867" t="inlineStr">
        <is>
          <t>否</t>
        </is>
      </c>
      <c r="Q867" t="inlineStr">
        <is>
          <t>官方政策信息</t>
        </is>
      </c>
      <c r="R867" t="inlineStr">
        <is>
          <t>实施方案；县委常委会；学习宣传贯彻；基层落实</t>
        </is>
      </c>
      <c r="S867" t="n">
        <v>6</v>
      </c>
      <c r="T867" t="n">
        <v>0</v>
      </c>
      <c r="U867" t="n">
        <v>3</v>
      </c>
      <c r="V867" t="inlineStr">
        <is>
          <t>否</t>
        </is>
      </c>
      <c r="W867" t="inlineStr">
        <is>
          <t>否</t>
        </is>
      </c>
      <c r="X867" t="inlineStr">
        <is>
          <t>历史导入:第二组16县_民族团结进步促进法舆情回溯_最终修正版.xlsx；来源类型:县级融媒/官方公众号；复核:微信端人工截图核验并补原文链接；截图可见点赞6、转发3、收藏/喜欢1；评论/精选留言未见或未核，未计入公众意见。 用户确认重点文章均无留言。；重复:否；待核实:否</t>
        </is>
      </c>
    </row>
    <row r="868">
      <c r="A868" t="inlineStr">
        <is>
          <t>hist-ed4d1319b74acf02</t>
        </is>
      </c>
      <c r="B868" s="82" t="n">
        <v>46252.9403587963</v>
      </c>
      <c r="C868" s="82" t="n">
        <v>46235.375</v>
      </c>
      <c r="D868" t="inlineStr">
        <is>
          <t>微信公众号</t>
        </is>
      </c>
      <c r="E868" t="inlineStr">
        <is>
          <t>微信公众号/视频号</t>
        </is>
      </c>
      <c r="F868" t="inlineStr">
        <is>
          <t>B轮微信生态（人工截图/原文链接补充）</t>
        </is>
      </c>
      <c r="G868" t="inlineStr">
        <is>
          <t>重庆民族宗</t>
        </is>
      </c>
      <c r="H868" t="inlineStr">
        <is>
          <t>“7月29日至30日，市民族宗教委党组书记、主任程伟赴秀山自治县，宣讲《中华人民共和国民族团结进步促进法》。”</t>
        </is>
      </c>
      <c r="I868" t="inlineStr">
        <is>
          <t>https://mp.weixin.qq.com/s/IZm0l5JppUGxP-o-RvFfhQ</t>
        </is>
      </c>
      <c r="J868" t="inlineStr">
        <is>
          <t>重庆市秀山土家族苗族自治县</t>
        </is>
      </c>
      <c r="L868" t="inlineStr">
        <is>
          <t>重庆</t>
        </is>
      </c>
      <c r="O868" t="inlineStr">
        <is>
          <t>中文</t>
        </is>
      </c>
      <c r="P868" t="inlineStr">
        <is>
          <t>否</t>
        </is>
      </c>
      <c r="Q868" t="inlineStr">
        <is>
          <t>官方政策信息</t>
        </is>
      </c>
      <c r="R868" t="inlineStr">
        <is>
          <t>专题宣讲；市级民宗部门；秀山调研；学习宣传</t>
        </is>
      </c>
      <c r="S868" t="n">
        <v>12</v>
      </c>
      <c r="T868" t="n">
        <v>0</v>
      </c>
      <c r="U868" t="n">
        <v>10</v>
      </c>
      <c r="V868" t="inlineStr">
        <is>
          <t>否</t>
        </is>
      </c>
      <c r="W868" t="inlineStr">
        <is>
          <t>否</t>
        </is>
      </c>
      <c r="X868" t="inlineStr">
        <is>
          <t>历史导入:第二组16县_民族团结进步促进法舆情回溯_最终修正版.xlsx；来源类型:市级民宗部门官方公众号；复核:微信端人工截图核验并补原文链接；截图可见点赞12、转发10、收藏/喜欢13；评论/精选留言未见或未核，未计入公众意见。 用户确认重点文章均无留言。；重复:否；待核实:否</t>
        </is>
      </c>
    </row>
    <row r="869">
      <c r="A869" t="inlineStr">
        <is>
          <t>hist-74f1ee7d429ec97e</t>
        </is>
      </c>
      <c r="B869" s="82" t="n">
        <v>46252.9403587963</v>
      </c>
      <c r="C869" s="82" t="n">
        <v>46233.80763888889</v>
      </c>
      <c r="D869" t="inlineStr">
        <is>
          <t>微信公众号</t>
        </is>
      </c>
      <c r="E869" t="inlineStr">
        <is>
          <t>微信公众号/视频号</t>
        </is>
      </c>
      <c r="F869" t="inlineStr">
        <is>
          <t>B轮微信生态（人工截图/原文链接补充）</t>
        </is>
      </c>
      <c r="G869" t="inlineStr">
        <is>
          <t>同心武陵</t>
        </is>
      </c>
      <c r="H869" t="inlineStr">
        <is>
          <t>“7月29日，县委书记马文森主持召开县委理论学习中心组（扩大）2026年第6次学习暨‘同心武陵·秀才秀参’大讲堂（第21期），全面深入学习《中华人民共和国民族团结进步促进法》。”</t>
        </is>
      </c>
      <c r="I869" t="inlineStr">
        <is>
          <t>https://mp.weixin.qq.com/s/ViaqEnLapUEYKjgo1kBfLQ</t>
        </is>
      </c>
      <c r="J869" t="inlineStr">
        <is>
          <t>重庆市秀山土家族苗族自治县</t>
        </is>
      </c>
      <c r="L869" t="inlineStr">
        <is>
          <t>重庆</t>
        </is>
      </c>
      <c r="O869" t="inlineStr">
        <is>
          <t>中文</t>
        </is>
      </c>
      <c r="P869" t="inlineStr">
        <is>
          <t>否</t>
        </is>
      </c>
      <c r="Q869" t="inlineStr">
        <is>
          <t>官方政策信息</t>
        </is>
      </c>
      <c r="R869" t="inlineStr">
        <is>
          <t>理论学习中心组；干部学习；学习宣传贯彻；基层落实</t>
        </is>
      </c>
      <c r="S869" t="n">
        <v>4</v>
      </c>
      <c r="T869" t="n">
        <v>0</v>
      </c>
      <c r="U869" t="n">
        <v>6</v>
      </c>
      <c r="V869" t="inlineStr">
        <is>
          <t>否</t>
        </is>
      </c>
      <c r="W869" t="inlineStr">
        <is>
          <t>否</t>
        </is>
      </c>
      <c r="X869" t="inlineStr">
        <is>
          <t>历史导入:第二组16县_民族团结进步促进法舆情回溯_最终修正版.xlsx；来源类型:县级统战/官方公众号；复核:微信端人工截图核验并补原文链接；截图可见点赞4、转发6、收藏/喜欢3；用户确认重点文章均无留言。；重复:否；待核实:否</t>
        </is>
      </c>
    </row>
    <row r="870">
      <c r="A870" t="inlineStr">
        <is>
          <t>hist-58cded8a59d71932</t>
        </is>
      </c>
      <c r="B870" s="82" t="n">
        <v>46252.9403587963</v>
      </c>
      <c r="C870" s="82" t="n">
        <v>46218.72708333333</v>
      </c>
      <c r="D870" t="inlineStr">
        <is>
          <t>微信公众号</t>
        </is>
      </c>
      <c r="E870" t="inlineStr">
        <is>
          <t>微信公众号/视频号</t>
        </is>
      </c>
      <c r="F870" t="inlineStr">
        <is>
          <t>B轮微信生态（人工截图/原文链接补充）</t>
        </is>
      </c>
      <c r="G870" t="inlineStr">
        <is>
          <t>微玉屏市场监管</t>
        </is>
      </c>
      <c r="H870" t="inlineStr">
        <is>
          <t>“制定民族团结进步促进法，是党中央部署的重大政治任务和立法任务……”</t>
        </is>
      </c>
      <c r="I870" t="inlineStr">
        <is>
          <t>https://mp.weixin.qq.com/s/xbKT5UmnuDTs1bRBoCbqTg</t>
        </is>
      </c>
      <c r="J870" t="inlineStr">
        <is>
          <t>贵州省玉屏侗族自治县</t>
        </is>
      </c>
      <c r="L870" t="inlineStr">
        <is>
          <t>贵州</t>
        </is>
      </c>
      <c r="O870" t="inlineStr">
        <is>
          <t>中文</t>
        </is>
      </c>
      <c r="P870" t="inlineStr">
        <is>
          <t>否</t>
        </is>
      </c>
      <c r="Q870" t="inlineStr">
        <is>
          <t>官方政策信息</t>
        </is>
      </c>
      <c r="R870" t="inlineStr">
        <is>
          <t>法律解读；部门普法；政策宣传</t>
        </is>
      </c>
      <c r="S870" t="n">
        <v>0</v>
      </c>
      <c r="T870" t="n">
        <v>0</v>
      </c>
      <c r="U870" t="n">
        <v>1</v>
      </c>
      <c r="V870" t="inlineStr">
        <is>
          <t>否</t>
        </is>
      </c>
      <c r="W870" t="inlineStr">
        <is>
          <t>否</t>
        </is>
      </c>
      <c r="X870" t="inlineStr">
        <is>
          <t>历史导入:第二组16县_民族团结进步促进法舆情回溯_最终修正版.xlsx；来源类型:市场监管部门官方公众号；复核:微信端人工截图核验并补原文链接；截图可见转发1，未见明确点赞数；用户确认重点文章均无留言。；重复:否；待核实:否</t>
        </is>
      </c>
    </row>
    <row r="871">
      <c r="A871" t="inlineStr">
        <is>
          <t>hist-295bf45f8de53697</t>
        </is>
      </c>
      <c r="B871" s="82" t="n">
        <v>46252.9403587963</v>
      </c>
      <c r="C871" s="82" t="n">
        <v>46213.62916666667</v>
      </c>
      <c r="D871" t="inlineStr">
        <is>
          <t>微信公众号</t>
        </is>
      </c>
      <c r="E871" t="inlineStr">
        <is>
          <t>微信公众号/视频号</t>
        </is>
      </c>
      <c r="F871" t="inlineStr">
        <is>
          <t>B轮微信生态（人工截图/原文链接补充）</t>
        </is>
      </c>
      <c r="G871" t="inlineStr">
        <is>
          <t>玉屏自治县人民医院</t>
        </is>
      </c>
      <c r="H871" t="inlineStr">
        <is>
          <t>标题和正文图片明确为“一图读懂《中华人民共和国民族团结进步促进法》”。</t>
        </is>
      </c>
      <c r="I871" t="inlineStr">
        <is>
          <t>https://mp.weixin.qq.com/s/WZg5QjANNqthMqGOSehSRQ</t>
        </is>
      </c>
      <c r="J871" t="inlineStr">
        <is>
          <t>贵州省玉屏侗族自治县</t>
        </is>
      </c>
      <c r="L871" t="inlineStr">
        <is>
          <t>贵州</t>
        </is>
      </c>
      <c r="O871" t="inlineStr">
        <is>
          <t>中文</t>
        </is>
      </c>
      <c r="P871" t="inlineStr">
        <is>
          <t>否</t>
        </is>
      </c>
      <c r="Q871" t="inlineStr">
        <is>
          <t>官方政策信息</t>
        </is>
      </c>
      <c r="R871" t="inlineStr">
        <is>
          <t>一图读懂；事业单位普法；政策宣传</t>
        </is>
      </c>
      <c r="S871" t="n">
        <v>0</v>
      </c>
      <c r="T871" t="n">
        <v>0</v>
      </c>
      <c r="U871" t="n">
        <v>1</v>
      </c>
      <c r="V871" t="inlineStr">
        <is>
          <t>否</t>
        </is>
      </c>
      <c r="W871" t="inlineStr">
        <is>
          <t>否</t>
        </is>
      </c>
      <c r="X871" t="inlineStr">
        <is>
          <t>历史导入:第二组16县_民族团结进步促进法舆情回溯_最终修正版.xlsx；来源类型:医疗机构官方公众号/事业单位公众号；复核:微信端人工截图核验并补原文链接；截图可见转发1，未见明确点赞数；用户确认重点文章均无留言。；重复:否；待核实:否</t>
        </is>
      </c>
    </row>
    <row r="872">
      <c r="A872" t="inlineStr">
        <is>
          <t>hist-8fbdb09bd98c5d8b</t>
        </is>
      </c>
      <c r="B872" s="82" t="n">
        <v>46252.9403587963</v>
      </c>
      <c r="C872" s="82" t="n">
        <v>46204</v>
      </c>
      <c r="D872" t="inlineStr">
        <is>
          <t>中国新闻网</t>
        </is>
      </c>
      <c r="E872" t="inlineStr">
        <is>
          <t>贴吧/头条/新闻评论</t>
        </is>
      </c>
      <c r="F872" t="inlineStr">
        <is>
          <t>中新网青海</t>
        </is>
      </c>
      <c r="G872" t="inlineStr">
        <is>
          <t>中新网青海频道</t>
        </is>
      </c>
      <c r="H872" t="inlineStr">
        <is>
          <t>中共青海省委铸牢中华民族共同体意识暨青海省民族团结进步事业工作领导小组办公室印发《关于学习宣传贯彻〈中华人民共和国民族团结进步促进法〉工作方案》，统筹推出 16 项具体工作举措</t>
        </is>
      </c>
      <c r="I872" t="inlineStr">
        <is>
          <t>http://www.qh.chinanews.com.cn/mzzs/news/2026/0701/145476.html</t>
        </is>
      </c>
      <c r="J872" t="inlineStr">
        <is>
          <t>青海省、果洛藏族自治州</t>
        </is>
      </c>
      <c r="K872" t="inlineStr">
        <is>
          <t>青海</t>
        </is>
      </c>
      <c r="L872" t="inlineStr">
        <is>
          <t>青海</t>
        </is>
      </c>
      <c r="O872" t="inlineStr">
        <is>
          <t>中文</t>
        </is>
      </c>
      <c r="P872" t="inlineStr">
        <is>
          <t>否</t>
        </is>
      </c>
      <c r="Q872" t="inlineStr">
        <is>
          <t>官方政策信息</t>
        </is>
      </c>
      <c r="R872" t="inlineStr">
        <is>
          <t>地方实施方案</t>
        </is>
      </c>
      <c r="S872" t="n">
        <v>0</v>
      </c>
      <c r="T872" t="n">
        <v>0</v>
      </c>
      <c r="U872" t="n">
        <v>0</v>
      </c>
      <c r="V872" t="inlineStr">
        <is>
          <t>否</t>
        </is>
      </c>
      <c r="W872" t="inlineStr">
        <is>
          <t>是</t>
        </is>
      </c>
      <c r="X872" t="inlineStr">
        <is>
          <t>历史导入:青海西藏舆情省级拆分_修正版.xlsx；来源类型:媒体报道</t>
        </is>
      </c>
    </row>
    <row r="873">
      <c r="A873" t="inlineStr">
        <is>
          <t>hist-f233a47cd7e42a52</t>
        </is>
      </c>
      <c r="B873" s="82" t="n">
        <v>46252.9403587963</v>
      </c>
      <c r="C873" s="82" t="n">
        <v>46204</v>
      </c>
      <c r="D873" t="inlineStr">
        <is>
          <t>国家民委官网</t>
        </is>
      </c>
      <c r="E873" t="inlineStr">
        <is>
          <t>其他</t>
        </is>
      </c>
      <c r="F873" t="inlineStr">
        <is>
          <t>国家民族事务委员会</t>
        </is>
      </c>
      <c r="G873" t="inlineStr">
        <is>
          <t>新闻中心</t>
        </is>
      </c>
      <c r="H873" t="inlineStr">
        <is>
          <t>西藏自治区印发《关于学习宣传贯彻〈中华人民共和国民族团结进步促进法〉的工作方案》，系统部署 20 项具体任务</t>
        </is>
      </c>
      <c r="I873" t="inlineStr">
        <is>
          <t>https://www.neac.gov.cn/seac/xwzx/202607/1192192.shtml</t>
        </is>
      </c>
      <c r="J873" t="inlineStr">
        <is>
          <t>西藏自治区</t>
        </is>
      </c>
      <c r="K873" t="inlineStr">
        <is>
          <t>西藏</t>
        </is>
      </c>
      <c r="L873" t="inlineStr">
        <is>
          <t>西藏</t>
        </is>
      </c>
      <c r="O873" t="inlineStr">
        <is>
          <t>中文</t>
        </is>
      </c>
      <c r="P873" t="inlineStr">
        <is>
          <t>否</t>
        </is>
      </c>
      <c r="Q873" t="inlineStr">
        <is>
          <t>官方政策信息</t>
        </is>
      </c>
      <c r="R873" t="inlineStr">
        <is>
          <t>地方实施方案</t>
        </is>
      </c>
      <c r="S873" t="n">
        <v>0</v>
      </c>
      <c r="T873" t="n">
        <v>0</v>
      </c>
      <c r="U873" t="n">
        <v>0</v>
      </c>
      <c r="V873" t="inlineStr">
        <is>
          <t>否</t>
        </is>
      </c>
      <c r="W873" t="inlineStr">
        <is>
          <t>是</t>
        </is>
      </c>
      <c r="X873" t="inlineStr">
        <is>
          <t>历史导入:青海西藏舆情省级拆分_修正版.xlsx；来源类型:官方实施信息</t>
        </is>
      </c>
    </row>
    <row r="874">
      <c r="A874" t="inlineStr">
        <is>
          <t>hist-e938ab09bc76cec6</t>
        </is>
      </c>
      <c r="B874" s="82" t="n">
        <v>46252.9403587963</v>
      </c>
      <c r="C874" s="82" t="n">
        <v>46204</v>
      </c>
      <c r="D874" t="inlineStr">
        <is>
          <t>中新网（繁体频道）</t>
        </is>
      </c>
      <c r="E874" t="inlineStr">
        <is>
          <t>其他</t>
        </is>
      </c>
      <c r="F874" t="inlineStr">
        <is>
          <t>中国新闻网</t>
        </is>
      </c>
      <c r="G874" t="inlineStr">
        <is>
          <t>时政新闻</t>
        </is>
      </c>
      <c r="H874" t="inlineStr">
        <is>
          <t>7 月 1 日，青海省、西宁市、城西区统战民宗部门联合举办该法集中宣传暨促进各民族交往交流交融主题活动</t>
        </is>
      </c>
      <c r="I874" t="inlineStr">
        <is>
          <t>http://m.chinanews.com/wap/detail/cht/zw/10650990.shtml</t>
        </is>
      </c>
      <c r="J874" t="inlineStr">
        <is>
          <t>青海省西宁市</t>
        </is>
      </c>
      <c r="K874" t="inlineStr">
        <is>
          <t>青海</t>
        </is>
      </c>
      <c r="L874" t="inlineStr">
        <is>
          <t>青海</t>
        </is>
      </c>
      <c r="O874" t="inlineStr">
        <is>
          <t>中文</t>
        </is>
      </c>
      <c r="P874" t="inlineStr">
        <is>
          <t>否</t>
        </is>
      </c>
      <c r="Q874" t="inlineStr">
        <is>
          <t>官方实施信息</t>
        </is>
      </c>
      <c r="R874" t="inlineStr">
        <is>
          <t>主题宣传活动</t>
        </is>
      </c>
      <c r="S874" t="n">
        <v>0</v>
      </c>
      <c r="T874" t="n">
        <v>0</v>
      </c>
      <c r="U874" t="n">
        <v>0</v>
      </c>
      <c r="V874" t="inlineStr">
        <is>
          <t>否</t>
        </is>
      </c>
      <c r="W874" t="inlineStr">
        <is>
          <t>是</t>
        </is>
      </c>
      <c r="X874" t="inlineStr">
        <is>
          <t>历史导入:青海西藏舆情省级拆分_修正版.xlsx；来源类型:媒体报道</t>
        </is>
      </c>
    </row>
    <row r="875">
      <c r="A875" t="inlineStr">
        <is>
          <t>hist-af63cfa057c730fc</t>
        </is>
      </c>
      <c r="B875" s="82" t="n">
        <v>46252.9403587963</v>
      </c>
      <c r="C875" s="82" t="n">
        <v>46205</v>
      </c>
      <c r="D875" t="inlineStr">
        <is>
          <t>新华网</t>
        </is>
      </c>
      <c r="E875" t="inlineStr">
        <is>
          <t>其他</t>
        </is>
      </c>
      <c r="F875" t="inlineStr">
        <is>
          <t>新华网西藏</t>
        </is>
      </c>
      <c r="G875" t="inlineStr">
        <is>
          <t>西藏频道</t>
        </is>
      </c>
      <c r="H875" t="inlineStr">
        <is>
          <t>将以民族团结进步促进法为核心，以《西藏自治区民族团结进步模范区创建条例》为基础，加快构建 “国家法律 + 自治区条例 + 配套法规” 的立体化法治体系</t>
        </is>
      </c>
      <c r="I875" t="inlineStr">
        <is>
          <t>http://www.xz.xinhuanet.com/20260702/f4b40dd0e2c94f5d80e468434f7ee47e/c.html</t>
        </is>
      </c>
      <c r="J875" t="inlineStr">
        <is>
          <t>西藏自治区</t>
        </is>
      </c>
      <c r="K875" t="inlineStr">
        <is>
          <t>西藏</t>
        </is>
      </c>
      <c r="L875" t="inlineStr">
        <is>
          <t>西藏</t>
        </is>
      </c>
      <c r="O875" t="inlineStr">
        <is>
          <t>中文</t>
        </is>
      </c>
      <c r="P875" t="inlineStr">
        <is>
          <t>否</t>
        </is>
      </c>
      <c r="Q875" t="inlineStr">
        <is>
          <t>官方政策信息</t>
        </is>
      </c>
      <c r="R875" t="inlineStr">
        <is>
          <t>地方法治体系建设</t>
        </is>
      </c>
      <c r="S875" t="n">
        <v>0</v>
      </c>
      <c r="T875" t="n">
        <v>0</v>
      </c>
      <c r="U875" t="n">
        <v>0</v>
      </c>
      <c r="V875" t="inlineStr">
        <is>
          <t>否</t>
        </is>
      </c>
      <c r="W875" t="inlineStr">
        <is>
          <t>是</t>
        </is>
      </c>
      <c r="X875" t="inlineStr">
        <is>
          <t>历史导入:青海西藏舆情省级拆分_修正版.xlsx；来源类型:媒体报道</t>
        </is>
      </c>
    </row>
    <row r="876">
      <c r="A876" t="inlineStr">
        <is>
          <t>hist-12dda33649dbe7c0</t>
        </is>
      </c>
      <c r="B876" s="82" t="n">
        <v>46252.9403587963</v>
      </c>
      <c r="C876" s="82" t="n">
        <v>46205</v>
      </c>
      <c r="D876" t="inlineStr">
        <is>
          <t>中国新闻网</t>
        </is>
      </c>
      <c r="E876" t="inlineStr">
        <is>
          <t>贴吧/头条/新闻评论</t>
        </is>
      </c>
      <c r="F876" t="inlineStr">
        <is>
          <t>中国新闻网</t>
        </is>
      </c>
      <c r="G876" t="inlineStr">
        <is>
          <t>国内新闻</t>
        </is>
      </c>
      <c r="H876" t="inlineStr">
        <is>
          <t>贯彻落实民族团结进步促进法，就是用法治守护青海大地上生态根基的 “生命树”，各族民众手足相亲的 “团结树”，生态惠民的 “幸福树”</t>
        </is>
      </c>
      <c r="I876" t="inlineStr">
        <is>
          <t>http://www.chinanews.com.cn/txy/2026-07-02/10651435.shtml</t>
        </is>
      </c>
      <c r="J876" t="inlineStr">
        <is>
          <t>青海省</t>
        </is>
      </c>
      <c r="K876" t="inlineStr">
        <is>
          <t>青海</t>
        </is>
      </c>
      <c r="L876" t="inlineStr">
        <is>
          <t>青海</t>
        </is>
      </c>
      <c r="O876" t="inlineStr">
        <is>
          <t>中文</t>
        </is>
      </c>
      <c r="P876" t="inlineStr">
        <is>
          <t>否</t>
        </is>
      </c>
      <c r="Q876" t="inlineStr">
        <is>
          <t>官方政策信息</t>
        </is>
      </c>
      <c r="R876" t="inlineStr">
        <is>
          <t>省级新闻发布</t>
        </is>
      </c>
      <c r="S876" t="n">
        <v>0</v>
      </c>
      <c r="T876" t="n">
        <v>0</v>
      </c>
      <c r="U876" t="n">
        <v>0</v>
      </c>
      <c r="V876" t="inlineStr">
        <is>
          <t>否</t>
        </is>
      </c>
      <c r="W876" t="inlineStr">
        <is>
          <t>是</t>
        </is>
      </c>
      <c r="X876" t="inlineStr">
        <is>
          <t>历史导入:青海西藏舆情省级拆分_修正版.xlsx；来源类型:媒体报道</t>
        </is>
      </c>
    </row>
    <row r="877">
      <c r="A877" t="inlineStr">
        <is>
          <t>hist-2d333bd786aa9d31</t>
        </is>
      </c>
      <c r="B877" s="82" t="n">
        <v>46252.9403587963</v>
      </c>
      <c r="C877" s="82" t="n">
        <v>46205</v>
      </c>
      <c r="D877" t="inlineStr">
        <is>
          <t>澎湃新闻</t>
        </is>
      </c>
      <c r="E877" t="inlineStr">
        <is>
          <t>贴吧/头条/新闻评论</t>
        </is>
      </c>
      <c r="F877" t="inlineStr">
        <is>
          <t>澎湃新闻</t>
        </is>
      </c>
      <c r="G877" t="inlineStr">
        <is>
          <t>玉树发布（中共玉树州委宣传部官方账号）</t>
        </is>
      </c>
      <c r="H877" t="inlineStr">
        <is>
          <t>常态化开展《中华人民共和国民族团结进步促进法》普法 “七进” 活动；本措施自 2026 年 7 月 1 日起施行</t>
        </is>
      </c>
      <c r="I877" t="inlineStr">
        <is>
          <t>https://m.thepaper.cn/newsDetail_forward_33504935</t>
        </is>
      </c>
      <c r="J877" t="inlineStr">
        <is>
          <t>玉树藏族自治州</t>
        </is>
      </c>
      <c r="K877" t="inlineStr">
        <is>
          <t>青海</t>
        </is>
      </c>
      <c r="L877" t="inlineStr">
        <is>
          <t>青海</t>
        </is>
      </c>
      <c r="O877" t="inlineStr">
        <is>
          <t>中文</t>
        </is>
      </c>
      <c r="P877" t="inlineStr">
        <is>
          <t>否</t>
        </is>
      </c>
      <c r="Q877" t="inlineStr">
        <is>
          <t>官方政策信息</t>
        </is>
      </c>
      <c r="R877" t="inlineStr">
        <is>
          <t>部门落实细则</t>
        </is>
      </c>
      <c r="S877" t="n">
        <v>0</v>
      </c>
      <c r="T877" t="n">
        <v>0</v>
      </c>
      <c r="U877" t="n">
        <v>0</v>
      </c>
      <c r="V877" t="inlineStr">
        <is>
          <t>否</t>
        </is>
      </c>
      <c r="W877" t="inlineStr">
        <is>
          <t>是</t>
        </is>
      </c>
      <c r="X877" t="inlineStr">
        <is>
          <t>历史导入:青海西藏舆情省级拆分_修正版.xlsx；来源类型:官方实施信息</t>
        </is>
      </c>
    </row>
    <row r="878">
      <c r="A878" t="inlineStr">
        <is>
          <t>hist-f4964ae918415aef</t>
        </is>
      </c>
      <c r="B878" s="82" t="n">
        <v>46252.9403587963</v>
      </c>
      <c r="C878" s="82" t="n">
        <v>46206</v>
      </c>
      <c r="D878" t="inlineStr">
        <is>
          <t>中央统战部官网</t>
        </is>
      </c>
      <c r="E878" t="inlineStr">
        <is>
          <t>其他</t>
        </is>
      </c>
      <c r="F878" t="inlineStr">
        <is>
          <t>中共中央统一战线工作部</t>
        </is>
      </c>
      <c r="G878" t="inlineStr">
        <is>
          <t>新闻中心</t>
        </is>
      </c>
      <c r="H878" t="inlineStr">
        <is>
          <t>全省统筹部署多项实招硬招，全力推动法律精神在青海落地生根、开花结果</t>
        </is>
      </c>
      <c r="I878" t="inlineStr">
        <is>
          <t>https://www.zytzb.gov.cn/zytzb/2026-07/03/article_15409.shtml</t>
        </is>
      </c>
      <c r="J878" t="inlineStr">
        <is>
          <t>青海省</t>
        </is>
      </c>
      <c r="K878" t="inlineStr">
        <is>
          <t>青海</t>
        </is>
      </c>
      <c r="L878" t="inlineStr">
        <is>
          <t>青海</t>
        </is>
      </c>
      <c r="O878" t="inlineStr">
        <is>
          <t>中文</t>
        </is>
      </c>
      <c r="P878" t="inlineStr">
        <is>
          <t>否</t>
        </is>
      </c>
      <c r="Q878" t="inlineStr">
        <is>
          <t>官方政策信息</t>
        </is>
      </c>
      <c r="R878" t="inlineStr">
        <is>
          <t>工作部署解读</t>
        </is>
      </c>
      <c r="S878" t="n">
        <v>0</v>
      </c>
      <c r="T878" t="n">
        <v>0</v>
      </c>
      <c r="U878" t="n">
        <v>0</v>
      </c>
      <c r="V878" t="inlineStr">
        <is>
          <t>否</t>
        </is>
      </c>
      <c r="W878" t="inlineStr">
        <is>
          <t>是</t>
        </is>
      </c>
      <c r="X878" t="inlineStr">
        <is>
          <t>历史导入:青海西藏舆情省级拆分_修正版.xlsx；来源类型:媒体转载</t>
        </is>
      </c>
    </row>
    <row r="879">
      <c r="A879" t="inlineStr">
        <is>
          <t>hist-c9d44be08837ce37</t>
        </is>
      </c>
      <c r="B879" s="82" t="n">
        <v>46252.9403587963</v>
      </c>
      <c r="C879" s="82" t="n">
        <v>46210</v>
      </c>
      <c r="D879" t="inlineStr">
        <is>
          <t>国家民委官网</t>
        </is>
      </c>
      <c r="E879" t="inlineStr">
        <is>
          <t>其他</t>
        </is>
      </c>
      <c r="F879" t="inlineStr">
        <is>
          <t>国家民族事务委员会</t>
        </is>
      </c>
      <c r="G879" t="inlineStr">
        <is>
          <t>理论专栏</t>
        </is>
      </c>
      <c r="H879" t="inlineStr">
        <is>
          <t>该法自 2026 年 7 月 1 日起施行，标志着民族事务迈入依法治理、依法保障、依法推进的新阶段</t>
        </is>
      </c>
      <c r="I879" t="inlineStr">
        <is>
          <t>https://www.neac.gov.cn/seac/c103533/202607/1192348.shtml</t>
        </is>
      </c>
      <c r="J879" t="inlineStr">
        <is>
          <t>全国（含青藏地区）</t>
        </is>
      </c>
      <c r="K879" t="inlineStr">
        <is>
          <t>西藏</t>
        </is>
      </c>
      <c r="L879" t="inlineStr">
        <is>
          <t>西藏</t>
        </is>
      </c>
      <c r="O879" t="inlineStr">
        <is>
          <t>中文</t>
        </is>
      </c>
      <c r="P879" t="inlineStr">
        <is>
          <t>否</t>
        </is>
      </c>
      <c r="Q879" t="inlineStr">
        <is>
          <t>官方政策信息</t>
        </is>
      </c>
      <c r="R879" t="inlineStr">
        <is>
          <t>政策理论解读</t>
        </is>
      </c>
      <c r="S879" t="n">
        <v>0</v>
      </c>
      <c r="T879" t="n">
        <v>0</v>
      </c>
      <c r="U879" t="n">
        <v>0</v>
      </c>
      <c r="V879" t="inlineStr">
        <is>
          <t>否</t>
        </is>
      </c>
      <c r="W879" t="inlineStr">
        <is>
          <t>是</t>
        </is>
      </c>
      <c r="X879" t="inlineStr">
        <is>
          <t>历史导入:青海西藏舆情省级拆分_修正版.xlsx；来源类型:官方政策信息</t>
        </is>
      </c>
    </row>
    <row r="880">
      <c r="A880" t="inlineStr">
        <is>
          <t>hist-806ad95b40a3b8fc</t>
        </is>
      </c>
      <c r="B880" s="82" t="n">
        <v>46252.9403587963</v>
      </c>
      <c r="C880" s="82" t="n">
        <v>46212</v>
      </c>
      <c r="D880" t="inlineStr">
        <is>
          <t>今日头条</t>
        </is>
      </c>
      <c r="E880" t="inlineStr">
        <is>
          <t>贴吧/头条/新闻评论</t>
        </is>
      </c>
      <c r="F880" t="inlineStr">
        <is>
          <t>今日头条</t>
        </is>
      </c>
      <c r="G880" t="inlineStr">
        <is>
          <t>中国网官方账号</t>
        </is>
      </c>
      <c r="H880" t="inlineStr">
        <is>
          <t>民族团结不是抽象的理念，这部法律将日常生活中的互助经验上升为国家意志、转化为法治保障</t>
        </is>
      </c>
      <c r="I880" t="inlineStr">
        <is>
          <t>http://m.toutiao.com/group/7660516728694358528/</t>
        </is>
      </c>
      <c r="J880" t="inlineStr">
        <is>
          <t>西藏自治区</t>
        </is>
      </c>
      <c r="K880" t="inlineStr">
        <is>
          <t>西藏</t>
        </is>
      </c>
      <c r="L880" t="inlineStr">
        <is>
          <t>西藏</t>
        </is>
      </c>
      <c r="O880" t="inlineStr">
        <is>
          <t>中文</t>
        </is>
      </c>
      <c r="P880" t="inlineStr">
        <is>
          <t>否</t>
        </is>
      </c>
      <c r="Q880" t="inlineStr">
        <is>
          <t>支持认可</t>
        </is>
      </c>
      <c r="R880" t="inlineStr">
        <is>
          <t>学术解读与社会价值分析</t>
        </is>
      </c>
      <c r="S880" t="n">
        <v>0</v>
      </c>
      <c r="T880" t="n">
        <v>0</v>
      </c>
      <c r="U880" t="n">
        <v>0</v>
      </c>
      <c r="V880" t="inlineStr">
        <is>
          <t>否</t>
        </is>
      </c>
      <c r="W880" t="inlineStr">
        <is>
          <t>是</t>
        </is>
      </c>
      <c r="X880" t="inlineStr">
        <is>
          <t>历史导入:青海西藏舆情省级拆分_修正版.xlsx；来源类型:个人原创观点</t>
        </is>
      </c>
    </row>
    <row r="881">
      <c r="A881" t="inlineStr">
        <is>
          <t>hist-38c65a7c4068687b</t>
        </is>
      </c>
      <c r="B881" s="82" t="n">
        <v>46252.9403587963</v>
      </c>
      <c r="C881" s="82" t="n">
        <v>46220</v>
      </c>
      <c r="D881" t="inlineStr">
        <is>
          <t>今日头条</t>
        </is>
      </c>
      <c r="E881" t="inlineStr">
        <is>
          <t>贴吧/头条/新闻评论</t>
        </is>
      </c>
      <c r="F881" t="inlineStr">
        <is>
          <t>今日头条</t>
        </is>
      </c>
      <c r="G881" t="inlineStr">
        <is>
          <t>青海新闻网官方账号</t>
        </is>
      </c>
      <c r="H881" t="inlineStr">
        <is>
          <t>调研组深入海北、海南等地，以多种形式宣传解读民族团结进步促进法</t>
        </is>
      </c>
      <c r="I881" t="inlineStr">
        <is>
          <t>http://m.toutiao.com/group/7663302395752989184/</t>
        </is>
      </c>
      <c r="J881" t="inlineStr">
        <is>
          <t>海北藏族自治州、海南藏族自治州</t>
        </is>
      </c>
      <c r="K881" t="inlineStr">
        <is>
          <t>青海</t>
        </is>
      </c>
      <c r="L881" t="inlineStr">
        <is>
          <t>青海</t>
        </is>
      </c>
      <c r="O881" t="inlineStr">
        <is>
          <t>中文</t>
        </is>
      </c>
      <c r="P881" t="inlineStr">
        <is>
          <t>否</t>
        </is>
      </c>
      <c r="Q881" t="inlineStr">
        <is>
          <t>官方实施信息</t>
        </is>
      </c>
      <c r="R881" t="inlineStr">
        <is>
          <t>调研督导与基层宣讲</t>
        </is>
      </c>
      <c r="S881" t="n">
        <v>0</v>
      </c>
      <c r="T881" t="n">
        <v>0</v>
      </c>
      <c r="U881" t="n">
        <v>0</v>
      </c>
      <c r="V881" t="inlineStr">
        <is>
          <t>否</t>
        </is>
      </c>
      <c r="W881" t="inlineStr">
        <is>
          <t>是</t>
        </is>
      </c>
      <c r="X881" t="inlineStr">
        <is>
          <t>历史导入:青海西藏舆情省级拆分_修正版.xlsx；来源类型:媒体报道</t>
        </is>
      </c>
    </row>
    <row r="882">
      <c r="A882" t="inlineStr">
        <is>
          <t>hist-8a211ad57a7d4a0f</t>
        </is>
      </c>
      <c r="B882" s="82" t="n">
        <v>46252.9403587963</v>
      </c>
      <c r="C882" s="82" t="n">
        <v>46222</v>
      </c>
      <c r="D882" t="inlineStr">
        <is>
          <t>今日头条</t>
        </is>
      </c>
      <c r="E882" t="inlineStr">
        <is>
          <t>贴吧/头条/新闻评论</t>
        </is>
      </c>
      <c r="F882" t="inlineStr">
        <is>
          <t>今日头条</t>
        </is>
      </c>
      <c r="G882" t="inlineStr">
        <is>
          <t>青海新闻网官方账号</t>
        </is>
      </c>
      <c r="H882" t="inlineStr">
        <is>
          <t>今年是《中华人民共和国民族团结进步促进法》施行第一年，法律的施行让民族团结工作有了硬标尺，基层干事底气更足</t>
        </is>
      </c>
      <c r="I882" t="inlineStr">
        <is>
          <t>http://m.toutiao.com/group/7664090977057686022/</t>
        </is>
      </c>
      <c r="J882" t="inlineStr">
        <is>
          <t>海东市互助土族自治县</t>
        </is>
      </c>
      <c r="K882" t="inlineStr">
        <is>
          <t>青海</t>
        </is>
      </c>
      <c r="L882" t="inlineStr">
        <is>
          <t>青海</t>
        </is>
      </c>
      <c r="O882" t="inlineStr">
        <is>
          <t>中文</t>
        </is>
      </c>
      <c r="P882" t="inlineStr">
        <is>
          <t>否</t>
        </is>
      </c>
      <c r="Q882" t="inlineStr">
        <is>
          <t>支持认可</t>
        </is>
      </c>
      <c r="R882" t="inlineStr">
        <is>
          <t>基层落实感受与实践计划</t>
        </is>
      </c>
      <c r="S882" t="n">
        <v>0</v>
      </c>
      <c r="T882" t="n">
        <v>0</v>
      </c>
      <c r="U882" t="n">
        <v>0</v>
      </c>
      <c r="V882" t="inlineStr">
        <is>
          <t>否</t>
        </is>
      </c>
      <c r="W882" t="inlineStr">
        <is>
          <t>是</t>
        </is>
      </c>
      <c r="X882" t="inlineStr">
        <is>
          <t>历史导入:青海西藏舆情省级拆分_修正版.xlsx；来源类型:媒体报道</t>
        </is>
      </c>
    </row>
    <row r="883">
      <c r="A883" t="inlineStr">
        <is>
          <t>hist-e431db3d82c7e8d8</t>
        </is>
      </c>
      <c r="B883" s="82" t="n">
        <v>46252.9403587963</v>
      </c>
      <c r="C883" s="82" t="n">
        <v>46226</v>
      </c>
      <c r="D883" t="inlineStr">
        <is>
          <t>今日头条</t>
        </is>
      </c>
      <c r="E883" t="inlineStr">
        <is>
          <t>贴吧/头条/新闻评论</t>
        </is>
      </c>
      <c r="F883" t="inlineStr">
        <is>
          <t>今日头条</t>
        </is>
      </c>
      <c r="G883" t="inlineStr">
        <is>
          <t>光明网官方账号</t>
        </is>
      </c>
      <c r="H883" t="inlineStr">
        <is>
          <t>要抓好民族团结进步促进法贯彻实施，提高依法治理民族事务能力和水平，推动所有发展赋予民族团结进步的意义</t>
        </is>
      </c>
      <c r="I883" t="inlineStr">
        <is>
          <t>http://m.toutiao.com/group/7665476909098091048/</t>
        </is>
      </c>
      <c r="J883" t="inlineStr">
        <is>
          <t>西藏自治区</t>
        </is>
      </c>
      <c r="K883" t="inlineStr">
        <is>
          <t>西藏</t>
        </is>
      </c>
      <c r="L883" t="inlineStr">
        <is>
          <t>西藏</t>
        </is>
      </c>
      <c r="O883" t="inlineStr">
        <is>
          <t>中文</t>
        </is>
      </c>
      <c r="P883" t="inlineStr">
        <is>
          <t>否</t>
        </is>
      </c>
      <c r="Q883" t="inlineStr">
        <is>
          <t>官方实施信息</t>
        </is>
      </c>
      <c r="R883" t="inlineStr">
        <is>
          <t>高层工作部署</t>
        </is>
      </c>
      <c r="S883" t="n">
        <v>0</v>
      </c>
      <c r="T883" t="n">
        <v>0</v>
      </c>
      <c r="U883" t="n">
        <v>0</v>
      </c>
      <c r="V883" t="inlineStr">
        <is>
          <t>否</t>
        </is>
      </c>
      <c r="W883" t="inlineStr">
        <is>
          <t>是</t>
        </is>
      </c>
      <c r="X883" t="inlineStr">
        <is>
          <t>历史导入:青海西藏舆情省级拆分_修正版.xlsx；来源类型:媒体报道</t>
        </is>
      </c>
    </row>
    <row r="884">
      <c r="A884" t="inlineStr">
        <is>
          <t>hist-5d7687748fc1729a</t>
        </is>
      </c>
      <c r="B884" s="82" t="n">
        <v>46252.9403587963</v>
      </c>
      <c r="C884" s="82" t="n">
        <v>46226</v>
      </c>
      <c r="D884" t="inlineStr">
        <is>
          <t>国家民委官网</t>
        </is>
      </c>
      <c r="E884" t="inlineStr">
        <is>
          <t>其他</t>
        </is>
      </c>
      <c r="F884" t="inlineStr">
        <is>
          <t>国家民族事务委员会</t>
        </is>
      </c>
      <c r="G884" t="inlineStr">
        <is>
          <t>新闻动态列表</t>
        </is>
      </c>
      <c r="H884" t="inlineStr">
        <is>
          <t>国家民委宣讲团赴拉萨开展示范宣讲，推动该法学习宣传走深走实</t>
        </is>
      </c>
      <c r="I884" t="inlineStr">
        <is>
          <t>https://www.neac.gov.cn/seac/c103759/list_article1782787310289.shtml</t>
        </is>
      </c>
      <c r="J884" t="inlineStr">
        <is>
          <t>西藏自治区拉萨市</t>
        </is>
      </c>
      <c r="K884" t="inlineStr">
        <is>
          <t>西藏</t>
        </is>
      </c>
      <c r="L884" t="inlineStr">
        <is>
          <t>西藏</t>
        </is>
      </c>
      <c r="O884" t="inlineStr">
        <is>
          <t>中文</t>
        </is>
      </c>
      <c r="P884" t="inlineStr">
        <is>
          <t>否</t>
        </is>
      </c>
      <c r="Q884" t="inlineStr">
        <is>
          <t>官方实施信息</t>
        </is>
      </c>
      <c r="R884" t="inlineStr">
        <is>
          <t>省级示范宣讲</t>
        </is>
      </c>
      <c r="S884" t="n">
        <v>0</v>
      </c>
      <c r="T884" t="n">
        <v>0</v>
      </c>
      <c r="U884" t="n">
        <v>0</v>
      </c>
      <c r="V884" t="inlineStr">
        <is>
          <t>否</t>
        </is>
      </c>
      <c r="W884" t="inlineStr">
        <is>
          <t>是</t>
        </is>
      </c>
      <c r="X884" t="inlineStr">
        <is>
          <t>历史导入:青海西藏舆情省级拆分_修正版.xlsx；来源类型:官方实施信息</t>
        </is>
      </c>
    </row>
    <row r="885">
      <c r="A885" t="inlineStr">
        <is>
          <t>hist-7e69e7f55b1b0d6b</t>
        </is>
      </c>
      <c r="B885" s="82" t="n">
        <v>46252.9403587963</v>
      </c>
      <c r="C885" s="82" t="n">
        <v>46205</v>
      </c>
      <c r="D885" t="inlineStr">
        <is>
          <t>青海省民族宗教事务委员会</t>
        </is>
      </c>
      <c r="E885" t="inlineStr">
        <is>
          <t>其他</t>
        </is>
      </c>
      <c r="F885" t="inlineStr">
        <is>
          <t>原始网页</t>
        </is>
      </c>
      <c r="G885" t="inlineStr">
        <is>
          <t>青海要闻</t>
        </is>
      </c>
      <c r="H885" t="inlineStr">
        <is>
          <t>青海省民宗委主任马成芳在发布会上介绍，《中华人民共和国民族团结进步促进法》于7月1日起正式施行。</t>
        </is>
      </c>
      <c r="I885" t="inlineStr">
        <is>
          <t>https://mzw.qinghai.gov.cn/index.php/qhyw/5075.html</t>
        </is>
      </c>
      <c r="J885" t="inlineStr">
        <is>
          <t>青海全省</t>
        </is>
      </c>
      <c r="K885" t="inlineStr">
        <is>
          <t>青海</t>
        </is>
      </c>
      <c r="L885" t="inlineStr">
        <is>
          <t>青海</t>
        </is>
      </c>
      <c r="O885" t="inlineStr">
        <is>
          <t>中文</t>
        </is>
      </c>
      <c r="P885" t="inlineStr">
        <is>
          <t>否</t>
        </is>
      </c>
      <c r="Q885" t="inlineStr">
        <is>
          <t>官方政策信息</t>
        </is>
      </c>
      <c r="R885" t="inlineStr">
        <is>
          <t>法律施行与总体解读</t>
        </is>
      </c>
      <c r="S885" t="n">
        <v>0</v>
      </c>
      <c r="T885" t="n">
        <v>0</v>
      </c>
      <c r="U885" t="n">
        <v>0</v>
      </c>
      <c r="V885" t="inlineStr">
        <is>
          <t>否</t>
        </is>
      </c>
      <c r="W885" t="inlineStr">
        <is>
          <t>否</t>
        </is>
      </c>
      <c r="X885" t="inlineStr">
        <is>
          <t>历史导入:青海西藏舆情省级拆分_修正版.xlsx；来源类型:官方实施信息；复核:官方新闻发布会；重复:否；待核实:否</t>
        </is>
      </c>
    </row>
    <row r="886">
      <c r="A886" t="inlineStr">
        <is>
          <t>hist-d8321d2baa1e9462</t>
        </is>
      </c>
      <c r="B886" s="82" t="n">
        <v>46252.9403587963</v>
      </c>
      <c r="C886" s="82" t="n">
        <v>46205</v>
      </c>
      <c r="D886" t="inlineStr">
        <is>
          <t>新华网</t>
        </is>
      </c>
      <c r="E886" t="inlineStr">
        <is>
          <t>其他</t>
        </is>
      </c>
      <c r="F886" t="inlineStr">
        <is>
          <t>原始网页</t>
        </is>
      </c>
      <c r="G886" t="inlineStr">
        <is>
          <t>新华网青海频道</t>
        </is>
      </c>
      <c r="H886" t="inlineStr">
        <is>
          <t>7月1日，《中华人民共和国民族团结进步促进法》正式施行，青海省玉树藏族自治州人民检察院启动为期一年的促进民族团结进步法律监督专项行动。</t>
        </is>
      </c>
      <c r="I886" t="inlineStr">
        <is>
          <t>http://qh.news.cn/20260702/df211c8de61b4f9a8ee80350a9cf2e8f/c.html</t>
        </is>
      </c>
      <c r="J886" t="inlineStr">
        <is>
          <t>青海玉树州</t>
        </is>
      </c>
      <c r="K886" t="inlineStr">
        <is>
          <t>青海</t>
        </is>
      </c>
      <c r="L886" t="inlineStr">
        <is>
          <t>青海</t>
        </is>
      </c>
      <c r="O886" t="inlineStr">
        <is>
          <t>中文</t>
        </is>
      </c>
      <c r="P886" t="inlineStr">
        <is>
          <t>否</t>
        </is>
      </c>
      <c r="Q886" t="inlineStr">
        <is>
          <t>官方政策信息</t>
        </is>
      </c>
      <c r="R886" t="inlineStr">
        <is>
          <t>基层执行与依法履职</t>
        </is>
      </c>
      <c r="S886" t="n">
        <v>0</v>
      </c>
      <c r="T886" t="n">
        <v>0</v>
      </c>
      <c r="U886" t="n">
        <v>0</v>
      </c>
      <c r="V886" t="inlineStr">
        <is>
          <t>否</t>
        </is>
      </c>
      <c r="W886" t="inlineStr">
        <is>
          <t>否</t>
        </is>
      </c>
      <c r="X886" t="inlineStr">
        <is>
          <t>历史导入:青海西藏舆情省级拆分_修正版.xlsx；来源类型:媒体报道；复核:检察系统专项行动；重复:否；待核实:否</t>
        </is>
      </c>
    </row>
    <row r="887">
      <c r="A887" t="inlineStr">
        <is>
          <t>hist-123d6926c035833b</t>
        </is>
      </c>
      <c r="B887" s="82" t="n">
        <v>46252.9403587963</v>
      </c>
      <c r="C887" s="82" t="n">
        <v>46206</v>
      </c>
      <c r="D887" t="inlineStr">
        <is>
          <t>青海省人民政府网</t>
        </is>
      </c>
      <c r="E887" t="inlineStr">
        <is>
          <t>其他</t>
        </is>
      </c>
      <c r="F887" t="inlineStr">
        <is>
          <t>原始网页</t>
        </is>
      </c>
      <c r="G887" t="inlineStr">
        <is>
          <t>地区动态</t>
        </is>
      </c>
      <c r="H887" t="inlineStr">
        <is>
          <t>7月1日，《中华人民共和国民族团结进步促进法》正式施行。当日，海东市集中宣传日主会场设在乐都区中心广场。</t>
        </is>
      </c>
      <c r="I887" t="inlineStr">
        <is>
          <t>http://www.qinghai.gov.cn/zwgk/system/2026/07/03/030103038.shtml</t>
        </is>
      </c>
      <c r="J887" t="inlineStr">
        <is>
          <t>海东市</t>
        </is>
      </c>
      <c r="K887" t="inlineStr">
        <is>
          <t>青海</t>
        </is>
      </c>
      <c r="L887" t="inlineStr">
        <is>
          <t>青海</t>
        </is>
      </c>
      <c r="O887" t="inlineStr">
        <is>
          <t>中文</t>
        </is>
      </c>
      <c r="P887" t="inlineStr">
        <is>
          <t>否</t>
        </is>
      </c>
      <c r="Q887" t="inlineStr">
        <is>
          <t>官方政策信息</t>
        </is>
      </c>
      <c r="R887" t="inlineStr">
        <is>
          <t>基层普法与群众参与</t>
        </is>
      </c>
      <c r="S887" t="n">
        <v>0</v>
      </c>
      <c r="T887" t="n">
        <v>0</v>
      </c>
      <c r="U887" t="n">
        <v>0</v>
      </c>
      <c r="V887" t="inlineStr">
        <is>
          <t>否</t>
        </is>
      </c>
      <c r="W887" t="inlineStr">
        <is>
          <t>否</t>
        </is>
      </c>
      <c r="X887" t="inlineStr">
        <is>
          <t>历史导入:青海西藏舆情省级拆分_修正版.xlsx；来源类型:官方实施信息；复核:集中宣传活动；重复:否；待核实:否</t>
        </is>
      </c>
    </row>
    <row r="888">
      <c r="A888" t="inlineStr">
        <is>
          <t>hist-338c915a312d49ae</t>
        </is>
      </c>
      <c r="B888" s="82" t="n">
        <v>46252.9403587963</v>
      </c>
      <c r="C888" s="82" t="n">
        <v>46206</v>
      </c>
      <c r="D888" t="inlineStr">
        <is>
          <t>青海省新闻办/青海新闻网</t>
        </is>
      </c>
      <c r="E888" t="inlineStr">
        <is>
          <t>贴吧/头条/新闻评论</t>
        </is>
      </c>
      <c r="F888" t="inlineStr">
        <is>
          <t>原始网页</t>
        </is>
      </c>
      <c r="G888" t="inlineStr">
        <is>
          <t>西海都市报</t>
        </is>
      </c>
      <c r="H888" t="inlineStr">
        <is>
          <t>7月2日，记者从青海省人民政府新闻办公室召开的贯彻落实《中华人民共和国民族团结进步促进法》新闻发布会上获悉。</t>
        </is>
      </c>
      <c r="I888" t="inlineStr">
        <is>
          <t>http://www.qhio.gov.cn/system/2026/07/03/030578052.shtml</t>
        </is>
      </c>
      <c r="J888" t="inlineStr">
        <is>
          <t>青海全省</t>
        </is>
      </c>
      <c r="K888" t="inlineStr">
        <is>
          <t>青海</t>
        </is>
      </c>
      <c r="L888" t="inlineStr">
        <is>
          <t>青海</t>
        </is>
      </c>
      <c r="O888" t="inlineStr">
        <is>
          <t>中文</t>
        </is>
      </c>
      <c r="P888" t="inlineStr">
        <is>
          <t>否</t>
        </is>
      </c>
      <c r="Q888" t="inlineStr">
        <is>
          <t>官方政策信息</t>
        </is>
      </c>
      <c r="R888" t="inlineStr">
        <is>
          <t>法律施行与总体解读</t>
        </is>
      </c>
      <c r="S888" t="n">
        <v>0</v>
      </c>
      <c r="T888" t="n">
        <v>0</v>
      </c>
      <c r="U888" t="n">
        <v>0</v>
      </c>
      <c r="V888" t="inlineStr">
        <is>
          <t>否</t>
        </is>
      </c>
      <c r="W888" t="inlineStr">
        <is>
          <t>否</t>
        </is>
      </c>
      <c r="X888" t="inlineStr">
        <is>
          <t>历史导入:青海西藏舆情省级拆分_修正版.xlsx；来源类型:官方实施信息；复核:省级新闻发布会；重复:否；待核实:否</t>
        </is>
      </c>
    </row>
    <row r="889">
      <c r="A889" t="inlineStr">
        <is>
          <t>hist-43073182b640c412</t>
        </is>
      </c>
      <c r="B889" s="82" t="n">
        <v>46252.9403587963</v>
      </c>
      <c r="C889" s="82" t="n">
        <v>46206</v>
      </c>
      <c r="D889" t="inlineStr">
        <is>
          <t>中共中央统一战线工作部</t>
        </is>
      </c>
      <c r="E889" t="inlineStr">
        <is>
          <t>其他</t>
        </is>
      </c>
      <c r="F889" t="inlineStr">
        <is>
          <t>原始网页</t>
        </is>
      </c>
      <c r="G889" t="inlineStr">
        <is>
          <t>中国新闻网</t>
        </is>
      </c>
      <c r="H889" t="inlineStr">
        <is>
          <t>"贯彻落实民族团结进步促进法，就是用法治守护青海大地上生态根基的'生命树'。"</t>
        </is>
      </c>
      <c r="I889" t="inlineStr">
        <is>
          <t>https://www.zytzb.gov.cn/zytzb/2026-07/03/article_15394.shtml</t>
        </is>
      </c>
      <c r="J889" t="inlineStr">
        <is>
          <t>青海全省</t>
        </is>
      </c>
      <c r="K889" t="inlineStr">
        <is>
          <t>青海</t>
        </is>
      </c>
      <c r="L889" t="inlineStr">
        <is>
          <t>青海</t>
        </is>
      </c>
      <c r="O889" t="inlineStr">
        <is>
          <t>中文</t>
        </is>
      </c>
      <c r="P889" t="inlineStr">
        <is>
          <t>否</t>
        </is>
      </c>
      <c r="Q889" t="inlineStr">
        <is>
          <t>中性信息</t>
        </is>
      </c>
      <c r="R889" t="inlineStr">
        <is>
          <t>法律施行与总体解读</t>
        </is>
      </c>
      <c r="S889" t="n">
        <v>0</v>
      </c>
      <c r="T889" t="n">
        <v>0</v>
      </c>
      <c r="U889" t="n">
        <v>0</v>
      </c>
      <c r="V889" t="inlineStr">
        <is>
          <t>否</t>
        </is>
      </c>
      <c r="W889" t="inlineStr">
        <is>
          <t>否</t>
        </is>
      </c>
      <c r="X889" t="inlineStr">
        <is>
          <t>历史导入:青海西藏舆情省级拆分_修正版.xlsx；来源类型:媒体报道；复核:媒体转述发布会内容；重复:否；待核实:否</t>
        </is>
      </c>
    </row>
    <row r="890">
      <c r="A890" t="inlineStr">
        <is>
          <t>hist-665a1b236902a065</t>
        </is>
      </c>
      <c r="B890" s="82" t="n">
        <v>46252.9403587963</v>
      </c>
      <c r="C890" s="82" t="n">
        <v>46206</v>
      </c>
      <c r="D890" t="inlineStr">
        <is>
          <t>循化撒拉族自治县人民政府</t>
        </is>
      </c>
      <c r="E890" t="inlineStr">
        <is>
          <t>其他</t>
        </is>
      </c>
      <c r="F890" t="inlineStr">
        <is>
          <t>原始网页</t>
        </is>
      </c>
      <c r="G890" t="inlineStr">
        <is>
          <t>循化县</t>
        </is>
      </c>
      <c r="H890" t="inlineStr">
        <is>
          <t>此次集中宣传活动共计15000余人参与。</t>
        </is>
      </c>
      <c r="I890" t="inlineStr">
        <is>
          <t>https://www.xunhua.gov.cn</t>
        </is>
      </c>
      <c r="J890" t="inlineStr">
        <is>
          <t>循化撒拉族自治县</t>
        </is>
      </c>
      <c r="K890" t="inlineStr">
        <is>
          <t>青海</t>
        </is>
      </c>
      <c r="L890" t="inlineStr">
        <is>
          <t>青海</t>
        </is>
      </c>
      <c r="O890" t="inlineStr">
        <is>
          <t>中文</t>
        </is>
      </c>
      <c r="P890" t="inlineStr">
        <is>
          <t>否</t>
        </is>
      </c>
      <c r="Q890" t="inlineStr">
        <is>
          <t>官方政策信息</t>
        </is>
      </c>
      <c r="R890" t="inlineStr">
        <is>
          <t>基层普法与群众参与</t>
        </is>
      </c>
      <c r="S890" t="n">
        <v>0</v>
      </c>
      <c r="T890" t="n">
        <v>0</v>
      </c>
      <c r="U890" t="n">
        <v>0</v>
      </c>
      <c r="V890" t="inlineStr">
        <is>
          <t>否</t>
        </is>
      </c>
      <c r="W890" t="inlineStr">
        <is>
          <t>否</t>
        </is>
      </c>
      <c r="X890" t="inlineStr">
        <is>
          <t>历史导入:青海西藏舆情省级拆分_修正版.xlsx；来源类型:官方实施信息；复核:链接为政府网站首页，具体文章需在站内查找；重复:否；待核实:否</t>
        </is>
      </c>
    </row>
    <row r="891">
      <c r="A891" t="inlineStr">
        <is>
          <t>hist-3610bec420ff9653</t>
        </is>
      </c>
      <c r="B891" s="82" t="n">
        <v>46252.9403587963</v>
      </c>
      <c r="C891" s="82" t="n">
        <v>46208</v>
      </c>
      <c r="D891" t="inlineStr">
        <is>
          <t>青海省人民政府网</t>
        </is>
      </c>
      <c r="E891" t="inlineStr">
        <is>
          <t>其他</t>
        </is>
      </c>
      <c r="F891" t="inlineStr">
        <is>
          <t>原始网页</t>
        </is>
      </c>
      <c r="G891" t="inlineStr">
        <is>
          <t>青海日报</t>
        </is>
      </c>
      <c r="H891" t="inlineStr">
        <is>
          <t>坚持把学习宣传贯彻《促进法》摆在重要位置，结合西宁市工作实际，制定印发工作方案。</t>
        </is>
      </c>
      <c r="I891" t="inlineStr">
        <is>
          <t>https://www.qinghai.gov.cn</t>
        </is>
      </c>
      <c r="J891" t="inlineStr">
        <is>
          <t>西宁市</t>
        </is>
      </c>
      <c r="K891" t="inlineStr">
        <is>
          <t>青海</t>
        </is>
      </c>
      <c r="L891" t="inlineStr">
        <is>
          <t>青海</t>
        </is>
      </c>
      <c r="O891" t="inlineStr">
        <is>
          <t>中文</t>
        </is>
      </c>
      <c r="P891" t="inlineStr">
        <is>
          <t>否</t>
        </is>
      </c>
      <c r="Q891" t="inlineStr">
        <is>
          <t>官方政策信息</t>
        </is>
      </c>
      <c r="R891" t="inlineStr">
        <is>
          <t>学习培训与宣传覆盖</t>
        </is>
      </c>
      <c r="S891" t="n">
        <v>0</v>
      </c>
      <c r="T891" t="n">
        <v>0</v>
      </c>
      <c r="U891" t="n">
        <v>0</v>
      </c>
      <c r="V891" t="inlineStr">
        <is>
          <t>否</t>
        </is>
      </c>
      <c r="W891" t="inlineStr">
        <is>
          <t>否</t>
        </is>
      </c>
      <c r="X891" t="inlineStr">
        <is>
          <t>历史导入:青海西藏舆情省级拆分_修正版.xlsx；来源类型:官方实施信息；复核:链接为政府网站首页；重复:否；待核实:否</t>
        </is>
      </c>
    </row>
    <row r="892">
      <c r="A892" t="inlineStr">
        <is>
          <t>hist-3dc59cfb89587b14</t>
        </is>
      </c>
      <c r="B892" s="82" t="n">
        <v>46252.9403587963</v>
      </c>
      <c r="C892" s="82" t="n">
        <v>46213</v>
      </c>
      <c r="D892" t="inlineStr">
        <is>
          <t>青海省人民政府网</t>
        </is>
      </c>
      <c r="E892" t="inlineStr">
        <is>
          <t>其他</t>
        </is>
      </c>
      <c r="F892" t="inlineStr">
        <is>
          <t>原始网页</t>
        </is>
      </c>
      <c r="G892" t="inlineStr">
        <is>
          <t>青海日报</t>
        </is>
      </c>
      <c r="H892" t="inlineStr">
        <is>
          <t>坚持把学习宣传贯彻《促进法》摆在重要位置。</t>
        </is>
      </c>
      <c r="I892" t="inlineStr">
        <is>
          <t>https://www.qinghai.gov.cn</t>
        </is>
      </c>
      <c r="J892" t="inlineStr">
        <is>
          <t>西宁市</t>
        </is>
      </c>
      <c r="K892" t="inlineStr">
        <is>
          <t>青海</t>
        </is>
      </c>
      <c r="L892" t="inlineStr">
        <is>
          <t>青海</t>
        </is>
      </c>
      <c r="O892" t="inlineStr">
        <is>
          <t>中文</t>
        </is>
      </c>
      <c r="P892" t="inlineStr">
        <is>
          <t>否</t>
        </is>
      </c>
      <c r="Q892" t="inlineStr">
        <is>
          <t>官方政策信息</t>
        </is>
      </c>
      <c r="R892" t="inlineStr">
        <is>
          <t>学习培训与宣传覆盖</t>
        </is>
      </c>
      <c r="S892" t="n">
        <v>0</v>
      </c>
      <c r="T892" t="n">
        <v>0</v>
      </c>
      <c r="U892" t="n">
        <v>0</v>
      </c>
      <c r="V892" t="inlineStr">
        <is>
          <t>否</t>
        </is>
      </c>
      <c r="W892" t="inlineStr">
        <is>
          <t>否</t>
        </is>
      </c>
      <c r="X892" t="inlineStr">
        <is>
          <t>历史导入:青海西藏舆情省级拆分_修正版.xlsx；来源类型:官方实施信息；复核:链接为政府网站首页；重复:否；待核实:否</t>
        </is>
      </c>
    </row>
    <row r="893">
      <c r="A893" t="inlineStr">
        <is>
          <t>hist-4154f498a7c3a05c</t>
        </is>
      </c>
      <c r="B893" s="82" t="n">
        <v>46252.9403587963</v>
      </c>
      <c r="C893" s="82" t="n">
        <v>46221</v>
      </c>
      <c r="D893" t="inlineStr">
        <is>
          <t>中共中央统一战线工作部</t>
        </is>
      </c>
      <c r="E893" t="inlineStr">
        <is>
          <t>其他</t>
        </is>
      </c>
      <c r="F893" t="inlineStr">
        <is>
          <t>原始网页</t>
        </is>
      </c>
      <c r="G893" t="inlineStr">
        <is>
          <t>统战新语</t>
        </is>
      </c>
      <c r="H893" t="inlineStr">
        <is>
          <t>"民族团结进步促进法明确了各民族互嵌式发展，其实写的就是我们每天经历的日子。"</t>
        </is>
      </c>
      <c r="I893" t="inlineStr">
        <is>
          <t>https://www.zytzb.gov.cn</t>
        </is>
      </c>
      <c r="J893" t="inlineStr">
        <is>
          <t>互助土族自治县</t>
        </is>
      </c>
      <c r="K893" t="inlineStr">
        <is>
          <t>青海</t>
        </is>
      </c>
      <c r="L893" t="inlineStr">
        <is>
          <t>青海</t>
        </is>
      </c>
      <c r="O893" t="inlineStr">
        <is>
          <t>中文</t>
        </is>
      </c>
      <c r="P893" t="inlineStr">
        <is>
          <t>否</t>
        </is>
      </c>
      <c r="Q893" t="inlineStr">
        <is>
          <t>支持认可</t>
        </is>
      </c>
      <c r="R893" t="inlineStr">
        <is>
          <t>基层执行与依法履职</t>
        </is>
      </c>
      <c r="S893" t="n">
        <v>0</v>
      </c>
      <c r="T893" t="n">
        <v>0</v>
      </c>
      <c r="U893" t="n">
        <v>0</v>
      </c>
      <c r="V893" t="inlineStr">
        <is>
          <t>否</t>
        </is>
      </c>
      <c r="W893" t="inlineStr">
        <is>
          <t>是</t>
        </is>
      </c>
      <c r="X893" t="inlineStr">
        <is>
          <t>历史导入:青海西藏舆情省级拆分_修正版.xlsx；来源类型:个人观点（媒体引语）；复核:公开具名引语；重复:否；待核实:否</t>
        </is>
      </c>
    </row>
    <row r="894">
      <c r="A894" t="inlineStr">
        <is>
          <t>hist-1f6073c8edfd99a3</t>
        </is>
      </c>
      <c r="B894" s="82" t="n">
        <v>46252.9403587963</v>
      </c>
      <c r="C894" s="82" t="n">
        <v>46221</v>
      </c>
      <c r="D894" t="inlineStr">
        <is>
          <t>中新网青海</t>
        </is>
      </c>
      <c r="E894" t="inlineStr">
        <is>
          <t>其他</t>
        </is>
      </c>
      <c r="F894" t="inlineStr">
        <is>
          <t>原始网页</t>
        </is>
      </c>
      <c r="G894" t="inlineStr">
        <is>
          <t>中新网</t>
        </is>
      </c>
      <c r="H894" t="inlineStr">
        <is>
          <t>举办了《中华人民共和国民族团结进步促进法》专题分享会，5名学生结合日常校园学习生活分享学法感悟。</t>
        </is>
      </c>
      <c r="I894" t="inlineStr">
        <is>
          <t>https://www.qh.chinanews.com.cn</t>
        </is>
      </c>
      <c r="J894" t="inlineStr">
        <is>
          <t>果洛州</t>
        </is>
      </c>
      <c r="K894" t="inlineStr">
        <is>
          <t>青海</t>
        </is>
      </c>
      <c r="L894" t="inlineStr">
        <is>
          <t>青海</t>
        </is>
      </c>
      <c r="O894" t="inlineStr">
        <is>
          <t>中文</t>
        </is>
      </c>
      <c r="P894" t="inlineStr">
        <is>
          <t>否</t>
        </is>
      </c>
      <c r="Q894" t="inlineStr">
        <is>
          <t>官方政策信息</t>
        </is>
      </c>
      <c r="R894" t="inlineStr">
        <is>
          <t>青少年交往交流交融</t>
        </is>
      </c>
      <c r="S894" t="n">
        <v>0</v>
      </c>
      <c r="T894" t="n">
        <v>0</v>
      </c>
      <c r="U894" t="n">
        <v>0</v>
      </c>
      <c r="V894" t="inlineStr">
        <is>
          <t>否</t>
        </is>
      </c>
      <c r="W894" t="inlineStr">
        <is>
          <t>否</t>
        </is>
      </c>
      <c r="X894" t="inlineStr">
        <is>
          <t>历史导入:青海西藏舆情省级拆分_修正版.xlsx；来源类型:官方实施信息；复核:链接为网站首页；重复:否；待核实:否</t>
        </is>
      </c>
    </row>
    <row r="895">
      <c r="A895" t="inlineStr">
        <is>
          <t>hist-680a4e94b975719f</t>
        </is>
      </c>
      <c r="B895" s="82" t="n">
        <v>46252.9403587963</v>
      </c>
      <c r="C895" s="82" t="n">
        <v>46222</v>
      </c>
      <c r="D895" t="inlineStr">
        <is>
          <t>青海省新闻办/青海新闻网</t>
        </is>
      </c>
      <c r="E895" t="inlineStr">
        <is>
          <t>贴吧/头条/新闻评论</t>
        </is>
      </c>
      <c r="F895" t="inlineStr">
        <is>
          <t>原始网页</t>
        </is>
      </c>
      <c r="G895" t="inlineStr">
        <is>
          <t>青海日报</t>
        </is>
      </c>
      <c r="H895" t="inlineStr">
        <is>
          <t>今年是《中华人民共和国民族团结进步促进法》施行第一年。</t>
        </is>
      </c>
      <c r="I895" t="inlineStr">
        <is>
          <t>http://www.qhio.gov.cn</t>
        </is>
      </c>
      <c r="J895" t="inlineStr">
        <is>
          <t>互助土族自治县</t>
        </is>
      </c>
      <c r="K895" t="inlineStr">
        <is>
          <t>青海</t>
        </is>
      </c>
      <c r="L895" t="inlineStr">
        <is>
          <t>青海</t>
        </is>
      </c>
      <c r="O895" t="inlineStr">
        <is>
          <t>中文</t>
        </is>
      </c>
      <c r="P895" t="inlineStr">
        <is>
          <t>否</t>
        </is>
      </c>
      <c r="Q895" t="inlineStr">
        <is>
          <t>中性信息</t>
        </is>
      </c>
      <c r="R895" t="inlineStr">
        <is>
          <t>基层执行与依法履职</t>
        </is>
      </c>
      <c r="S895" t="n">
        <v>0</v>
      </c>
      <c r="T895" t="n">
        <v>0</v>
      </c>
      <c r="U895" t="n">
        <v>0</v>
      </c>
      <c r="V895" t="inlineStr">
        <is>
          <t>否</t>
        </is>
      </c>
      <c r="W895" t="inlineStr">
        <is>
          <t>否</t>
        </is>
      </c>
      <c r="X895" t="inlineStr">
        <is>
          <t>历史导入:青海西藏舆情省级拆分_修正版.xlsx；来源类型:媒体报道；复核:国新办发布会；重复:否；待核实:否</t>
        </is>
      </c>
    </row>
    <row r="896">
      <c r="A896" t="inlineStr">
        <is>
          <t>hist-0df510b1992a4bd7</t>
        </is>
      </c>
      <c r="B896" s="82" t="n">
        <v>46252.9403587963</v>
      </c>
      <c r="C896" s="82" t="n">
        <v>46223</v>
      </c>
      <c r="D896" t="inlineStr">
        <is>
          <t>青海省民族宗教事务委员会</t>
        </is>
      </c>
      <c r="E896" t="inlineStr">
        <is>
          <t>其他</t>
        </is>
      </c>
      <c r="F896" t="inlineStr">
        <is>
          <t>原始网页</t>
        </is>
      </c>
      <c r="G896" t="inlineStr">
        <is>
          <t>青海民委</t>
        </is>
      </c>
      <c r="H896" t="inlineStr">
        <is>
          <t>以法律实施为契机，统筹推进州域内民族领域法规的"立改废释"工作。</t>
        </is>
      </c>
      <c r="I896" t="inlineStr">
        <is>
          <t>https://mzw.qinghai.gov.cn</t>
        </is>
      </c>
      <c r="J896" t="inlineStr">
        <is>
          <t>海西州</t>
        </is>
      </c>
      <c r="K896" t="inlineStr">
        <is>
          <t>青海</t>
        </is>
      </c>
      <c r="L896" t="inlineStr">
        <is>
          <t>青海</t>
        </is>
      </c>
      <c r="O896" t="inlineStr">
        <is>
          <t>中文</t>
        </is>
      </c>
      <c r="P896" t="inlineStr">
        <is>
          <t>否</t>
        </is>
      </c>
      <c r="Q896" t="inlineStr">
        <is>
          <t>官方政策信息</t>
        </is>
      </c>
      <c r="R896" t="inlineStr">
        <is>
          <t>学习培训与宣传覆盖</t>
        </is>
      </c>
      <c r="S896" t="n">
        <v>0</v>
      </c>
      <c r="T896" t="n">
        <v>0</v>
      </c>
      <c r="U896" t="n">
        <v>0</v>
      </c>
      <c r="V896" t="inlineStr">
        <is>
          <t>否</t>
        </is>
      </c>
      <c r="W896" t="inlineStr">
        <is>
          <t>否</t>
        </is>
      </c>
      <c r="X896" t="inlineStr">
        <is>
          <t>历史导入:青海西藏舆情省级拆分_修正版.xlsx；来源类型:官方实施信息；复核:链接为网站首页；重复:否；待核实:否</t>
        </is>
      </c>
    </row>
    <row r="897">
      <c r="A897" t="inlineStr">
        <is>
          <t>hist-5f517e05e8a77a02</t>
        </is>
      </c>
      <c r="B897" s="82" t="n">
        <v>46252.9403587963</v>
      </c>
      <c r="C897" s="82" t="n">
        <v>46223</v>
      </c>
      <c r="D897" t="inlineStr">
        <is>
          <t>中国人大网</t>
        </is>
      </c>
      <c r="E897" t="inlineStr">
        <is>
          <t>其他</t>
        </is>
      </c>
      <c r="F897" t="inlineStr">
        <is>
          <t>原始网页</t>
        </is>
      </c>
      <c r="G897" t="inlineStr">
        <is>
          <t>全国人大</t>
        </is>
      </c>
      <c r="H897" t="inlineStr">
        <is>
          <t>要切实抓好民族团结进步促进法的学习宣传贯彻实施。</t>
        </is>
      </c>
      <c r="I897" t="inlineStr">
        <is>
          <t>https://www.npc.gov.cn</t>
        </is>
      </c>
      <c r="J897" t="inlineStr">
        <is>
          <t>青海全省</t>
        </is>
      </c>
      <c r="K897" t="inlineStr">
        <is>
          <t>青海</t>
        </is>
      </c>
      <c r="L897" t="inlineStr">
        <is>
          <t>青海</t>
        </is>
      </c>
      <c r="O897" t="inlineStr">
        <is>
          <t>中文</t>
        </is>
      </c>
      <c r="P897" t="inlineStr">
        <is>
          <t>否</t>
        </is>
      </c>
      <c r="Q897" t="inlineStr">
        <is>
          <t>官方政策信息</t>
        </is>
      </c>
      <c r="R897" t="inlineStr">
        <is>
          <t>学习培训与宣传覆盖</t>
        </is>
      </c>
      <c r="S897" t="n">
        <v>0</v>
      </c>
      <c r="T897" t="n">
        <v>0</v>
      </c>
      <c r="U897" t="n">
        <v>0</v>
      </c>
      <c r="V897" t="inlineStr">
        <is>
          <t>否</t>
        </is>
      </c>
      <c r="W897" t="inlineStr">
        <is>
          <t>否</t>
        </is>
      </c>
      <c r="X897" t="inlineStr">
        <is>
          <t>历史导入:青海西藏舆情省级拆分_修正版.xlsx；来源类型:官方实施信息；复核:全国人大调研；重复:否；待核实:否</t>
        </is>
      </c>
    </row>
    <row r="898">
      <c r="A898" t="inlineStr">
        <is>
          <t>hist-41cde6c8c0cd6388</t>
        </is>
      </c>
      <c r="B898" s="82" t="n">
        <v>46252.9403587963</v>
      </c>
      <c r="C898" s="82" t="n">
        <v>46225</v>
      </c>
      <c r="D898" t="inlineStr">
        <is>
          <t>青海省新闻办/青海新闻网</t>
        </is>
      </c>
      <c r="E898" t="inlineStr">
        <is>
          <t>贴吧/头条/新闻评论</t>
        </is>
      </c>
      <c r="F898" t="inlineStr">
        <is>
          <t>原始网页</t>
        </is>
      </c>
      <c r="G898" t="inlineStr">
        <is>
          <t>青海省政协</t>
        </is>
      </c>
      <c r="H898" t="inlineStr">
        <is>
          <t>大家一致表示，该法律为铸牢中华民族共同体意识提供了坚实法治保障。</t>
        </is>
      </c>
      <c r="I898" t="inlineStr">
        <is>
          <t>http://www.qhio.gov.cn</t>
        </is>
      </c>
      <c r="J898" t="inlineStr">
        <is>
          <t>青海全省</t>
        </is>
      </c>
      <c r="K898" t="inlineStr">
        <is>
          <t>青海</t>
        </is>
      </c>
      <c r="L898" t="inlineStr">
        <is>
          <t>青海</t>
        </is>
      </c>
      <c r="O898" t="inlineStr">
        <is>
          <t>中文</t>
        </is>
      </c>
      <c r="P898" t="inlineStr">
        <is>
          <t>否</t>
        </is>
      </c>
      <c r="Q898" t="inlineStr">
        <is>
          <t>官方政策信息</t>
        </is>
      </c>
      <c r="R898" t="inlineStr">
        <is>
          <t>学习培训与宣传覆盖</t>
        </is>
      </c>
      <c r="S898" t="n">
        <v>0</v>
      </c>
      <c r="T898" t="n">
        <v>0</v>
      </c>
      <c r="U898" t="n">
        <v>0</v>
      </c>
      <c r="V898" t="inlineStr">
        <is>
          <t>否</t>
        </is>
      </c>
      <c r="W898" t="inlineStr">
        <is>
          <t>否</t>
        </is>
      </c>
      <c r="X898" t="inlineStr">
        <is>
          <t>历史导入:青海西藏舆情省级拆分_修正版.xlsx；来源类型:官方实施信息；复核:省政协研讨会；重复:否；待核实:否</t>
        </is>
      </c>
    </row>
    <row r="899">
      <c r="A899" t="inlineStr">
        <is>
          <t>hist-27568baa3b97f884</t>
        </is>
      </c>
      <c r="B899" s="82" t="n">
        <v>46252.9403587963</v>
      </c>
      <c r="C899" s="82" t="n">
        <v>46226</v>
      </c>
      <c r="D899" t="inlineStr">
        <is>
          <t>央广网</t>
        </is>
      </c>
      <c r="E899" t="inlineStr">
        <is>
          <t>其他</t>
        </is>
      </c>
      <c r="F899" t="inlineStr">
        <is>
          <t>原始网页</t>
        </is>
      </c>
      <c r="G899" t="inlineStr">
        <is>
          <t>央广网</t>
        </is>
      </c>
      <c r="H899" t="inlineStr">
        <is>
          <t>培训旨在交流学习各地民族团结进步创建工作经验。</t>
        </is>
      </c>
      <c r="I899" t="inlineStr">
        <is>
          <t>https://www.cnr.cn</t>
        </is>
      </c>
      <c r="J899" t="inlineStr">
        <is>
          <t>青海全省</t>
        </is>
      </c>
      <c r="K899" t="inlineStr">
        <is>
          <t>青海</t>
        </is>
      </c>
      <c r="L899" t="inlineStr">
        <is>
          <t>青海</t>
        </is>
      </c>
      <c r="O899" t="inlineStr">
        <is>
          <t>中文</t>
        </is>
      </c>
      <c r="P899" t="inlineStr">
        <is>
          <t>否</t>
        </is>
      </c>
      <c r="Q899" t="inlineStr">
        <is>
          <t>中性信息</t>
        </is>
      </c>
      <c r="R899" t="inlineStr">
        <is>
          <t>学习培训与宣传覆盖</t>
        </is>
      </c>
      <c r="S899" t="n">
        <v>0</v>
      </c>
      <c r="T899" t="n">
        <v>0</v>
      </c>
      <c r="U899" t="n">
        <v>0</v>
      </c>
      <c r="V899" t="inlineStr">
        <is>
          <t>否</t>
        </is>
      </c>
      <c r="W899" t="inlineStr">
        <is>
          <t>否</t>
        </is>
      </c>
      <c r="X899" t="inlineStr">
        <is>
          <t>历史导入:青海西藏舆情省级拆分_修正版.xlsx；来源类型:媒体报道；复核:媒体报道；重复:否；待核实:否</t>
        </is>
      </c>
    </row>
    <row r="900">
      <c r="A900" t="inlineStr">
        <is>
          <t>hist-841b9030bf63a280</t>
        </is>
      </c>
      <c r="B900" s="82" t="n">
        <v>46252.9403587963</v>
      </c>
      <c r="C900" s="82" t="n">
        <v>46209</v>
      </c>
      <c r="D900" t="inlineStr">
        <is>
          <t>日喀则市</t>
        </is>
      </c>
      <c r="E900" t="inlineStr">
        <is>
          <t>其他</t>
        </is>
      </c>
      <c r="F900" t="inlineStr">
        <is>
          <t>原始网页</t>
        </is>
      </c>
      <c r="G900" t="inlineStr">
        <is>
          <t>西藏日报</t>
        </is>
      </c>
      <c r="H900" t="inlineStr">
        <is>
          <t>《中华人民共和国民族团结进步促进法》于2026年7月1日起正式施行，是长治久安的固基之法。</t>
        </is>
      </c>
      <c r="I900" t="inlineStr">
        <is>
          <t>https://rikaze.xzdw.gov.cn/wdjs_491/202607/t20260706_682284.html</t>
        </is>
      </c>
      <c r="J900" t="inlineStr">
        <is>
          <t>西藏全区</t>
        </is>
      </c>
      <c r="K900" t="inlineStr">
        <is>
          <t>西藏</t>
        </is>
      </c>
      <c r="L900" t="inlineStr">
        <is>
          <t>西藏</t>
        </is>
      </c>
      <c r="O900" t="inlineStr">
        <is>
          <t>中文</t>
        </is>
      </c>
      <c r="P900" t="inlineStr">
        <is>
          <t>否</t>
        </is>
      </c>
      <c r="Q900" t="inlineStr">
        <is>
          <t>官方政策信息</t>
        </is>
      </c>
      <c r="R900" t="inlineStr">
        <is>
          <t>法律施行与总体解读</t>
        </is>
      </c>
      <c r="S900" t="n">
        <v>0</v>
      </c>
      <c r="T900" t="n">
        <v>0</v>
      </c>
      <c r="U900" t="n">
        <v>0</v>
      </c>
      <c r="V900" t="inlineStr">
        <is>
          <t>否</t>
        </is>
      </c>
      <c r="W900" t="inlineStr">
        <is>
          <t>否</t>
        </is>
      </c>
      <c r="X900" t="inlineStr">
        <is>
          <t>历史导入:青海西藏舆情省级拆分_修正版.xlsx；来源类型:官方实施信息；复核:自治区座谈会；重复:否；待核实:否</t>
        </is>
      </c>
    </row>
    <row r="901">
      <c r="A901" t="inlineStr">
        <is>
          <t>hist-beebc3aa984f22ad</t>
        </is>
      </c>
      <c r="B901" s="82" t="n">
        <v>46252.9403587963</v>
      </c>
      <c r="C901" s="82" t="n">
        <v>46210</v>
      </c>
      <c r="D901" t="inlineStr">
        <is>
          <t>中国藏学研究中心</t>
        </is>
      </c>
      <c r="E901" t="inlineStr">
        <is>
          <t>其他</t>
        </is>
      </c>
      <c r="F901" t="inlineStr">
        <is>
          <t>原始网页</t>
        </is>
      </c>
      <c r="G901" t="inlineStr">
        <is>
          <t>西藏日报</t>
        </is>
      </c>
      <c r="H901" t="inlineStr">
        <is>
          <t>民族团结进步促进法为宗教工作领域推进中华民族共同体建设提供根本法治遵循。</t>
        </is>
      </c>
      <c r="I901" t="inlineStr">
        <is>
          <t>https://www.tibetology.ac.cn</t>
        </is>
      </c>
      <c r="J901" t="inlineStr">
        <is>
          <t>西藏全区</t>
        </is>
      </c>
      <c r="K901" t="inlineStr">
        <is>
          <t>西藏</t>
        </is>
      </c>
      <c r="L901" t="inlineStr">
        <is>
          <t>西藏</t>
        </is>
      </c>
      <c r="O901" t="inlineStr">
        <is>
          <t>中文</t>
        </is>
      </c>
      <c r="P901" t="inlineStr">
        <is>
          <t>否</t>
        </is>
      </c>
      <c r="Q901" t="inlineStr">
        <is>
          <t>中性信息</t>
        </is>
      </c>
      <c r="R901" t="inlineStr">
        <is>
          <t>宗教领域实施</t>
        </is>
      </c>
      <c r="S901" t="n">
        <v>0</v>
      </c>
      <c r="T901" t="n">
        <v>0</v>
      </c>
      <c r="U901" t="n">
        <v>0</v>
      </c>
      <c r="V901" t="inlineStr">
        <is>
          <t>否</t>
        </is>
      </c>
      <c r="W901" t="inlineStr">
        <is>
          <t>否</t>
        </is>
      </c>
      <c r="X901" t="inlineStr">
        <is>
          <t>历史导入:青海西藏舆情省级拆分_修正版.xlsx；来源类型:媒体报道；复核:链接为网站首页；重复:否；待核实:否</t>
        </is>
      </c>
    </row>
    <row r="902">
      <c r="A902" t="inlineStr">
        <is>
          <t>hist-6a6303e69989b3f1</t>
        </is>
      </c>
      <c r="B902" s="82" t="n">
        <v>46252.9403587963</v>
      </c>
      <c r="C902" s="82" t="n">
        <v>46218</v>
      </c>
      <c r="D902" t="inlineStr">
        <is>
          <t>昌都市</t>
        </is>
      </c>
      <c r="E902" t="inlineStr">
        <is>
          <t>其他</t>
        </is>
      </c>
      <c r="F902" t="inlineStr">
        <is>
          <t>原始网页</t>
        </is>
      </c>
      <c r="G902" t="inlineStr">
        <is>
          <t>西藏日报</t>
        </is>
      </c>
      <c r="H902" t="inlineStr">
        <is>
          <t>制定出台民族团结进步促进法，是铸牢中华民族共同体意识、推进中华民族共同体建设的重大法治举措。</t>
        </is>
      </c>
      <c r="I902" t="inlineStr">
        <is>
          <t>https://cd.xzdw.gov.cn</t>
        </is>
      </c>
      <c r="J902" t="inlineStr">
        <is>
          <t>拉萨市</t>
        </is>
      </c>
      <c r="K902" t="inlineStr">
        <is>
          <t>西藏</t>
        </is>
      </c>
      <c r="L902" t="inlineStr">
        <is>
          <t>西藏</t>
        </is>
      </c>
      <c r="O902" t="inlineStr">
        <is>
          <t>中文</t>
        </is>
      </c>
      <c r="P902" t="inlineStr">
        <is>
          <t>否</t>
        </is>
      </c>
      <c r="Q902" t="inlineStr">
        <is>
          <t>官方政策信息</t>
        </is>
      </c>
      <c r="R902" t="inlineStr">
        <is>
          <t>学习培训与宣传覆盖</t>
        </is>
      </c>
      <c r="S902" t="n">
        <v>0</v>
      </c>
      <c r="T902" t="n">
        <v>0</v>
      </c>
      <c r="U902" t="n">
        <v>0</v>
      </c>
      <c r="V902" t="inlineStr">
        <is>
          <t>否</t>
        </is>
      </c>
      <c r="W902" t="inlineStr">
        <is>
          <t>否</t>
        </is>
      </c>
      <c r="X902" t="inlineStr">
        <is>
          <t>历史导入:青海西藏舆情省级拆分_修正版.xlsx；来源类型:官方实施信息；复核:链接为网站首页；重复:否；待核实:否</t>
        </is>
      </c>
    </row>
    <row r="903">
      <c r="A903" t="inlineStr">
        <is>
          <t>hist-2b826f277e36fe6f</t>
        </is>
      </c>
      <c r="B903" s="82" t="n">
        <v>46252.9403587963</v>
      </c>
      <c r="C903" s="82" t="n">
        <v>46219</v>
      </c>
      <c r="D903" t="inlineStr">
        <is>
          <t>西藏自治区民族事务委员会</t>
        </is>
      </c>
      <c r="E903" t="inlineStr">
        <is>
          <t>其他</t>
        </is>
      </c>
      <c r="F903" t="inlineStr">
        <is>
          <t>原始网页</t>
        </is>
      </c>
      <c r="G903" t="inlineStr">
        <is>
          <t>西藏民委</t>
        </is>
      </c>
      <c r="H903" t="inlineStr">
        <is>
          <t>西藏自治区印发《关于学习宣传贯彻〈中华人民共和国民族团结进步促进法〉的工作方案》，系统部署20项具体任务。</t>
        </is>
      </c>
      <c r="I903" t="inlineStr">
        <is>
          <t>https://mw.xizang.gov.cn</t>
        </is>
      </c>
      <c r="J903" t="inlineStr">
        <is>
          <t>西藏全区</t>
        </is>
      </c>
      <c r="K903" t="inlineStr">
        <is>
          <t>西藏</t>
        </is>
      </c>
      <c r="L903" t="inlineStr">
        <is>
          <t>西藏</t>
        </is>
      </c>
      <c r="O903" t="inlineStr">
        <is>
          <t>中文</t>
        </is>
      </c>
      <c r="P903" t="inlineStr">
        <is>
          <t>否</t>
        </is>
      </c>
      <c r="Q903" t="inlineStr">
        <is>
          <t>官方政策信息</t>
        </is>
      </c>
      <c r="R903" t="inlineStr">
        <is>
          <t>地方法规衔接与执行机制</t>
        </is>
      </c>
      <c r="S903" t="n">
        <v>0</v>
      </c>
      <c r="T903" t="n">
        <v>0</v>
      </c>
      <c r="U903" t="n">
        <v>0</v>
      </c>
      <c r="V903" t="inlineStr">
        <is>
          <t>否</t>
        </is>
      </c>
      <c r="W903" t="inlineStr">
        <is>
          <t>否</t>
        </is>
      </c>
      <c r="X903" t="inlineStr">
        <is>
          <t>历史导入:青海西藏舆情省级拆分_修正版.xlsx；来源类型:官方实施信息；复核:链接为网站首页；重复:否；待核实:否</t>
        </is>
      </c>
    </row>
    <row r="904">
      <c r="A904" t="inlineStr">
        <is>
          <t>hist-154cd0f49f779d8f</t>
        </is>
      </c>
      <c r="B904" s="82" t="n">
        <v>46252.9403587963</v>
      </c>
      <c r="C904" s="82" t="n">
        <v>46224</v>
      </c>
      <c r="D904" t="inlineStr">
        <is>
          <t>中国西藏网</t>
        </is>
      </c>
      <c r="E904" t="inlineStr">
        <is>
          <t>其他</t>
        </is>
      </c>
      <c r="F904" t="inlineStr">
        <is>
          <t>原始网页</t>
        </is>
      </c>
      <c r="G904" t="inlineStr">
        <is>
          <t>中国西藏网</t>
        </is>
      </c>
      <c r="H904" t="inlineStr">
        <is>
          <t>全区五级人大代表学习贯彻《中华人民共和国民族团结进步促进法》"话团结、作表率"专题交流分享会在拉萨召开。</t>
        </is>
      </c>
      <c r="I904" t="inlineStr">
        <is>
          <t>https://lasa.xzdw.gov.cn</t>
        </is>
      </c>
      <c r="J904" t="inlineStr">
        <is>
          <t>西藏全区</t>
        </is>
      </c>
      <c r="K904" t="inlineStr">
        <is>
          <t>西藏</t>
        </is>
      </c>
      <c r="L904" t="inlineStr">
        <is>
          <t>西藏</t>
        </is>
      </c>
      <c r="O904" t="inlineStr">
        <is>
          <t>中文</t>
        </is>
      </c>
      <c r="P904" t="inlineStr">
        <is>
          <t>否</t>
        </is>
      </c>
      <c r="Q904" t="inlineStr">
        <is>
          <t>官方政策信息</t>
        </is>
      </c>
      <c r="R904" t="inlineStr">
        <is>
          <t>学习培训与宣传覆盖</t>
        </is>
      </c>
      <c r="S904" t="n">
        <v>0</v>
      </c>
      <c r="T904" t="n">
        <v>0</v>
      </c>
      <c r="U904" t="n">
        <v>0</v>
      </c>
      <c r="V904" t="inlineStr">
        <is>
          <t>否</t>
        </is>
      </c>
      <c r="W904" t="inlineStr">
        <is>
          <t>否</t>
        </is>
      </c>
      <c r="X904" t="inlineStr">
        <is>
          <t>历史导入:青海西藏舆情省级拆分_修正版.xlsx；来源类型:官方实施信息；复核:链接为网站首页；重复:否；待核实:否</t>
        </is>
      </c>
    </row>
    <row r="905">
      <c r="A905" t="inlineStr">
        <is>
          <t>hist-fb4a3a5714393cde</t>
        </is>
      </c>
      <c r="B905" s="82" t="n">
        <v>46252.9403587963</v>
      </c>
      <c r="C905" s="82" t="n">
        <v>46233</v>
      </c>
      <c r="D905" t="inlineStr">
        <is>
          <t>中国西藏网</t>
        </is>
      </c>
      <c r="E905" t="inlineStr">
        <is>
          <t>其他</t>
        </is>
      </c>
      <c r="F905" t="inlineStr">
        <is>
          <t>原始网页</t>
        </is>
      </c>
      <c r="G905" t="inlineStr">
        <is>
          <t>中国西藏网</t>
        </is>
      </c>
      <c r="H905" t="inlineStr">
        <is>
          <t>西藏各地持续开展法律学习宣传贯彻活动。</t>
        </is>
      </c>
      <c r="I905" t="inlineStr">
        <is>
          <t>https://www.tibet.cn</t>
        </is>
      </c>
      <c r="J905" t="inlineStr">
        <is>
          <t>西藏全区</t>
        </is>
      </c>
      <c r="K905" t="inlineStr">
        <is>
          <t>西藏</t>
        </is>
      </c>
      <c r="L905" t="inlineStr">
        <is>
          <t>西藏</t>
        </is>
      </c>
      <c r="O905" t="inlineStr">
        <is>
          <t>中文</t>
        </is>
      </c>
      <c r="P905" t="inlineStr">
        <is>
          <t>否</t>
        </is>
      </c>
      <c r="Q905" t="inlineStr">
        <is>
          <t>中性信息</t>
        </is>
      </c>
      <c r="R905" t="inlineStr">
        <is>
          <t>学习培训与宣传覆盖</t>
        </is>
      </c>
      <c r="S905" t="n">
        <v>0</v>
      </c>
      <c r="T905" t="n">
        <v>0</v>
      </c>
      <c r="U905" t="n">
        <v>0</v>
      </c>
      <c r="V905" t="inlineStr">
        <is>
          <t>否</t>
        </is>
      </c>
      <c r="W905" t="inlineStr">
        <is>
          <t>否</t>
        </is>
      </c>
      <c r="X905" t="inlineStr">
        <is>
          <t>历史导入:青海西藏舆情省级拆分_修正版.xlsx；来源类型:媒体报道；复核:综合报道；重复:否；待核实:否</t>
        </is>
      </c>
    </row>
  </sheetData>
  <conditionalFormatting sqref="A2:X13">
    <cfRule type="expression" priority="1" dxfId="1">
      <formula>MOD(ROW(),2)=0</formula>
    </cfRule>
  </conditionalFormatting>
  <dataValidations count="1">
    <dataValidation sqref="V2:W13" showDropDown="0" showInputMessage="0" showErrorMessage="0" allowBlank="0" type="list">
      <formula1>"是,否"</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9"/>
  <sheetViews>
    <sheetView showGridLines="0" workbookViewId="0">
      <pane ySplit="1" topLeftCell="A2" activePane="bottomLeft" state="frozen"/>
      <selection pane="bottomLeft" activeCell="A1" sqref="A1"/>
    </sheetView>
  </sheetViews>
  <sheetFormatPr baseColWidth="8" defaultRowHeight="15"/>
  <cols>
    <col width="26" customWidth="1" style="23" min="1" max="1"/>
    <col width="11" customWidth="1" style="23" min="2" max="2"/>
    <col width="12" customWidth="1" style="23" min="3" max="3"/>
    <col width="12" customWidth="1" style="23" min="4" max="4"/>
    <col width="12" customWidth="1" style="23" min="5" max="5"/>
    <col width="12" customWidth="1" style="23" min="6" max="6"/>
    <col width="12" customWidth="1" style="23" min="7" max="7"/>
    <col width="13" customWidth="1" style="23" min="8" max="8"/>
  </cols>
  <sheetData>
    <row r="1" ht="34" customHeight="1" s="23">
      <c r="A1" s="78" t="inlineStr">
        <is>
          <t>平台组</t>
        </is>
      </c>
      <c r="B1" s="78" t="inlineStr">
        <is>
          <t>总量</t>
        </is>
      </c>
      <c r="C1" s="78" t="inlineStr">
        <is>
          <t>支持认可</t>
        </is>
      </c>
      <c r="D1" s="78" t="inlineStr">
        <is>
          <t>咨询疑问</t>
        </is>
      </c>
      <c r="E1" s="78" t="inlineStr">
        <is>
          <t>担忧影响</t>
        </is>
      </c>
      <c r="F1" s="78" t="inlineStr">
        <is>
          <t>明确批评</t>
        </is>
      </c>
      <c r="G1" s="78" t="inlineStr">
        <is>
          <t>参与建议</t>
        </is>
      </c>
      <c r="H1" s="78" t="inlineStr">
        <is>
          <t>非支持合计</t>
        </is>
      </c>
    </row>
    <row r="2" ht="32" customHeight="1" s="23">
      <c r="A2" s="71" t="inlineStr">
        <is>
          <t>微博/热榜</t>
        </is>
      </c>
      <c r="B2" s="74">
        <f>COUNTIF('舆情事实表'!$E$2:$E$13,$A2)</f>
        <v/>
      </c>
      <c r="C2" s="74">
        <f>COUNTIFS('舆情事实表'!$E$2:$E$13,$A2,'舆情事实表'!$Q$2:$Q$13,"支持认可")</f>
        <v/>
      </c>
      <c r="D2" s="74">
        <f>COUNTIFS('舆情事实表'!$E$2:$E$13,$A2,'舆情事实表'!$R$2:$R$13,"咨询疑问")</f>
        <v/>
      </c>
      <c r="E2" s="74">
        <f>COUNTIFS('舆情事实表'!$E$2:$E$13,$A2,'舆情事实表'!$R$2:$R$13,"担忧影响")</f>
        <v/>
      </c>
      <c r="F2" s="74">
        <f>COUNTIFS('舆情事实表'!$E$2:$E$13,$A2,'舆情事实表'!$Q$2:$Q$13,"明确批评")</f>
        <v/>
      </c>
      <c r="G2" s="74">
        <f>COUNTIFS('舆情事实表'!$E$2:$E$13,$A2,'舆情事实表'!$R$2:$R$13,"参与建议")</f>
        <v/>
      </c>
      <c r="H2" s="74">
        <f>SUM(D2:F2)</f>
        <v/>
      </c>
    </row>
    <row r="3" ht="32" customHeight="1" s="23">
      <c r="A3" s="71" t="inlineStr">
        <is>
          <t>抖音等视频平台</t>
        </is>
      </c>
      <c r="B3" s="74">
        <f>COUNTIF('舆情事实表'!$E$2:$E$13,$A3)</f>
        <v/>
      </c>
      <c r="C3" s="74">
        <f>COUNTIFS('舆情事实表'!$E$2:$E$13,$A3,'舆情事实表'!$Q$2:$Q$13,"支持认可")</f>
        <v/>
      </c>
      <c r="D3" s="74">
        <f>COUNTIFS('舆情事实表'!$E$2:$E$13,$A3,'舆情事实表'!$R$2:$R$13,"咨询疑问")</f>
        <v/>
      </c>
      <c r="E3" s="74">
        <f>COUNTIFS('舆情事实表'!$E$2:$E$13,$A3,'舆情事实表'!$R$2:$R$13,"担忧影响")</f>
        <v/>
      </c>
      <c r="F3" s="74">
        <f>COUNTIFS('舆情事实表'!$E$2:$E$13,$A3,'舆情事实表'!$Q$2:$Q$13,"明确批评")</f>
        <v/>
      </c>
      <c r="G3" s="74">
        <f>COUNTIFS('舆情事实表'!$E$2:$E$13,$A3,'舆情事实表'!$R$2:$R$13,"参与建议")</f>
        <v/>
      </c>
      <c r="H3" s="74">
        <f>SUM(D3:F3)</f>
        <v/>
      </c>
    </row>
    <row r="4" ht="32" customHeight="1" s="23">
      <c r="A4" s="71" t="inlineStr">
        <is>
          <t>快手</t>
        </is>
      </c>
      <c r="B4" s="74">
        <f>COUNTIF('舆情事实表'!$E$2:$E$13,$A4)</f>
        <v/>
      </c>
      <c r="C4" s="74">
        <f>COUNTIFS('舆情事实表'!$E$2:$E$13,$A4,'舆情事实表'!$Q$2:$Q$13,"支持认可")</f>
        <v/>
      </c>
      <c r="D4" s="74">
        <f>COUNTIFS('舆情事实表'!$E$2:$E$13,$A4,'舆情事实表'!$R$2:$R$13,"咨询疑问")</f>
        <v/>
      </c>
      <c r="E4" s="74">
        <f>COUNTIFS('舆情事实表'!$E$2:$E$13,$A4,'舆情事实表'!$R$2:$R$13,"担忧影响")</f>
        <v/>
      </c>
      <c r="F4" s="74">
        <f>COUNTIFS('舆情事实表'!$E$2:$E$13,$A4,'舆情事实表'!$Q$2:$Q$13,"明确批评")</f>
        <v/>
      </c>
      <c r="G4" s="74">
        <f>COUNTIFS('舆情事实表'!$E$2:$E$13,$A4,'舆情事实表'!$R$2:$R$13,"参与建议")</f>
        <v/>
      </c>
      <c r="H4" s="74">
        <f>SUM(D4:F4)</f>
        <v/>
      </c>
    </row>
    <row r="5" ht="32" customHeight="1" s="23">
      <c r="A5" s="71" t="inlineStr">
        <is>
          <t>小红书/豆瓣等平台</t>
        </is>
      </c>
      <c r="B5" s="74">
        <f>COUNTIF('舆情事实表'!$E$2:$E$13,$A5)</f>
        <v/>
      </c>
      <c r="C5" s="74">
        <f>COUNTIFS('舆情事实表'!$E$2:$E$13,$A5,'舆情事实表'!$Q$2:$Q$13,"支持认可")</f>
        <v/>
      </c>
      <c r="D5" s="74">
        <f>COUNTIFS('舆情事实表'!$E$2:$E$13,$A5,'舆情事实表'!$R$2:$R$13,"咨询疑问")</f>
        <v/>
      </c>
      <c r="E5" s="74">
        <f>COUNTIFS('舆情事实表'!$E$2:$E$13,$A5,'舆情事实表'!$R$2:$R$13,"担忧影响")</f>
        <v/>
      </c>
      <c r="F5" s="74">
        <f>COUNTIFS('舆情事实表'!$E$2:$E$13,$A5,'舆情事实表'!$Q$2:$Q$13,"明确批评")</f>
        <v/>
      </c>
      <c r="G5" s="74">
        <f>COUNTIFS('舆情事实表'!$E$2:$E$13,$A5,'舆情事实表'!$R$2:$R$13,"参与建议")</f>
        <v/>
      </c>
      <c r="H5" s="74">
        <f>SUM(D5:F5)</f>
        <v/>
      </c>
    </row>
    <row r="6" ht="32" customHeight="1" s="23">
      <c r="A6" s="71" t="inlineStr">
        <is>
          <t>知乎/B站/百度知道</t>
        </is>
      </c>
      <c r="B6" s="74">
        <f>COUNTIF('舆情事实表'!$E$2:$E$13,$A6)</f>
        <v/>
      </c>
      <c r="C6" s="74">
        <f>COUNTIFS('舆情事实表'!$E$2:$E$13,$A6,'舆情事实表'!$Q$2:$Q$13,"支持认可")</f>
        <v/>
      </c>
      <c r="D6" s="74">
        <f>COUNTIFS('舆情事实表'!$E$2:$E$13,$A6,'舆情事实表'!$R$2:$R$13,"咨询疑问")</f>
        <v/>
      </c>
      <c r="E6" s="74">
        <f>COUNTIFS('舆情事实表'!$E$2:$E$13,$A6,'舆情事实表'!$R$2:$R$13,"担忧影响")</f>
        <v/>
      </c>
      <c r="F6" s="74">
        <f>COUNTIFS('舆情事实表'!$E$2:$E$13,$A6,'舆情事实表'!$Q$2:$Q$13,"明确批评")</f>
        <v/>
      </c>
      <c r="G6" s="74">
        <f>COUNTIFS('舆情事实表'!$E$2:$E$13,$A6,'舆情事实表'!$R$2:$R$13,"参与建议")</f>
        <v/>
      </c>
      <c r="H6" s="74">
        <f>SUM(D6:F6)</f>
        <v/>
      </c>
    </row>
    <row r="7" ht="32" customHeight="1" s="23">
      <c r="A7" s="71" t="inlineStr">
        <is>
          <t>贴吧/头条/新闻评论</t>
        </is>
      </c>
      <c r="B7" s="74">
        <f>COUNTIF('舆情事实表'!$E$2:$E$13,$A7)</f>
        <v/>
      </c>
      <c r="C7" s="74">
        <f>COUNTIFS('舆情事实表'!$E$2:$E$13,$A7,'舆情事实表'!$Q$2:$Q$13,"支持认可")</f>
        <v/>
      </c>
      <c r="D7" s="74">
        <f>COUNTIFS('舆情事实表'!$E$2:$E$13,$A7,'舆情事实表'!$R$2:$R$13,"咨询疑问")</f>
        <v/>
      </c>
      <c r="E7" s="74">
        <f>COUNTIFS('舆情事实表'!$E$2:$E$13,$A7,'舆情事实表'!$R$2:$R$13,"担忧影响")</f>
        <v/>
      </c>
      <c r="F7" s="74">
        <f>COUNTIFS('舆情事实表'!$E$2:$E$13,$A7,'舆情事实表'!$Q$2:$Q$13,"明确批评")</f>
        <v/>
      </c>
      <c r="G7" s="74">
        <f>COUNTIFS('舆情事实表'!$E$2:$E$13,$A7,'舆情事实表'!$R$2:$R$13,"参与建议")</f>
        <v/>
      </c>
      <c r="H7" s="74">
        <f>SUM(D7:F7)</f>
        <v/>
      </c>
    </row>
    <row r="8" ht="32" customHeight="1" s="23">
      <c r="A8" s="71" t="inlineStr">
        <is>
          <t>微信公众号/视频号</t>
        </is>
      </c>
      <c r="B8" s="74">
        <f>COUNTIF('舆情事实表'!$E$2:$E$13,$A8)</f>
        <v/>
      </c>
      <c r="C8" s="74">
        <f>COUNTIFS('舆情事实表'!$E$2:$E$13,$A8,'舆情事实表'!$Q$2:$Q$13,"支持认可")</f>
        <v/>
      </c>
      <c r="D8" s="74">
        <f>COUNTIFS('舆情事实表'!$E$2:$E$13,$A8,'舆情事实表'!$R$2:$R$13,"咨询疑问")</f>
        <v/>
      </c>
      <c r="E8" s="74">
        <f>COUNTIFS('舆情事实表'!$E$2:$E$13,$A8,'舆情事实表'!$R$2:$R$13,"担忧影响")</f>
        <v/>
      </c>
      <c r="F8" s="74">
        <f>COUNTIFS('舆情事实表'!$E$2:$E$13,$A8,'舆情事实表'!$Q$2:$Q$13,"明确批评")</f>
        <v/>
      </c>
      <c r="G8" s="74">
        <f>COUNTIFS('舆情事实表'!$E$2:$E$13,$A8,'舆情事实表'!$R$2:$R$13,"参与建议")</f>
        <v/>
      </c>
      <c r="H8" s="74">
        <f>SUM(D8:F8)</f>
        <v/>
      </c>
    </row>
    <row r="9" ht="32" customHeight="1" s="23">
      <c r="A9" s="79" t="inlineStr">
        <is>
          <t>合计</t>
        </is>
      </c>
      <c r="B9" s="80">
        <f>SUM(B2:B8)</f>
        <v/>
      </c>
      <c r="C9" s="80">
        <f>SUM(C2:C8)</f>
        <v/>
      </c>
      <c r="D9" s="80">
        <f>SUM(D2:D8)</f>
        <v/>
      </c>
      <c r="E9" s="80">
        <f>SUM(E2:E8)</f>
        <v/>
      </c>
      <c r="F9" s="80">
        <f>SUM(F2:F8)</f>
        <v/>
      </c>
      <c r="G9" s="80">
        <f>SUM(G2:G8)</f>
        <v/>
      </c>
      <c r="H9" s="80">
        <f>SUM(H2:H8)</f>
        <v/>
      </c>
    </row>
  </sheetData>
  <conditionalFormatting sqref="A2:H8">
    <cfRule type="expression" priority="1" dxfId="1">
      <formula>MOD(ROW(),2)=0</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12" customWidth="1" style="23" min="1" max="1"/>
    <col width="11" customWidth="1" style="23" min="2" max="2"/>
    <col width="12" customWidth="1" style="23" min="3" max="3"/>
    <col width="12" customWidth="1" style="23" min="4" max="4"/>
    <col width="12" customWidth="1" style="23" min="5" max="5"/>
    <col width="12" customWidth="1" style="23" min="6" max="6"/>
    <col width="12" customWidth="1" style="23" min="7" max="7"/>
    <col width="13" customWidth="1" style="23" min="8" max="8"/>
  </cols>
  <sheetData>
    <row r="1" ht="34" customHeight="1" s="23">
      <c r="A1" s="78" t="inlineStr">
        <is>
          <t>省份</t>
        </is>
      </c>
      <c r="B1" s="78" t="inlineStr">
        <is>
          <t>总量</t>
        </is>
      </c>
      <c r="C1" s="78" t="inlineStr">
        <is>
          <t>支持认可</t>
        </is>
      </c>
      <c r="D1" s="78" t="inlineStr">
        <is>
          <t>咨询疑问</t>
        </is>
      </c>
      <c r="E1" s="78" t="inlineStr">
        <is>
          <t>担忧影响</t>
        </is>
      </c>
      <c r="F1" s="78" t="inlineStr">
        <is>
          <t>明确批评</t>
        </is>
      </c>
      <c r="G1" s="78" t="inlineStr">
        <is>
          <t>参与建议</t>
        </is>
      </c>
      <c r="H1" s="78" t="inlineStr">
        <is>
          <t>非支持合计</t>
        </is>
      </c>
    </row>
    <row r="2" ht="32" customHeight="1" s="23">
      <c r="A2" s="71" t="inlineStr">
        <is>
          <t>北京</t>
        </is>
      </c>
      <c r="B2" s="74">
        <f>COUNTIF('舆情事实表'!$L$2:$L$1000,$A2)</f>
        <v/>
      </c>
      <c r="C2" s="74">
        <f>COUNTIFS('舆情事实表'!$L$2:$L$1000,$A2,'舆情事实表'!$Q$2:$Q$1000,"支持认可")</f>
        <v/>
      </c>
      <c r="D2" s="74">
        <f>COUNTIFS('舆情事实表'!$L$2:$L$1000,$A2,'舆情事实表'!$R$2:$R$1000,"咨询疑问")</f>
        <v/>
      </c>
      <c r="E2" s="74">
        <f>COUNTIFS('舆情事实表'!$L$2:$L$1000,$A2,'舆情事实表'!$R$2:$R$1000,"担忧影响")</f>
        <v/>
      </c>
      <c r="F2" s="74">
        <f>COUNTIFS('舆情事实表'!$L$2:$L$1000,$A2,'舆情事实表'!$Q$2:$Q$1000,"明确批评")</f>
        <v/>
      </c>
      <c r="G2" s="74">
        <f>COUNTIFS('舆情事实表'!$L$2:$L$1000,$A2,'舆情事实表'!$R$2:$R$1000,"参与建议")</f>
        <v/>
      </c>
      <c r="H2" s="74">
        <f>SUM(D2:F2)</f>
        <v/>
      </c>
    </row>
    <row r="3" ht="32" customHeight="1" s="23">
      <c r="A3" s="71" t="inlineStr">
        <is>
          <t>天津</t>
        </is>
      </c>
      <c r="B3" s="74">
        <f>COUNTIF('舆情事实表'!$L$2:$L$1000,$A3)</f>
        <v/>
      </c>
      <c r="C3" s="74">
        <f>COUNTIFS('舆情事实表'!$L$2:$L$1000,$A3,'舆情事实表'!$Q$2:$Q$1000,"支持认可")</f>
        <v/>
      </c>
      <c r="D3" s="74">
        <f>COUNTIFS('舆情事实表'!$L$2:$L$1000,$A3,'舆情事实表'!$R$2:$R$1000,"咨询疑问")</f>
        <v/>
      </c>
      <c r="E3" s="74">
        <f>COUNTIFS('舆情事实表'!$L$2:$L$1000,$A3,'舆情事实表'!$R$2:$R$1000,"担忧影响")</f>
        <v/>
      </c>
      <c r="F3" s="74">
        <f>COUNTIFS('舆情事实表'!$L$2:$L$1000,$A3,'舆情事实表'!$Q$2:$Q$1000,"明确批评")</f>
        <v/>
      </c>
      <c r="G3" s="74">
        <f>COUNTIFS('舆情事实表'!$L$2:$L$1000,$A3,'舆情事实表'!$R$2:$R$1000,"参与建议")</f>
        <v/>
      </c>
      <c r="H3" s="74">
        <f>SUM(D3:F3)</f>
        <v/>
      </c>
    </row>
    <row r="4" ht="32" customHeight="1" s="23">
      <c r="A4" s="71" t="inlineStr">
        <is>
          <t>河北</t>
        </is>
      </c>
      <c r="B4" s="74">
        <f>COUNTIF('舆情事实表'!$L$2:$L$1000,$A4)</f>
        <v/>
      </c>
      <c r="C4" s="74">
        <f>COUNTIFS('舆情事实表'!$L$2:$L$1000,$A4,'舆情事实表'!$Q$2:$Q$1000,"支持认可")</f>
        <v/>
      </c>
      <c r="D4" s="74">
        <f>COUNTIFS('舆情事实表'!$L$2:$L$1000,$A4,'舆情事实表'!$R$2:$R$1000,"咨询疑问")</f>
        <v/>
      </c>
      <c r="E4" s="74">
        <f>COUNTIFS('舆情事实表'!$L$2:$L$1000,$A4,'舆情事实表'!$R$2:$R$1000,"担忧影响")</f>
        <v/>
      </c>
      <c r="F4" s="74">
        <f>COUNTIFS('舆情事实表'!$L$2:$L$1000,$A4,'舆情事实表'!$Q$2:$Q$1000,"明确批评")</f>
        <v/>
      </c>
      <c r="G4" s="74">
        <f>COUNTIFS('舆情事实表'!$L$2:$L$1000,$A4,'舆情事实表'!$R$2:$R$1000,"参与建议")</f>
        <v/>
      </c>
      <c r="H4" s="74">
        <f>SUM(D4:F4)</f>
        <v/>
      </c>
    </row>
    <row r="5" ht="32" customHeight="1" s="23">
      <c r="A5" s="71" t="inlineStr">
        <is>
          <t>山西</t>
        </is>
      </c>
      <c r="B5" s="74">
        <f>COUNTIF('舆情事实表'!$L$2:$L$1000,$A5)</f>
        <v/>
      </c>
      <c r="C5" s="74">
        <f>COUNTIFS('舆情事实表'!$L$2:$L$1000,$A5,'舆情事实表'!$Q$2:$Q$1000,"支持认可")</f>
        <v/>
      </c>
      <c r="D5" s="74">
        <f>COUNTIFS('舆情事实表'!$L$2:$L$1000,$A5,'舆情事实表'!$R$2:$R$1000,"咨询疑问")</f>
        <v/>
      </c>
      <c r="E5" s="74">
        <f>COUNTIFS('舆情事实表'!$L$2:$L$1000,$A5,'舆情事实表'!$R$2:$R$1000,"担忧影响")</f>
        <v/>
      </c>
      <c r="F5" s="74">
        <f>COUNTIFS('舆情事实表'!$L$2:$L$1000,$A5,'舆情事实表'!$Q$2:$Q$1000,"明确批评")</f>
        <v/>
      </c>
      <c r="G5" s="74">
        <f>COUNTIFS('舆情事实表'!$L$2:$L$1000,$A5,'舆情事实表'!$R$2:$R$1000,"参与建议")</f>
        <v/>
      </c>
      <c r="H5" s="74">
        <f>SUM(D5:F5)</f>
        <v/>
      </c>
    </row>
    <row r="6" ht="32" customHeight="1" s="23">
      <c r="A6" s="71" t="inlineStr">
        <is>
          <t>内蒙古</t>
        </is>
      </c>
      <c r="B6" s="74">
        <f>COUNTIF('舆情事实表'!$L$2:$L$1000,$A6)</f>
        <v/>
      </c>
      <c r="C6" s="74">
        <f>COUNTIFS('舆情事实表'!$L$2:$L$1000,$A6,'舆情事实表'!$Q$2:$Q$1000,"支持认可")</f>
        <v/>
      </c>
      <c r="D6" s="74">
        <f>COUNTIFS('舆情事实表'!$L$2:$L$1000,$A6,'舆情事实表'!$R$2:$R$1000,"咨询疑问")</f>
        <v/>
      </c>
      <c r="E6" s="74">
        <f>COUNTIFS('舆情事实表'!$L$2:$L$1000,$A6,'舆情事实表'!$R$2:$R$1000,"担忧影响")</f>
        <v/>
      </c>
      <c r="F6" s="74">
        <f>COUNTIFS('舆情事实表'!$L$2:$L$1000,$A6,'舆情事实表'!$Q$2:$Q$1000,"明确批评")</f>
        <v/>
      </c>
      <c r="G6" s="74">
        <f>COUNTIFS('舆情事实表'!$L$2:$L$1000,$A6,'舆情事实表'!$R$2:$R$1000,"参与建议")</f>
        <v/>
      </c>
      <c r="H6" s="74">
        <f>SUM(D6:F6)</f>
        <v/>
      </c>
    </row>
    <row r="7" ht="32" customHeight="1" s="23">
      <c r="A7" s="71" t="inlineStr">
        <is>
          <t>辽宁</t>
        </is>
      </c>
      <c r="B7" s="74">
        <f>COUNTIF('舆情事实表'!$L$2:$L$1000,$A7)</f>
        <v/>
      </c>
      <c r="C7" s="74">
        <f>COUNTIFS('舆情事实表'!$L$2:$L$1000,$A7,'舆情事实表'!$Q$2:$Q$1000,"支持认可")</f>
        <v/>
      </c>
      <c r="D7" s="74">
        <f>COUNTIFS('舆情事实表'!$L$2:$L$1000,$A7,'舆情事实表'!$R$2:$R$1000,"咨询疑问")</f>
        <v/>
      </c>
      <c r="E7" s="74">
        <f>COUNTIFS('舆情事实表'!$L$2:$L$1000,$A7,'舆情事实表'!$R$2:$R$1000,"担忧影响")</f>
        <v/>
      </c>
      <c r="F7" s="74">
        <f>COUNTIFS('舆情事实表'!$L$2:$L$1000,$A7,'舆情事实表'!$Q$2:$Q$1000,"明确批评")</f>
        <v/>
      </c>
      <c r="G7" s="74">
        <f>COUNTIFS('舆情事实表'!$L$2:$L$1000,$A7,'舆情事实表'!$R$2:$R$1000,"参与建议")</f>
        <v/>
      </c>
      <c r="H7" s="74">
        <f>SUM(D7:F7)</f>
        <v/>
      </c>
    </row>
    <row r="8" ht="32" customHeight="1" s="23">
      <c r="A8" s="71" t="inlineStr">
        <is>
          <t>吉林</t>
        </is>
      </c>
      <c r="B8" s="74">
        <f>COUNTIF('舆情事实表'!$L$2:$L$1000,$A8)</f>
        <v/>
      </c>
      <c r="C8" s="74">
        <f>COUNTIFS('舆情事实表'!$L$2:$L$1000,$A8,'舆情事实表'!$Q$2:$Q$1000,"支持认可")</f>
        <v/>
      </c>
      <c r="D8" s="74">
        <f>COUNTIFS('舆情事实表'!$L$2:$L$1000,$A8,'舆情事实表'!$R$2:$R$1000,"咨询疑问")</f>
        <v/>
      </c>
      <c r="E8" s="74">
        <f>COUNTIFS('舆情事实表'!$L$2:$L$1000,$A8,'舆情事实表'!$R$2:$R$1000,"担忧影响")</f>
        <v/>
      </c>
      <c r="F8" s="74">
        <f>COUNTIFS('舆情事实表'!$L$2:$L$1000,$A8,'舆情事实表'!$Q$2:$Q$1000,"明确批评")</f>
        <v/>
      </c>
      <c r="G8" s="74">
        <f>COUNTIFS('舆情事实表'!$L$2:$L$1000,$A8,'舆情事实表'!$R$2:$R$1000,"参与建议")</f>
        <v/>
      </c>
      <c r="H8" s="74">
        <f>SUM(D8:F8)</f>
        <v/>
      </c>
    </row>
    <row r="9" ht="32" customHeight="1" s="23">
      <c r="A9" s="71" t="inlineStr">
        <is>
          <t>黑龙江</t>
        </is>
      </c>
      <c r="B9" s="74">
        <f>COUNTIF('舆情事实表'!$L$2:$L$1000,$A9)</f>
        <v/>
      </c>
      <c r="C9" s="74">
        <f>COUNTIFS('舆情事实表'!$L$2:$L$1000,$A9,'舆情事实表'!$Q$2:$Q$1000,"支持认可")</f>
        <v/>
      </c>
      <c r="D9" s="74">
        <f>COUNTIFS('舆情事实表'!$L$2:$L$1000,$A9,'舆情事实表'!$R$2:$R$1000,"咨询疑问")</f>
        <v/>
      </c>
      <c r="E9" s="74">
        <f>COUNTIFS('舆情事实表'!$L$2:$L$1000,$A9,'舆情事实表'!$R$2:$R$1000,"担忧影响")</f>
        <v/>
      </c>
      <c r="F9" s="74">
        <f>COUNTIFS('舆情事实表'!$L$2:$L$1000,$A9,'舆情事实表'!$Q$2:$Q$1000,"明确批评")</f>
        <v/>
      </c>
      <c r="G9" s="74">
        <f>COUNTIFS('舆情事实表'!$L$2:$L$1000,$A9,'舆情事实表'!$R$2:$R$1000,"参与建议")</f>
        <v/>
      </c>
      <c r="H9" s="74">
        <f>SUM(D9:F9)</f>
        <v/>
      </c>
    </row>
    <row r="10" ht="32" customHeight="1" s="23">
      <c r="A10" s="71" t="inlineStr">
        <is>
          <t>上海</t>
        </is>
      </c>
      <c r="B10" s="74">
        <f>COUNTIF('舆情事实表'!$L$2:$L$1000,$A10)</f>
        <v/>
      </c>
      <c r="C10" s="74">
        <f>COUNTIFS('舆情事实表'!$L$2:$L$1000,$A10,'舆情事实表'!$Q$2:$Q$1000,"支持认可")</f>
        <v/>
      </c>
      <c r="D10" s="74">
        <f>COUNTIFS('舆情事实表'!$L$2:$L$1000,$A10,'舆情事实表'!$R$2:$R$1000,"咨询疑问")</f>
        <v/>
      </c>
      <c r="E10" s="74">
        <f>COUNTIFS('舆情事实表'!$L$2:$L$1000,$A10,'舆情事实表'!$R$2:$R$1000,"担忧影响")</f>
        <v/>
      </c>
      <c r="F10" s="74">
        <f>COUNTIFS('舆情事实表'!$L$2:$L$1000,$A10,'舆情事实表'!$Q$2:$Q$1000,"明确批评")</f>
        <v/>
      </c>
      <c r="G10" s="74">
        <f>COUNTIFS('舆情事实表'!$L$2:$L$1000,$A10,'舆情事实表'!$R$2:$R$1000,"参与建议")</f>
        <v/>
      </c>
      <c r="H10" s="74">
        <f>SUM(D10:F10)</f>
        <v/>
      </c>
    </row>
    <row r="11" ht="32" customHeight="1" s="23">
      <c r="A11" s="71" t="inlineStr">
        <is>
          <t>江苏</t>
        </is>
      </c>
      <c r="B11" s="73">
        <f>COUNTIF('舆情事实表'!$L$2:$L$1000,$A11)</f>
        <v/>
      </c>
      <c r="C11" s="73">
        <f>COUNTIFS('舆情事实表'!$L$2:$L$1000,$A11,'舆情事实表'!$Q$2:$Q$1000,"支持认可")</f>
        <v/>
      </c>
      <c r="D11" s="73">
        <f>COUNTIFS('舆情事实表'!$L$2:$L$1000,$A11,'舆情事实表'!$R$2:$R$1000,"咨询疑问")</f>
        <v/>
      </c>
      <c r="E11" s="73">
        <f>COUNTIFS('舆情事实表'!$L$2:$L$1000,$A11,'舆情事实表'!$R$2:$R$1000,"担忧影响")</f>
        <v/>
      </c>
      <c r="F11" s="73">
        <f>COUNTIFS('舆情事实表'!$L$2:$L$1000,$A11,'舆情事实表'!$Q$2:$Q$1000,"明确批评")</f>
        <v/>
      </c>
      <c r="G11" s="73">
        <f>COUNTIFS('舆情事实表'!$L$2:$L$1000,$A11,'舆情事实表'!$R$2:$R$1000,"参与建议")</f>
        <v/>
      </c>
      <c r="H11" s="73">
        <f>SUM(D11:F11)</f>
        <v/>
      </c>
    </row>
    <row r="12" ht="32" customHeight="1" s="23">
      <c r="A12" s="71" t="inlineStr">
        <is>
          <t>浙江</t>
        </is>
      </c>
      <c r="B12" s="73">
        <f>COUNTIF('舆情事实表'!$L$2:$L$1000,$A12)</f>
        <v/>
      </c>
      <c r="C12" s="73">
        <f>COUNTIFS('舆情事实表'!$L$2:$L$1000,$A12,'舆情事实表'!$Q$2:$Q$1000,"支持认可")</f>
        <v/>
      </c>
      <c r="D12" s="73">
        <f>COUNTIFS('舆情事实表'!$L$2:$L$1000,$A12,'舆情事实表'!$R$2:$R$1000,"咨询疑问")</f>
        <v/>
      </c>
      <c r="E12" s="73">
        <f>COUNTIFS('舆情事实表'!$L$2:$L$1000,$A12,'舆情事实表'!$R$2:$R$1000,"担忧影响")</f>
        <v/>
      </c>
      <c r="F12" s="73">
        <f>COUNTIFS('舆情事实表'!$L$2:$L$1000,$A12,'舆情事实表'!$Q$2:$Q$1000,"明确批评")</f>
        <v/>
      </c>
      <c r="G12" s="73">
        <f>COUNTIFS('舆情事实表'!$L$2:$L$1000,$A12,'舆情事实表'!$R$2:$R$1000,"参与建议")</f>
        <v/>
      </c>
      <c r="H12" s="73">
        <f>SUM(D12:F12)</f>
        <v/>
      </c>
    </row>
    <row r="13" ht="32" customHeight="1" s="23">
      <c r="A13" s="71" t="inlineStr">
        <is>
          <t>安徽</t>
        </is>
      </c>
      <c r="B13" s="73">
        <f>COUNTIF('舆情事实表'!$L$2:$L$1000,$A13)</f>
        <v/>
      </c>
      <c r="C13" s="73">
        <f>COUNTIFS('舆情事实表'!$L$2:$L$1000,$A13,'舆情事实表'!$Q$2:$Q$1000,"支持认可")</f>
        <v/>
      </c>
      <c r="D13" s="73">
        <f>COUNTIFS('舆情事实表'!$L$2:$L$1000,$A13,'舆情事实表'!$R$2:$R$1000,"咨询疑问")</f>
        <v/>
      </c>
      <c r="E13" s="73">
        <f>COUNTIFS('舆情事实表'!$L$2:$L$1000,$A13,'舆情事实表'!$R$2:$R$1000,"担忧影响")</f>
        <v/>
      </c>
      <c r="F13" s="73">
        <f>COUNTIFS('舆情事实表'!$L$2:$L$1000,$A13,'舆情事实表'!$Q$2:$Q$1000,"明确批评")</f>
        <v/>
      </c>
      <c r="G13" s="73">
        <f>COUNTIFS('舆情事实表'!$L$2:$L$1000,$A13,'舆情事实表'!$R$2:$R$1000,"参与建议")</f>
        <v/>
      </c>
      <c r="H13" s="73">
        <f>SUM(D13:F13)</f>
        <v/>
      </c>
    </row>
    <row r="14" ht="32" customHeight="1" s="23">
      <c r="A14" s="71" t="inlineStr">
        <is>
          <t>福建</t>
        </is>
      </c>
      <c r="B14" s="73">
        <f>COUNTIF('舆情事实表'!$L$2:$L$1000,$A14)</f>
        <v/>
      </c>
      <c r="C14" s="73">
        <f>COUNTIFS('舆情事实表'!$L$2:$L$1000,$A14,'舆情事实表'!$Q$2:$Q$1000,"支持认可")</f>
        <v/>
      </c>
      <c r="D14" s="73">
        <f>COUNTIFS('舆情事实表'!$L$2:$L$1000,$A14,'舆情事实表'!$R$2:$R$1000,"咨询疑问")</f>
        <v/>
      </c>
      <c r="E14" s="73">
        <f>COUNTIFS('舆情事实表'!$L$2:$L$1000,$A14,'舆情事实表'!$R$2:$R$1000,"担忧影响")</f>
        <v/>
      </c>
      <c r="F14" s="73">
        <f>COUNTIFS('舆情事实表'!$L$2:$L$1000,$A14,'舆情事实表'!$Q$2:$Q$1000,"明确批评")</f>
        <v/>
      </c>
      <c r="G14" s="73">
        <f>COUNTIFS('舆情事实表'!$L$2:$L$1000,$A14,'舆情事实表'!$R$2:$R$1000,"参与建议")</f>
        <v/>
      </c>
      <c r="H14" s="73">
        <f>SUM(D14:F14)</f>
        <v/>
      </c>
    </row>
    <row r="15" ht="32" customHeight="1" s="23">
      <c r="A15" s="71" t="inlineStr">
        <is>
          <t>江西</t>
        </is>
      </c>
      <c r="B15" s="73">
        <f>COUNTIF('舆情事实表'!$L$2:$L$1000,$A15)</f>
        <v/>
      </c>
      <c r="C15" s="73">
        <f>COUNTIFS('舆情事实表'!$L$2:$L$1000,$A15,'舆情事实表'!$Q$2:$Q$1000,"支持认可")</f>
        <v/>
      </c>
      <c r="D15" s="73">
        <f>COUNTIFS('舆情事实表'!$L$2:$L$1000,$A15,'舆情事实表'!$R$2:$R$1000,"咨询疑问")</f>
        <v/>
      </c>
      <c r="E15" s="73">
        <f>COUNTIFS('舆情事实表'!$L$2:$L$1000,$A15,'舆情事实表'!$R$2:$R$1000,"担忧影响")</f>
        <v/>
      </c>
      <c r="F15" s="73">
        <f>COUNTIFS('舆情事实表'!$L$2:$L$1000,$A15,'舆情事实表'!$Q$2:$Q$1000,"明确批评")</f>
        <v/>
      </c>
      <c r="G15" s="73">
        <f>COUNTIFS('舆情事实表'!$L$2:$L$1000,$A15,'舆情事实表'!$R$2:$R$1000,"参与建议")</f>
        <v/>
      </c>
      <c r="H15" s="73">
        <f>SUM(D15:F15)</f>
        <v/>
      </c>
    </row>
    <row r="16" ht="32" customHeight="1" s="23">
      <c r="A16" s="71" t="inlineStr">
        <is>
          <t>山东</t>
        </is>
      </c>
      <c r="B16" s="73">
        <f>COUNTIF('舆情事实表'!$L$2:$L$1000,$A16)</f>
        <v/>
      </c>
      <c r="C16" s="73">
        <f>COUNTIFS('舆情事实表'!$L$2:$L$1000,$A16,'舆情事实表'!$Q$2:$Q$1000,"支持认可")</f>
        <v/>
      </c>
      <c r="D16" s="73">
        <f>COUNTIFS('舆情事实表'!$L$2:$L$1000,$A16,'舆情事实表'!$R$2:$R$1000,"咨询疑问")</f>
        <v/>
      </c>
      <c r="E16" s="73">
        <f>COUNTIFS('舆情事实表'!$L$2:$L$1000,$A16,'舆情事实表'!$R$2:$R$1000,"担忧影响")</f>
        <v/>
      </c>
      <c r="F16" s="73">
        <f>COUNTIFS('舆情事实表'!$L$2:$L$1000,$A16,'舆情事实表'!$Q$2:$Q$1000,"明确批评")</f>
        <v/>
      </c>
      <c r="G16" s="73">
        <f>COUNTIFS('舆情事实表'!$L$2:$L$1000,$A16,'舆情事实表'!$R$2:$R$1000,"参与建议")</f>
        <v/>
      </c>
      <c r="H16" s="73">
        <f>SUM(D16:F16)</f>
        <v/>
      </c>
    </row>
    <row r="17" ht="32" customHeight="1" s="23">
      <c r="A17" s="71" t="inlineStr">
        <is>
          <t>河南</t>
        </is>
      </c>
      <c r="B17" s="73">
        <f>COUNTIF('舆情事实表'!$L$2:$L$1000,$A17)</f>
        <v/>
      </c>
      <c r="C17" s="73">
        <f>COUNTIFS('舆情事实表'!$L$2:$L$1000,$A17,'舆情事实表'!$Q$2:$Q$1000,"支持认可")</f>
        <v/>
      </c>
      <c r="D17" s="73">
        <f>COUNTIFS('舆情事实表'!$L$2:$L$1000,$A17,'舆情事实表'!$R$2:$R$1000,"咨询疑问")</f>
        <v/>
      </c>
      <c r="E17" s="73">
        <f>COUNTIFS('舆情事实表'!$L$2:$L$1000,$A17,'舆情事实表'!$R$2:$R$1000,"担忧影响")</f>
        <v/>
      </c>
      <c r="F17" s="73">
        <f>COUNTIFS('舆情事实表'!$L$2:$L$1000,$A17,'舆情事实表'!$Q$2:$Q$1000,"明确批评")</f>
        <v/>
      </c>
      <c r="G17" s="73">
        <f>COUNTIFS('舆情事实表'!$L$2:$L$1000,$A17,'舆情事实表'!$R$2:$R$1000,"参与建议")</f>
        <v/>
      </c>
      <c r="H17" s="73">
        <f>SUM(D17:F17)</f>
        <v/>
      </c>
    </row>
    <row r="18" ht="32" customHeight="1" s="23">
      <c r="A18" s="71" t="inlineStr">
        <is>
          <t>湖北</t>
        </is>
      </c>
      <c r="B18" s="73">
        <f>COUNTIF('舆情事实表'!$L$2:$L$1000,$A18)</f>
        <v/>
      </c>
      <c r="C18" s="73">
        <f>COUNTIFS('舆情事实表'!$L$2:$L$1000,$A18,'舆情事实表'!$Q$2:$Q$1000,"支持认可")</f>
        <v/>
      </c>
      <c r="D18" s="73">
        <f>COUNTIFS('舆情事实表'!$L$2:$L$1000,$A18,'舆情事实表'!$R$2:$R$1000,"咨询疑问")</f>
        <v/>
      </c>
      <c r="E18" s="73">
        <f>COUNTIFS('舆情事实表'!$L$2:$L$1000,$A18,'舆情事实表'!$R$2:$R$1000,"担忧影响")</f>
        <v/>
      </c>
      <c r="F18" s="73">
        <f>COUNTIFS('舆情事实表'!$L$2:$L$1000,$A18,'舆情事实表'!$Q$2:$Q$1000,"明确批评")</f>
        <v/>
      </c>
      <c r="G18" s="73">
        <f>COUNTIFS('舆情事实表'!$L$2:$L$1000,$A18,'舆情事实表'!$R$2:$R$1000,"参与建议")</f>
        <v/>
      </c>
      <c r="H18" s="73">
        <f>SUM(D18:F18)</f>
        <v/>
      </c>
    </row>
    <row r="19" ht="32" customHeight="1" s="23">
      <c r="A19" s="71" t="inlineStr">
        <is>
          <t>湖南</t>
        </is>
      </c>
      <c r="B19" s="73">
        <f>COUNTIF('舆情事实表'!$L$2:$L$1000,$A19)</f>
        <v/>
      </c>
      <c r="C19" s="73">
        <f>COUNTIFS('舆情事实表'!$L$2:$L$1000,$A19,'舆情事实表'!$Q$2:$Q$1000,"支持认可")</f>
        <v/>
      </c>
      <c r="D19" s="73">
        <f>COUNTIFS('舆情事实表'!$L$2:$L$1000,$A19,'舆情事实表'!$R$2:$R$1000,"咨询疑问")</f>
        <v/>
      </c>
      <c r="E19" s="73">
        <f>COUNTIFS('舆情事实表'!$L$2:$L$1000,$A19,'舆情事实表'!$R$2:$R$1000,"担忧影响")</f>
        <v/>
      </c>
      <c r="F19" s="73">
        <f>COUNTIFS('舆情事实表'!$L$2:$L$1000,$A19,'舆情事实表'!$Q$2:$Q$1000,"明确批评")</f>
        <v/>
      </c>
      <c r="G19" s="73">
        <f>COUNTIFS('舆情事实表'!$L$2:$L$1000,$A19,'舆情事实表'!$R$2:$R$1000,"参与建议")</f>
        <v/>
      </c>
      <c r="H19" s="73">
        <f>SUM(D19:F19)</f>
        <v/>
      </c>
    </row>
    <row r="20" ht="32" customHeight="1" s="23">
      <c r="A20" s="71" t="inlineStr">
        <is>
          <t>广东</t>
        </is>
      </c>
      <c r="B20" s="73">
        <f>COUNTIF('舆情事实表'!$L$2:$L$1000,$A20)</f>
        <v/>
      </c>
      <c r="C20" s="73">
        <f>COUNTIFS('舆情事实表'!$L$2:$L$1000,$A20,'舆情事实表'!$Q$2:$Q$1000,"支持认可")</f>
        <v/>
      </c>
      <c r="D20" s="73">
        <f>COUNTIFS('舆情事实表'!$L$2:$L$1000,$A20,'舆情事实表'!$R$2:$R$1000,"咨询疑问")</f>
        <v/>
      </c>
      <c r="E20" s="73">
        <f>COUNTIFS('舆情事实表'!$L$2:$L$1000,$A20,'舆情事实表'!$R$2:$R$1000,"担忧影响")</f>
        <v/>
      </c>
      <c r="F20" s="73">
        <f>COUNTIFS('舆情事实表'!$L$2:$L$1000,$A20,'舆情事实表'!$Q$2:$Q$1000,"明确批评")</f>
        <v/>
      </c>
      <c r="G20" s="73">
        <f>COUNTIFS('舆情事实表'!$L$2:$L$1000,$A20,'舆情事实表'!$R$2:$R$1000,"参与建议")</f>
        <v/>
      </c>
      <c r="H20" s="73">
        <f>SUM(D20:F20)</f>
        <v/>
      </c>
    </row>
    <row r="21" ht="32" customHeight="1" s="23">
      <c r="A21" s="71" t="inlineStr">
        <is>
          <t>广西</t>
        </is>
      </c>
      <c r="B21" s="73">
        <f>COUNTIF('舆情事实表'!$L$2:$L$1000,$A21)</f>
        <v/>
      </c>
      <c r="C21" s="73">
        <f>COUNTIFS('舆情事实表'!$L$2:$L$1000,$A21,'舆情事实表'!$Q$2:$Q$1000,"支持认可")</f>
        <v/>
      </c>
      <c r="D21" s="73">
        <f>COUNTIFS('舆情事实表'!$L$2:$L$1000,$A21,'舆情事实表'!$R$2:$R$1000,"咨询疑问")</f>
        <v/>
      </c>
      <c r="E21" s="73">
        <f>COUNTIFS('舆情事实表'!$L$2:$L$1000,$A21,'舆情事实表'!$R$2:$R$1000,"担忧影响")</f>
        <v/>
      </c>
      <c r="F21" s="73">
        <f>COUNTIFS('舆情事实表'!$L$2:$L$1000,$A21,'舆情事实表'!$Q$2:$Q$1000,"明确批评")</f>
        <v/>
      </c>
      <c r="G21" s="73">
        <f>COUNTIFS('舆情事实表'!$L$2:$L$1000,$A21,'舆情事实表'!$R$2:$R$1000,"参与建议")</f>
        <v/>
      </c>
      <c r="H21" s="73">
        <f>SUM(D21:F21)</f>
        <v/>
      </c>
    </row>
    <row r="22" ht="32" customHeight="1" s="23">
      <c r="A22" s="71" t="inlineStr">
        <is>
          <t>海南</t>
        </is>
      </c>
      <c r="B22" s="73">
        <f>COUNTIF('舆情事实表'!$L$2:$L$1000,$A22)</f>
        <v/>
      </c>
      <c r="C22" s="73">
        <f>COUNTIFS('舆情事实表'!$L$2:$L$1000,$A22,'舆情事实表'!$Q$2:$Q$1000,"支持认可")</f>
        <v/>
      </c>
      <c r="D22" s="73">
        <f>COUNTIFS('舆情事实表'!$L$2:$L$1000,$A22,'舆情事实表'!$R$2:$R$1000,"咨询疑问")</f>
        <v/>
      </c>
      <c r="E22" s="73">
        <f>COUNTIFS('舆情事实表'!$L$2:$L$1000,$A22,'舆情事实表'!$R$2:$R$1000,"担忧影响")</f>
        <v/>
      </c>
      <c r="F22" s="73">
        <f>COUNTIFS('舆情事实表'!$L$2:$L$1000,$A22,'舆情事实表'!$Q$2:$Q$1000,"明确批评")</f>
        <v/>
      </c>
      <c r="G22" s="73">
        <f>COUNTIFS('舆情事实表'!$L$2:$L$1000,$A22,'舆情事实表'!$R$2:$R$1000,"参与建议")</f>
        <v/>
      </c>
      <c r="H22" s="73">
        <f>SUM(D22:F22)</f>
        <v/>
      </c>
    </row>
    <row r="23" ht="32" customHeight="1" s="23">
      <c r="A23" s="71" t="inlineStr">
        <is>
          <t>重庆</t>
        </is>
      </c>
      <c r="B23" s="73">
        <f>COUNTIF('舆情事实表'!$L$2:$L$1000,$A23)</f>
        <v/>
      </c>
      <c r="C23" s="73">
        <f>COUNTIFS('舆情事实表'!$L$2:$L$1000,$A23,'舆情事实表'!$Q$2:$Q$1000,"支持认可")</f>
        <v/>
      </c>
      <c r="D23" s="73">
        <f>COUNTIFS('舆情事实表'!$L$2:$L$1000,$A23,'舆情事实表'!$R$2:$R$1000,"咨询疑问")</f>
        <v/>
      </c>
      <c r="E23" s="73">
        <f>COUNTIFS('舆情事实表'!$L$2:$L$1000,$A23,'舆情事实表'!$R$2:$R$1000,"担忧影响")</f>
        <v/>
      </c>
      <c r="F23" s="73">
        <f>COUNTIFS('舆情事实表'!$L$2:$L$1000,$A23,'舆情事实表'!$Q$2:$Q$1000,"明确批评")</f>
        <v/>
      </c>
      <c r="G23" s="73">
        <f>COUNTIFS('舆情事实表'!$L$2:$L$1000,$A23,'舆情事实表'!$R$2:$R$1000,"参与建议")</f>
        <v/>
      </c>
      <c r="H23" s="73">
        <f>SUM(D23:F23)</f>
        <v/>
      </c>
    </row>
    <row r="24" ht="32" customHeight="1" s="23">
      <c r="A24" s="71" t="inlineStr">
        <is>
          <t>四川</t>
        </is>
      </c>
      <c r="B24" s="73">
        <f>COUNTIF('舆情事实表'!$L$2:$L$1000,$A24)</f>
        <v/>
      </c>
      <c r="C24" s="73">
        <f>COUNTIFS('舆情事实表'!$L$2:$L$1000,$A24,'舆情事实表'!$Q$2:$Q$1000,"支持认可")</f>
        <v/>
      </c>
      <c r="D24" s="73">
        <f>COUNTIFS('舆情事实表'!$L$2:$L$1000,$A24,'舆情事实表'!$R$2:$R$1000,"咨询疑问")</f>
        <v/>
      </c>
      <c r="E24" s="73">
        <f>COUNTIFS('舆情事实表'!$L$2:$L$1000,$A24,'舆情事实表'!$R$2:$R$1000,"担忧影响")</f>
        <v/>
      </c>
      <c r="F24" s="73">
        <f>COUNTIFS('舆情事实表'!$L$2:$L$1000,$A24,'舆情事实表'!$Q$2:$Q$1000,"明确批评")</f>
        <v/>
      </c>
      <c r="G24" s="73">
        <f>COUNTIFS('舆情事实表'!$L$2:$L$1000,$A24,'舆情事实表'!$R$2:$R$1000,"参与建议")</f>
        <v/>
      </c>
      <c r="H24" s="73">
        <f>SUM(D24:F24)</f>
        <v/>
      </c>
    </row>
    <row r="25" ht="32" customHeight="1" s="23">
      <c r="A25" s="71" t="inlineStr">
        <is>
          <t>贵州</t>
        </is>
      </c>
      <c r="B25" s="73">
        <f>COUNTIF('舆情事实表'!$L$2:$L$1000,$A25)</f>
        <v/>
      </c>
      <c r="C25" s="73">
        <f>COUNTIFS('舆情事实表'!$L$2:$L$1000,$A25,'舆情事实表'!$Q$2:$Q$1000,"支持认可")</f>
        <v/>
      </c>
      <c r="D25" s="73">
        <f>COUNTIFS('舆情事实表'!$L$2:$L$1000,$A25,'舆情事实表'!$R$2:$R$1000,"咨询疑问")</f>
        <v/>
      </c>
      <c r="E25" s="73">
        <f>COUNTIFS('舆情事实表'!$L$2:$L$1000,$A25,'舆情事实表'!$R$2:$R$1000,"担忧影响")</f>
        <v/>
      </c>
      <c r="F25" s="73">
        <f>COUNTIFS('舆情事实表'!$L$2:$L$1000,$A25,'舆情事实表'!$Q$2:$Q$1000,"明确批评")</f>
        <v/>
      </c>
      <c r="G25" s="73">
        <f>COUNTIFS('舆情事实表'!$L$2:$L$1000,$A25,'舆情事实表'!$R$2:$R$1000,"参与建议")</f>
        <v/>
      </c>
      <c r="H25" s="73">
        <f>SUM(D25:F25)</f>
        <v/>
      </c>
    </row>
    <row r="26" ht="32" customHeight="1" s="23">
      <c r="A26" s="71" t="inlineStr">
        <is>
          <t>云南</t>
        </is>
      </c>
      <c r="B26" s="73">
        <f>COUNTIF('舆情事实表'!$L$2:$L$1000,$A26)</f>
        <v/>
      </c>
      <c r="C26" s="73">
        <f>COUNTIFS('舆情事实表'!$L$2:$L$1000,$A26,'舆情事实表'!$Q$2:$Q$1000,"支持认可")</f>
        <v/>
      </c>
      <c r="D26" s="73">
        <f>COUNTIFS('舆情事实表'!$L$2:$L$1000,$A26,'舆情事实表'!$R$2:$R$1000,"咨询疑问")</f>
        <v/>
      </c>
      <c r="E26" s="73">
        <f>COUNTIFS('舆情事实表'!$L$2:$L$1000,$A26,'舆情事实表'!$R$2:$R$1000,"担忧影响")</f>
        <v/>
      </c>
      <c r="F26" s="73">
        <f>COUNTIFS('舆情事实表'!$L$2:$L$1000,$A26,'舆情事实表'!$Q$2:$Q$1000,"明确批评")</f>
        <v/>
      </c>
      <c r="G26" s="73">
        <f>COUNTIFS('舆情事实表'!$L$2:$L$1000,$A26,'舆情事实表'!$R$2:$R$1000,"参与建议")</f>
        <v/>
      </c>
      <c r="H26" s="73">
        <f>SUM(D26:F26)</f>
        <v/>
      </c>
    </row>
    <row r="27" ht="32" customHeight="1" s="23">
      <c r="A27" s="71" t="inlineStr">
        <is>
          <t>西藏</t>
        </is>
      </c>
      <c r="B27" s="73">
        <f>COUNTIF('舆情事实表'!$L$2:$L$1000,$A27)</f>
        <v/>
      </c>
      <c r="C27" s="73">
        <f>COUNTIFS('舆情事实表'!$L$2:$L$1000,$A27,'舆情事实表'!$Q$2:$Q$1000,"支持认可")</f>
        <v/>
      </c>
      <c r="D27" s="73">
        <f>COUNTIFS('舆情事实表'!$L$2:$L$1000,$A27,'舆情事实表'!$R$2:$R$1000,"咨询疑问")</f>
        <v/>
      </c>
      <c r="E27" s="73">
        <f>COUNTIFS('舆情事实表'!$L$2:$L$1000,$A27,'舆情事实表'!$R$2:$R$1000,"担忧影响")</f>
        <v/>
      </c>
      <c r="F27" s="73">
        <f>COUNTIFS('舆情事实表'!$L$2:$L$1000,$A27,'舆情事实表'!$Q$2:$Q$1000,"明确批评")</f>
        <v/>
      </c>
      <c r="G27" s="73">
        <f>COUNTIFS('舆情事实表'!$L$2:$L$1000,$A27,'舆情事实表'!$R$2:$R$1000,"参与建议")</f>
        <v/>
      </c>
      <c r="H27" s="73">
        <f>SUM(D27:F27)</f>
        <v/>
      </c>
    </row>
    <row r="28" ht="32" customHeight="1" s="23">
      <c r="A28" s="71" t="inlineStr">
        <is>
          <t>陕西</t>
        </is>
      </c>
      <c r="B28" s="73">
        <f>COUNTIF('舆情事实表'!$L$2:$L$1000,$A28)</f>
        <v/>
      </c>
      <c r="C28" s="73">
        <f>COUNTIFS('舆情事实表'!$L$2:$L$1000,$A28,'舆情事实表'!$Q$2:$Q$1000,"支持认可")</f>
        <v/>
      </c>
      <c r="D28" s="73">
        <f>COUNTIFS('舆情事实表'!$L$2:$L$1000,$A28,'舆情事实表'!$R$2:$R$1000,"咨询疑问")</f>
        <v/>
      </c>
      <c r="E28" s="73">
        <f>COUNTIFS('舆情事实表'!$L$2:$L$1000,$A28,'舆情事实表'!$R$2:$R$1000,"担忧影响")</f>
        <v/>
      </c>
      <c r="F28" s="73">
        <f>COUNTIFS('舆情事实表'!$L$2:$L$1000,$A28,'舆情事实表'!$Q$2:$Q$1000,"明确批评")</f>
        <v/>
      </c>
      <c r="G28" s="73">
        <f>COUNTIFS('舆情事实表'!$L$2:$L$1000,$A28,'舆情事实表'!$R$2:$R$1000,"参与建议")</f>
        <v/>
      </c>
      <c r="H28" s="73">
        <f>SUM(D28:F28)</f>
        <v/>
      </c>
    </row>
    <row r="29" ht="32" customHeight="1" s="23">
      <c r="A29" s="71" t="inlineStr">
        <is>
          <t>甘肃</t>
        </is>
      </c>
      <c r="B29" s="73">
        <f>COUNTIF('舆情事实表'!$L$2:$L$1000,$A29)</f>
        <v/>
      </c>
      <c r="C29" s="73">
        <f>COUNTIFS('舆情事实表'!$L$2:$L$1000,$A29,'舆情事实表'!$Q$2:$Q$1000,"支持认可")</f>
        <v/>
      </c>
      <c r="D29" s="73">
        <f>COUNTIFS('舆情事实表'!$L$2:$L$1000,$A29,'舆情事实表'!$R$2:$R$1000,"咨询疑问")</f>
        <v/>
      </c>
      <c r="E29" s="73">
        <f>COUNTIFS('舆情事实表'!$L$2:$L$1000,$A29,'舆情事实表'!$R$2:$R$1000,"担忧影响")</f>
        <v/>
      </c>
      <c r="F29" s="73">
        <f>COUNTIFS('舆情事实表'!$L$2:$L$1000,$A29,'舆情事实表'!$Q$2:$Q$1000,"明确批评")</f>
        <v/>
      </c>
      <c r="G29" s="73">
        <f>COUNTIFS('舆情事实表'!$L$2:$L$1000,$A29,'舆情事实表'!$R$2:$R$1000,"参与建议")</f>
        <v/>
      </c>
      <c r="H29" s="73">
        <f>SUM(D29:F29)</f>
        <v/>
      </c>
    </row>
    <row r="30" ht="32" customHeight="1" s="23">
      <c r="A30" s="71" t="inlineStr">
        <is>
          <t>青海</t>
        </is>
      </c>
      <c r="B30" s="73">
        <f>COUNTIF('舆情事实表'!$L$2:$L$1000,$A30)</f>
        <v/>
      </c>
      <c r="C30" s="73">
        <f>COUNTIFS('舆情事实表'!$L$2:$L$1000,$A30,'舆情事实表'!$Q$2:$Q$1000,"支持认可")</f>
        <v/>
      </c>
      <c r="D30" s="73">
        <f>COUNTIFS('舆情事实表'!$L$2:$L$1000,$A30,'舆情事实表'!$R$2:$R$1000,"咨询疑问")</f>
        <v/>
      </c>
      <c r="E30" s="73">
        <f>COUNTIFS('舆情事实表'!$L$2:$L$1000,$A30,'舆情事实表'!$R$2:$R$1000,"担忧影响")</f>
        <v/>
      </c>
      <c r="F30" s="73">
        <f>COUNTIFS('舆情事实表'!$L$2:$L$1000,$A30,'舆情事实表'!$Q$2:$Q$1000,"明确批评")</f>
        <v/>
      </c>
      <c r="G30" s="73">
        <f>COUNTIFS('舆情事实表'!$L$2:$L$1000,$A30,'舆情事实表'!$R$2:$R$1000,"参与建议")</f>
        <v/>
      </c>
      <c r="H30" s="73">
        <f>SUM(D30:F30)</f>
        <v/>
      </c>
    </row>
    <row r="31" ht="32" customHeight="1" s="23">
      <c r="A31" s="71" t="inlineStr">
        <is>
          <t>宁夏</t>
        </is>
      </c>
      <c r="B31" s="73">
        <f>COUNTIF('舆情事实表'!$L$2:$L$1000,$A31)</f>
        <v/>
      </c>
      <c r="C31" s="73">
        <f>COUNTIFS('舆情事实表'!$L$2:$L$1000,$A31,'舆情事实表'!$Q$2:$Q$1000,"支持认可")</f>
        <v/>
      </c>
      <c r="D31" s="73">
        <f>COUNTIFS('舆情事实表'!$L$2:$L$1000,$A31,'舆情事实表'!$R$2:$R$1000,"咨询疑问")</f>
        <v/>
      </c>
      <c r="E31" s="73">
        <f>COUNTIFS('舆情事实表'!$L$2:$L$1000,$A31,'舆情事实表'!$R$2:$R$1000,"担忧影响")</f>
        <v/>
      </c>
      <c r="F31" s="73">
        <f>COUNTIFS('舆情事实表'!$L$2:$L$1000,$A31,'舆情事实表'!$Q$2:$Q$1000,"明确批评")</f>
        <v/>
      </c>
      <c r="G31" s="73">
        <f>COUNTIFS('舆情事实表'!$L$2:$L$1000,$A31,'舆情事实表'!$R$2:$R$1000,"参与建议")</f>
        <v/>
      </c>
      <c r="H31" s="73">
        <f>SUM(D31:F31)</f>
        <v/>
      </c>
    </row>
    <row r="32" ht="32" customHeight="1" s="23">
      <c r="A32" s="71" t="inlineStr">
        <is>
          <t>新疆</t>
        </is>
      </c>
      <c r="B32" s="73">
        <f>COUNTIF('舆情事实表'!$L$2:$L$1000,$A32)</f>
        <v/>
      </c>
      <c r="C32" s="73">
        <f>COUNTIFS('舆情事实表'!$L$2:$L$1000,$A32,'舆情事实表'!$Q$2:$Q$1000,"支持认可")</f>
        <v/>
      </c>
      <c r="D32" s="73">
        <f>COUNTIFS('舆情事实表'!$L$2:$L$1000,$A32,'舆情事实表'!$R$2:$R$1000,"咨询疑问")</f>
        <v/>
      </c>
      <c r="E32" s="73">
        <f>COUNTIFS('舆情事实表'!$L$2:$L$1000,$A32,'舆情事实表'!$R$2:$R$1000,"担忧影响")</f>
        <v/>
      </c>
      <c r="F32" s="73">
        <f>COUNTIFS('舆情事实表'!$L$2:$L$1000,$A32,'舆情事实表'!$Q$2:$Q$1000,"明确批评")</f>
        <v/>
      </c>
      <c r="G32" s="73">
        <f>COUNTIFS('舆情事实表'!$L$2:$L$1000,$A32,'舆情事实表'!$R$2:$R$1000,"参与建议")</f>
        <v/>
      </c>
      <c r="H32" s="73">
        <f>SUM(D32:F32)</f>
        <v/>
      </c>
    </row>
    <row r="33" ht="32" customHeight="1" s="23">
      <c r="A33" s="71" t="inlineStr">
        <is>
          <t>台湾</t>
        </is>
      </c>
      <c r="B33" s="73">
        <f>COUNTIF('舆情事实表'!$L$2:$L$1000,$A33)</f>
        <v/>
      </c>
      <c r="C33" s="73">
        <f>COUNTIFS('舆情事实表'!$L$2:$L$1000,$A33,'舆情事实表'!$Q$2:$Q$1000,"支持认可")</f>
        <v/>
      </c>
      <c r="D33" s="73">
        <f>COUNTIFS('舆情事实表'!$L$2:$L$1000,$A33,'舆情事实表'!$R$2:$R$1000,"咨询疑问")</f>
        <v/>
      </c>
      <c r="E33" s="73">
        <f>COUNTIFS('舆情事实表'!$L$2:$L$1000,$A33,'舆情事实表'!$R$2:$R$1000,"担忧影响")</f>
        <v/>
      </c>
      <c r="F33" s="73">
        <f>COUNTIFS('舆情事实表'!$L$2:$L$1000,$A33,'舆情事实表'!$Q$2:$Q$1000,"明确批评")</f>
        <v/>
      </c>
      <c r="G33" s="73">
        <f>COUNTIFS('舆情事实表'!$L$2:$L$1000,$A33,'舆情事实表'!$R$2:$R$1000,"参与建议")</f>
        <v/>
      </c>
      <c r="H33" s="73">
        <f>SUM(D33:F33)</f>
        <v/>
      </c>
    </row>
    <row r="34" ht="32" customHeight="1" s="23">
      <c r="A34" s="79" t="inlineStr">
        <is>
          <t>合计</t>
        </is>
      </c>
      <c r="B34" s="81">
        <f>SUM(B2:B33)</f>
        <v/>
      </c>
      <c r="C34" s="81">
        <f>SUM(C2:C33)</f>
        <v/>
      </c>
      <c r="D34" s="81">
        <f>SUM(D2:D33)</f>
        <v/>
      </c>
      <c r="E34" s="81">
        <f>SUM(E2:E33)</f>
        <v/>
      </c>
      <c r="F34" s="81">
        <f>SUM(F2:F33)</f>
        <v/>
      </c>
      <c r="G34" s="81">
        <f>SUM(G2:G33)</f>
        <v/>
      </c>
      <c r="H34" s="81">
        <f>SUM(H2:H33)</f>
        <v/>
      </c>
    </row>
  </sheetData>
  <conditionalFormatting sqref="A2:H9">
    <cfRule type="expression" priority="1" dxfId="1">
      <formula>MOD(ROW(),2)=0</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2"/>
  <sheetViews>
    <sheetView showGridLines="0" workbookViewId="0">
      <pane ySplit="1" topLeftCell="A2" activePane="bottomLeft" state="frozen"/>
      <selection pane="bottomLeft" activeCell="A1" sqref="A1"/>
    </sheetView>
  </sheetViews>
  <sheetFormatPr baseColWidth="8" defaultRowHeight="15"/>
  <cols>
    <col width="12" customWidth="1" style="23" min="1" max="1"/>
    <col width="11" customWidth="1" style="23" min="2" max="2"/>
    <col width="12" customWidth="1" style="23" min="3" max="3"/>
    <col width="12" customWidth="1" style="23" min="4" max="4"/>
    <col width="12" customWidth="1" style="23" min="5" max="5"/>
    <col width="12" customWidth="1" style="23" min="6" max="6"/>
    <col width="12" customWidth="1" style="23" min="7" max="7"/>
    <col width="13" customWidth="1" style="23" min="8" max="8"/>
  </cols>
  <sheetData>
    <row r="1" ht="34" customHeight="1" s="23">
      <c r="A1" s="78" t="inlineStr">
        <is>
          <t>省份</t>
        </is>
      </c>
      <c r="B1" s="78" t="inlineStr">
        <is>
          <t>总量</t>
        </is>
      </c>
      <c r="C1" s="78" t="inlineStr">
        <is>
          <t>支持认可</t>
        </is>
      </c>
      <c r="D1" s="78" t="inlineStr">
        <is>
          <t>咨询疑问</t>
        </is>
      </c>
      <c r="E1" s="78" t="inlineStr">
        <is>
          <t>担忧影响</t>
        </is>
      </c>
      <c r="F1" s="78" t="inlineStr">
        <is>
          <t>明确批评</t>
        </is>
      </c>
      <c r="G1" s="78" t="inlineStr">
        <is>
          <t>参与建议</t>
        </is>
      </c>
      <c r="H1" s="78" t="inlineStr">
        <is>
          <t>非支持合计</t>
        </is>
      </c>
    </row>
    <row r="2" ht="32" customHeight="1" s="23">
      <c r="A2" s="71" t="inlineStr">
        <is>
          <t>四川</t>
        </is>
      </c>
      <c r="B2" s="74">
        <f>COUNTIF('舆情事实表'!$L$2:$L$13,$A2)</f>
        <v/>
      </c>
      <c r="C2" s="74">
        <f>COUNTIFS('舆情事实表'!$L$2:$L$13,$A2,'舆情事实表'!$Q$2:$Q$13,"支持认可")</f>
        <v/>
      </c>
      <c r="D2" s="74">
        <f>COUNTIFS('舆情事实表'!$L$2:$L$13,$A2,'舆情事实表'!$R$2:$R$13,"咨询疑问")</f>
        <v/>
      </c>
      <c r="E2" s="74">
        <f>COUNTIFS('舆情事实表'!$L$2:$L$13,$A2,'舆情事实表'!$R$2:$R$13,"担忧影响")</f>
        <v/>
      </c>
      <c r="F2" s="74">
        <f>COUNTIFS('舆情事实表'!$L$2:$L$13,$A2,'舆情事实表'!$Q$2:$Q$13,"明确批评")</f>
        <v/>
      </c>
      <c r="G2" s="74">
        <f>COUNTIFS('舆情事实表'!$L$2:$L$13,$A2,'舆情事实表'!$R$2:$R$13,"参与建议")</f>
        <v/>
      </c>
      <c r="H2" s="74">
        <f>SUM(D2:F2)</f>
        <v/>
      </c>
    </row>
    <row r="3" ht="32" customHeight="1" s="23">
      <c r="A3" s="71" t="inlineStr">
        <is>
          <t>甘肃</t>
        </is>
      </c>
      <c r="B3" s="74">
        <f>COUNTIF('舆情事实表'!$L$2:$L$13,$A3)</f>
        <v/>
      </c>
      <c r="C3" s="74">
        <f>COUNTIFS('舆情事实表'!$L$2:$L$13,$A3,'舆情事实表'!$Q$2:$Q$13,"支持认可")</f>
        <v/>
      </c>
      <c r="D3" s="74">
        <f>COUNTIFS('舆情事实表'!$L$2:$L$13,$A3,'舆情事实表'!$R$2:$R$13,"咨询疑问")</f>
        <v/>
      </c>
      <c r="E3" s="74">
        <f>COUNTIFS('舆情事实表'!$L$2:$L$13,$A3,'舆情事实表'!$R$2:$R$13,"担忧影响")</f>
        <v/>
      </c>
      <c r="F3" s="74">
        <f>COUNTIFS('舆情事实表'!$L$2:$L$13,$A3,'舆情事实表'!$Q$2:$Q$13,"明确批评")</f>
        <v/>
      </c>
      <c r="G3" s="74">
        <f>COUNTIFS('舆情事实表'!$L$2:$L$13,$A3,'舆情事实表'!$R$2:$R$13,"参与建议")</f>
        <v/>
      </c>
      <c r="H3" s="74">
        <f>SUM(D3:F3)</f>
        <v/>
      </c>
    </row>
    <row r="4" ht="32" customHeight="1" s="23">
      <c r="A4" s="71" t="inlineStr">
        <is>
          <t>新疆</t>
        </is>
      </c>
      <c r="B4" s="74">
        <f>COUNTIF('舆情事实表'!$L$2:$L$13,$A4)</f>
        <v/>
      </c>
      <c r="C4" s="74">
        <f>COUNTIFS('舆情事实表'!$L$2:$L$13,$A4,'舆情事实表'!$Q$2:$Q$13,"支持认可")</f>
        <v/>
      </c>
      <c r="D4" s="74">
        <f>COUNTIFS('舆情事实表'!$L$2:$L$13,$A4,'舆情事实表'!$R$2:$R$13,"咨询疑问")</f>
        <v/>
      </c>
      <c r="E4" s="74">
        <f>COUNTIFS('舆情事实表'!$L$2:$L$13,$A4,'舆情事实表'!$R$2:$R$13,"担忧影响")</f>
        <v/>
      </c>
      <c r="F4" s="74">
        <f>COUNTIFS('舆情事实表'!$L$2:$L$13,$A4,'舆情事实表'!$Q$2:$Q$13,"明确批评")</f>
        <v/>
      </c>
      <c r="G4" s="74">
        <f>COUNTIFS('舆情事实表'!$L$2:$L$13,$A4,'舆情事实表'!$R$2:$R$13,"参与建议")</f>
        <v/>
      </c>
      <c r="H4" s="74">
        <f>SUM(D4:F4)</f>
        <v/>
      </c>
    </row>
    <row r="5" ht="32" customHeight="1" s="23">
      <c r="A5" s="71" t="inlineStr">
        <is>
          <t>云南</t>
        </is>
      </c>
      <c r="B5" s="74">
        <f>COUNTIF('舆情事实表'!$L$2:$L$13,$A5)</f>
        <v/>
      </c>
      <c r="C5" s="74">
        <f>COUNTIFS('舆情事实表'!$L$2:$L$13,$A5,'舆情事实表'!$Q$2:$Q$13,"支持认可")</f>
        <v/>
      </c>
      <c r="D5" s="74">
        <f>COUNTIFS('舆情事实表'!$L$2:$L$13,$A5,'舆情事实表'!$R$2:$R$13,"咨询疑问")</f>
        <v/>
      </c>
      <c r="E5" s="74">
        <f>COUNTIFS('舆情事实表'!$L$2:$L$13,$A5,'舆情事实表'!$R$2:$R$13,"担忧影响")</f>
        <v/>
      </c>
      <c r="F5" s="74">
        <f>COUNTIFS('舆情事实表'!$L$2:$L$13,$A5,'舆情事实表'!$Q$2:$Q$13,"明确批评")</f>
        <v/>
      </c>
      <c r="G5" s="74">
        <f>COUNTIFS('舆情事实表'!$L$2:$L$13,$A5,'舆情事实表'!$R$2:$R$13,"参与建议")</f>
        <v/>
      </c>
      <c r="H5" s="74">
        <f>SUM(D5:F5)</f>
        <v/>
      </c>
    </row>
    <row r="6" ht="32" customHeight="1" s="23">
      <c r="A6" s="71" t="inlineStr">
        <is>
          <t>北京</t>
        </is>
      </c>
      <c r="B6" s="74">
        <f>COUNTIF('舆情事实表'!$L$2:$L$13,$A6)</f>
        <v/>
      </c>
      <c r="C6" s="74">
        <f>COUNTIFS('舆情事实表'!$L$2:$L$13,$A6,'舆情事实表'!$Q$2:$Q$13,"支持认可")</f>
        <v/>
      </c>
      <c r="D6" s="74">
        <f>COUNTIFS('舆情事实表'!$L$2:$L$13,$A6,'舆情事实表'!$R$2:$R$13,"咨询疑问")</f>
        <v/>
      </c>
      <c r="E6" s="74">
        <f>COUNTIFS('舆情事实表'!$L$2:$L$13,$A6,'舆情事实表'!$R$2:$R$13,"担忧影响")</f>
        <v/>
      </c>
      <c r="F6" s="74">
        <f>COUNTIFS('舆情事实表'!$L$2:$L$13,$A6,'舆情事实表'!$Q$2:$Q$13,"明确批评")</f>
        <v/>
      </c>
      <c r="G6" s="74">
        <f>COUNTIFS('舆情事实表'!$L$2:$L$13,$A6,'舆情事实表'!$R$2:$R$13,"参与建议")</f>
        <v/>
      </c>
      <c r="H6" s="74">
        <f>SUM(D6:F6)</f>
        <v/>
      </c>
    </row>
    <row r="7" ht="32" customHeight="1" s="23">
      <c r="A7" s="71" t="inlineStr">
        <is>
          <t>内蒙古</t>
        </is>
      </c>
      <c r="B7" s="74">
        <f>COUNTIF('舆情事实表'!$L$2:$L$13,$A7)</f>
        <v/>
      </c>
      <c r="C7" s="74">
        <f>COUNTIFS('舆情事实表'!$L$2:$L$13,$A7,'舆情事实表'!$Q$2:$Q$13,"支持认可")</f>
        <v/>
      </c>
      <c r="D7" s="74">
        <f>COUNTIFS('舆情事实表'!$L$2:$L$13,$A7,'舆情事实表'!$R$2:$R$13,"咨询疑问")</f>
        <v/>
      </c>
      <c r="E7" s="74">
        <f>COUNTIFS('舆情事实表'!$L$2:$L$13,$A7,'舆情事实表'!$R$2:$R$13,"担忧影响")</f>
        <v/>
      </c>
      <c r="F7" s="74">
        <f>COUNTIFS('舆情事实表'!$L$2:$L$13,$A7,'舆情事实表'!$Q$2:$Q$13,"明确批评")</f>
        <v/>
      </c>
      <c r="G7" s="74">
        <f>COUNTIFS('舆情事实表'!$L$2:$L$13,$A7,'舆情事实表'!$R$2:$R$13,"参与建议")</f>
        <v/>
      </c>
      <c r="H7" s="74">
        <f>SUM(D7:F7)</f>
        <v/>
      </c>
    </row>
    <row r="8" ht="32" customHeight="1" s="23">
      <c r="A8" s="71" t="inlineStr">
        <is>
          <t>青海</t>
        </is>
      </c>
      <c r="B8" s="74">
        <f>COUNTIF('舆情事实表'!$L$2:$L$13,$A8)</f>
        <v/>
      </c>
      <c r="C8" s="74">
        <f>COUNTIFS('舆情事实表'!$L$2:$L$13,$A8,'舆情事实表'!$Q$2:$Q$13,"支持认可")</f>
        <v/>
      </c>
      <c r="D8" s="74">
        <f>COUNTIFS('舆情事实表'!$L$2:$L$13,$A8,'舆情事实表'!$R$2:$R$13,"咨询疑问")</f>
        <v/>
      </c>
      <c r="E8" s="74">
        <f>COUNTIFS('舆情事实表'!$L$2:$L$13,$A8,'舆情事实表'!$R$2:$R$13,"担忧影响")</f>
        <v/>
      </c>
      <c r="F8" s="74">
        <f>COUNTIFS('舆情事实表'!$L$2:$L$13,$A8,'舆情事实表'!$Q$2:$Q$13,"明确批评")</f>
        <v/>
      </c>
      <c r="G8" s="74">
        <f>COUNTIFS('舆情事实表'!$L$2:$L$13,$A8,'舆情事实表'!$R$2:$R$13,"参与建议")</f>
        <v/>
      </c>
      <c r="H8" s="74">
        <f>SUM(D8:F8)</f>
        <v/>
      </c>
    </row>
    <row r="9" ht="32" customHeight="1" s="23">
      <c r="A9" s="71" t="inlineStr">
        <is>
          <t>西藏</t>
        </is>
      </c>
      <c r="B9" s="74">
        <f>COUNTIF('舆情事实表'!$L$2:$L$13,$A9)</f>
        <v/>
      </c>
      <c r="C9" s="74">
        <f>COUNTIFS('舆情事实表'!$L$2:$L$13,$A9,'舆情事实表'!$Q$2:$Q$13,"支持认可")</f>
        <v/>
      </c>
      <c r="D9" s="74">
        <f>COUNTIFS('舆情事实表'!$L$2:$L$13,$A9,'舆情事实表'!$R$2:$R$13,"咨询疑问")</f>
        <v/>
      </c>
      <c r="E9" s="74">
        <f>COUNTIFS('舆情事实表'!$L$2:$L$13,$A9,'舆情事实表'!$R$2:$R$13,"担忧影响")</f>
        <v/>
      </c>
      <c r="F9" s="74">
        <f>COUNTIFS('舆情事实表'!$L$2:$L$13,$A9,'舆情事实表'!$Q$2:$Q$13,"明确批评")</f>
        <v/>
      </c>
      <c r="G9" s="74">
        <f>COUNTIFS('舆情事实表'!$L$2:$L$13,$A9,'舆情事实表'!$R$2:$R$13,"参与建议")</f>
        <v/>
      </c>
      <c r="H9" s="74">
        <f>SUM(D9:F9)</f>
        <v/>
      </c>
    </row>
    <row r="10" ht="32" customHeight="1" s="23">
      <c r="A10" s="71" t="inlineStr">
        <is>
          <t>广西</t>
        </is>
      </c>
      <c r="B10" s="74">
        <f>COUNTIF('舆情事实表'!$L$2:$L$13,$A10)</f>
        <v/>
      </c>
      <c r="C10" s="74">
        <f>COUNTIFS('舆情事实表'!$L$2:$L$13,$A10,'舆情事实表'!$Q$2:$Q$13,"支持认可")</f>
        <v/>
      </c>
      <c r="D10" s="74">
        <f>COUNTIFS('舆情事实表'!$L$2:$L$13,$A10,'舆情事实表'!$R$2:$R$13,"咨询疑问")</f>
        <v/>
      </c>
      <c r="E10" s="74">
        <f>COUNTIFS('舆情事实表'!$L$2:$L$13,$A10,'舆情事实表'!$R$2:$R$13,"担忧影响")</f>
        <v/>
      </c>
      <c r="F10" s="74">
        <f>COUNTIFS('舆情事实表'!$L$2:$L$13,$A10,'舆情事实表'!$Q$2:$Q$13,"明确批评")</f>
        <v/>
      </c>
      <c r="G10" s="74">
        <f>COUNTIFS('舆情事实表'!$L$2:$L$13,$A10,'舆情事实表'!$R$2:$R$13,"参与建议")</f>
        <v/>
      </c>
      <c r="H10" s="74">
        <f>SUM(D10:F10)</f>
        <v/>
      </c>
    </row>
    <row r="11" ht="32" customHeight="1" s="23">
      <c r="A11" s="71" t="inlineStr">
        <is>
          <t>宁夏</t>
        </is>
      </c>
      <c r="B11" s="74">
        <f>COUNTIF('舆情事实表'!$L$2:$L$13,$A11)</f>
        <v/>
      </c>
      <c r="C11" s="74">
        <f>COUNTIFS('舆情事实表'!$L$2:$L$13,$A11,'舆情事实表'!$Q$2:$Q$13,"支持认可")</f>
        <v/>
      </c>
      <c r="D11" s="74">
        <f>COUNTIFS('舆情事实表'!$L$2:$L$13,$A11,'舆情事实表'!$R$2:$R$13,"咨询疑问")</f>
        <v/>
      </c>
      <c r="E11" s="74">
        <f>COUNTIFS('舆情事实表'!$L$2:$L$13,$A11,'舆情事实表'!$R$2:$R$13,"担忧影响")</f>
        <v/>
      </c>
      <c r="F11" s="74">
        <f>COUNTIFS('舆情事实表'!$L$2:$L$13,$A11,'舆情事实表'!$Q$2:$Q$13,"明确批评")</f>
        <v/>
      </c>
      <c r="G11" s="74">
        <f>COUNTIFS('舆情事实表'!$L$2:$L$13,$A11,'舆情事实表'!$R$2:$R$13,"参与建议")</f>
        <v/>
      </c>
      <c r="H11" s="74">
        <f>SUM(D11:F11)</f>
        <v/>
      </c>
    </row>
    <row r="12" ht="32" customHeight="1" s="23">
      <c r="A12" s="79" t="inlineStr">
        <is>
          <t>合计</t>
        </is>
      </c>
      <c r="B12" s="80">
        <f>SUM(B2:B11)</f>
        <v/>
      </c>
      <c r="C12" s="80">
        <f>SUM(C2:C11)</f>
        <v/>
      </c>
      <c r="D12" s="80">
        <f>SUM(D2:D11)</f>
        <v/>
      </c>
      <c r="E12" s="80">
        <f>SUM(E2:E11)</f>
        <v/>
      </c>
      <c r="F12" s="80">
        <f>SUM(F2:F11)</f>
        <v/>
      </c>
      <c r="G12" s="80">
        <f>SUM(G2:G11)</f>
        <v/>
      </c>
      <c r="H12" s="80">
        <f>SUM(H2:H11)</f>
        <v/>
      </c>
    </row>
  </sheetData>
  <conditionalFormatting sqref="A2:H11">
    <cfRule type="expression" priority="1" dxfId="1">
      <formula>MOD(ROW(),2)=0</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5"/>
  <sheetViews>
    <sheetView showGridLines="0" workbookViewId="0">
      <pane ySplit="1" topLeftCell="A2" activePane="bottomLeft" state="frozen"/>
      <selection pane="bottomLeft" activeCell="A1" sqref="A1"/>
    </sheetView>
  </sheetViews>
  <sheetFormatPr baseColWidth="8" defaultRowHeight="15"/>
  <cols>
    <col width="14" customWidth="1" style="23" min="1" max="1"/>
    <col width="11" customWidth="1" style="23" min="2" max="2"/>
    <col width="18" customWidth="1" style="23" min="3" max="3"/>
  </cols>
  <sheetData>
    <row r="1" ht="34" customHeight="1" s="23">
      <c r="A1" s="78" t="inlineStr">
        <is>
          <t>语言</t>
        </is>
      </c>
      <c r="B1" s="78" t="inlineStr">
        <is>
          <t>数量</t>
        </is>
      </c>
      <c r="C1" s="78" t="inlineStr">
        <is>
          <t>是否少数民族语言</t>
        </is>
      </c>
    </row>
    <row r="2" ht="32" customHeight="1" s="23">
      <c r="A2" s="71" t="inlineStr">
        <is>
          <t>中文</t>
        </is>
      </c>
      <c r="B2" s="74">
        <f>COUNTIF('舆情事实表'!$O$2:$O$13,$A2)</f>
        <v/>
      </c>
      <c r="C2" s="73">
        <f>IF($A2="中文","否","是")</f>
        <v/>
      </c>
    </row>
    <row r="3" ht="32" customHeight="1" s="23">
      <c r="A3" s="71" t="inlineStr">
        <is>
          <t>彝语</t>
        </is>
      </c>
      <c r="B3" s="74">
        <f>COUNTIF('舆情事实表'!$O$2:$O$13,$A3)</f>
        <v/>
      </c>
      <c r="C3" s="73">
        <f>IF($A3="中文","否","是")</f>
        <v/>
      </c>
    </row>
    <row r="4" ht="32" customHeight="1" s="23">
      <c r="A4" s="71" t="inlineStr">
        <is>
          <t>藏语</t>
        </is>
      </c>
      <c r="B4" s="74">
        <f>COUNTIF('舆情事实表'!$O$2:$O$13,$A4)</f>
        <v/>
      </c>
      <c r="C4" s="73">
        <f>IF($A4="中文","否","是")</f>
        <v/>
      </c>
    </row>
    <row r="5" ht="32" customHeight="1" s="23">
      <c r="A5" s="79" t="inlineStr">
        <is>
          <t>合计</t>
        </is>
      </c>
      <c r="B5" s="80">
        <f>SUM(B2:B4)</f>
        <v/>
      </c>
      <c r="C5" s="81" t="inlineStr">
        <is>
          <t>—</t>
        </is>
      </c>
    </row>
  </sheetData>
  <conditionalFormatting sqref="A2:C4">
    <cfRule type="expression" priority="1" dxfId="1">
      <formula>MOD(ROW(),2)=0</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showGridLines="0" workbookViewId="0">
      <pane ySplit="1" topLeftCell="A2" activePane="bottomLeft" state="frozen"/>
      <selection pane="bottomLeft" activeCell="A1" sqref="A1"/>
    </sheetView>
  </sheetViews>
  <sheetFormatPr baseColWidth="8" defaultRowHeight="15"/>
  <cols>
    <col width="15" customWidth="1" style="23" min="1" max="1"/>
    <col width="11" customWidth="1" style="23" min="2" max="2"/>
    <col width="52" customWidth="1" style="23" min="3" max="3"/>
  </cols>
  <sheetData>
    <row r="1" ht="34" customHeight="1" s="23">
      <c r="A1" s="78" t="inlineStr">
        <is>
          <t>类别</t>
        </is>
      </c>
      <c r="B1" s="78" t="inlineStr">
        <is>
          <t>数量</t>
        </is>
      </c>
      <c r="C1" s="78" t="inlineStr">
        <is>
          <t>说明</t>
        </is>
      </c>
    </row>
    <row r="2" ht="40" customHeight="1" s="23">
      <c r="A2" s="71" t="inlineStr">
        <is>
          <t>咨询疑问</t>
        </is>
      </c>
      <c r="B2" s="74">
        <f>COUNTIF('舆情事实表'!$R$2:$R$13,$A2)</f>
        <v/>
      </c>
      <c r="C2" s="73" t="inlineStr">
        <is>
          <t>示例：总体态度为咨询/疑问的行</t>
        </is>
      </c>
    </row>
    <row r="3" ht="40" customHeight="1" s="23">
      <c r="A3" s="71" t="inlineStr">
        <is>
          <t>担忧影响</t>
        </is>
      </c>
      <c r="B3" s="74">
        <f>COUNTIF('舆情事实表'!$R$2:$R$13,$A3)</f>
        <v/>
      </c>
      <c r="C3" s="73" t="inlineStr">
        <is>
          <t>示例：担忧、影响类问题</t>
        </is>
      </c>
    </row>
    <row r="4" ht="40" customHeight="1" s="23">
      <c r="A4" s="71" t="inlineStr">
        <is>
          <t>明确批评</t>
        </is>
      </c>
      <c r="B4" s="74">
        <f>COUNTIF('舆情事实表'!$R$2:$R$13,$A4)</f>
        <v/>
      </c>
      <c r="C4" s="73" t="inlineStr">
        <is>
          <t>示例：按具体问题类别统计，可能并入歧视偏见等</t>
        </is>
      </c>
    </row>
    <row r="5" ht="40" customHeight="1" s="23">
      <c r="A5" s="71" t="inlineStr">
        <is>
          <t>歧视偏见</t>
        </is>
      </c>
      <c r="B5" s="74">
        <f>COUNTIF('舆情事实表'!$R$2:$R$13,$A5)</f>
        <v/>
      </c>
      <c r="C5" s="73" t="inlineStr">
        <is>
          <t>示例：歧视类问题</t>
        </is>
      </c>
    </row>
    <row r="6" ht="40" customHeight="1" s="23">
      <c r="A6" s="79" t="inlineStr">
        <is>
          <t>合计</t>
        </is>
      </c>
      <c r="B6" s="80">
        <f>SUM(B2:B5)</f>
        <v/>
      </c>
      <c r="C6" s="81" t="inlineStr">
        <is>
          <t>非支持/非肯定合计（按具体问题类别）</t>
        </is>
      </c>
    </row>
  </sheetData>
  <conditionalFormatting sqref="A2:C5">
    <cfRule type="expression" priority="1" dxfId="1">
      <formula>MOD(ROW(),2)=0</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157"/>
  <sheetViews>
    <sheetView showGridLines="0" workbookViewId="0">
      <pane ySplit="1" topLeftCell="A2" activePane="bottomLeft" state="frozen"/>
      <selection pane="bottomLeft" activeCell="A1" sqref="A1"/>
    </sheetView>
  </sheetViews>
  <sheetFormatPr baseColWidth="8" defaultRowHeight="15"/>
  <cols>
    <col width="15" customWidth="1" style="23" min="1" max="1"/>
    <col width="15" customWidth="1" style="23" min="2" max="2"/>
    <col width="17" customWidth="1" style="23" min="3" max="3"/>
    <col width="13" customWidth="1" style="23" min="4" max="4"/>
    <col width="52" customWidth="1" style="23" min="5" max="5"/>
  </cols>
  <sheetData>
    <row r="1" ht="34" customHeight="1" s="23">
      <c r="A1" s="78" t="inlineStr">
        <is>
          <t>类别</t>
        </is>
      </c>
      <c r="B1" s="78" t="inlineStr">
        <is>
          <t>层级</t>
        </is>
      </c>
      <c r="C1" s="78" t="inlineStr">
        <is>
          <t>平台组/地区</t>
        </is>
      </c>
      <c r="D1" s="78" t="inlineStr">
        <is>
          <t>数量</t>
        </is>
      </c>
      <c r="E1" s="78" t="inlineStr">
        <is>
          <t>说明</t>
        </is>
      </c>
    </row>
    <row r="2" ht="40" customHeight="1" s="23">
      <c r="A2" s="71" t="inlineStr">
        <is>
          <t>监测来源</t>
        </is>
      </c>
      <c r="B2" s="73" t="inlineStr">
        <is>
          <t>原平台组</t>
        </is>
      </c>
      <c r="C2" s="73" t="inlineStr">
        <is>
          <t>B站</t>
        </is>
      </c>
      <c r="D2" s="74" t="n">
        <v>7</v>
      </c>
      <c r="E2" s="73" t="inlineStr">
        <is>
          <t>自动统计：事实表去重账号数（无账号记录按平台计1）</t>
        </is>
      </c>
    </row>
    <row r="3" ht="40" customHeight="1" s="23">
      <c r="A3" s="71" t="inlineStr">
        <is>
          <t>查看信息</t>
        </is>
      </c>
      <c r="B3" s="73" t="inlineStr">
        <is>
          <t>原平台组</t>
        </is>
      </c>
      <c r="C3" s="73" t="inlineStr">
        <is>
          <t>B站</t>
        </is>
      </c>
      <c r="D3" s="74" t="n">
        <v>11</v>
      </c>
      <c r="E3" s="73" t="inlineStr">
        <is>
          <t>自动统计：事实表记录条数</t>
        </is>
      </c>
    </row>
    <row r="4" ht="40" customHeight="1" s="23">
      <c r="A4" s="71" t="inlineStr">
        <is>
          <t>监测来源</t>
        </is>
      </c>
      <c r="B4" s="73" t="inlineStr">
        <is>
          <t>原平台组</t>
        </is>
      </c>
      <c r="C4" s="73" t="inlineStr">
        <is>
          <t>B站/相关视频评论</t>
        </is>
      </c>
      <c r="D4" s="74" t="n">
        <v>1</v>
      </c>
      <c r="E4" s="73" t="inlineStr">
        <is>
          <t>自动统计：事实表去重账号数（无账号记录按平台计1）</t>
        </is>
      </c>
    </row>
    <row r="5" ht="40" customHeight="1" s="23">
      <c r="A5" s="71" t="inlineStr">
        <is>
          <t>查看信息</t>
        </is>
      </c>
      <c r="B5" s="73" t="inlineStr">
        <is>
          <t>原平台组</t>
        </is>
      </c>
      <c r="C5" s="73" t="inlineStr">
        <is>
          <t>B站/相关视频评论</t>
        </is>
      </c>
      <c r="D5" s="74" t="n">
        <v>4</v>
      </c>
      <c r="E5" s="73" t="inlineStr">
        <is>
          <t>自动统计：事实表记录条数</t>
        </is>
      </c>
    </row>
    <row r="6" ht="40" customHeight="1" s="23">
      <c r="A6" s="71" t="inlineStr">
        <is>
          <t>监测来源</t>
        </is>
      </c>
      <c r="B6" s="73" t="inlineStr">
        <is>
          <t>原平台组</t>
        </is>
      </c>
      <c r="C6" s="73" t="inlineStr">
        <is>
          <t>Campaign for Uyghurs</t>
        </is>
      </c>
      <c r="D6" s="74" t="n">
        <v>2</v>
      </c>
      <c r="E6" s="73" t="inlineStr">
        <is>
          <t>自动统计：事实表去重账号数（无账号记录按平台计1）</t>
        </is>
      </c>
    </row>
    <row r="7" ht="40" customHeight="1" s="23">
      <c r="A7" s="71" t="inlineStr">
        <is>
          <t>查看信息</t>
        </is>
      </c>
      <c r="B7" s="73" t="inlineStr">
        <is>
          <t>原平台组</t>
        </is>
      </c>
      <c r="C7" s="73" t="inlineStr">
        <is>
          <t>Campaign for Uyghurs</t>
        </is>
      </c>
      <c r="D7" s="74" t="n">
        <v>2</v>
      </c>
      <c r="E7" s="73" t="inlineStr">
        <is>
          <t>自动统计：事实表记录条数</t>
        </is>
      </c>
    </row>
    <row r="8" ht="40" customHeight="1" s="23">
      <c r="A8" s="71" t="inlineStr">
        <is>
          <t>监测来源</t>
        </is>
      </c>
      <c r="B8" s="73" t="inlineStr">
        <is>
          <t>原平台组</t>
        </is>
      </c>
      <c r="C8" s="73" t="inlineStr">
        <is>
          <t>Reddit</t>
        </is>
      </c>
      <c r="D8" s="74" t="n">
        <v>7</v>
      </c>
      <c r="E8" s="73" t="inlineStr">
        <is>
          <t>自动统计：事实表去重账号数（无账号记录按平台计1）</t>
        </is>
      </c>
    </row>
    <row r="9" ht="40" customHeight="1" s="23">
      <c r="A9" s="71" t="inlineStr">
        <is>
          <t>查看信息</t>
        </is>
      </c>
      <c r="B9" s="73" t="inlineStr">
        <is>
          <t>原平台组</t>
        </is>
      </c>
      <c r="C9" s="73" t="inlineStr">
        <is>
          <t>Reddit</t>
        </is>
      </c>
      <c r="D9" s="74" t="n">
        <v>20</v>
      </c>
      <c r="E9" s="73" t="inlineStr">
        <is>
          <t>自动统计：事实表记录条数</t>
        </is>
      </c>
    </row>
    <row r="10" ht="40" customHeight="1" s="23">
      <c r="A10" s="71" t="inlineStr">
        <is>
          <t>监测来源</t>
        </is>
      </c>
      <c r="B10" s="73" t="inlineStr">
        <is>
          <t>原平台组</t>
        </is>
      </c>
      <c r="C10" s="73" t="inlineStr">
        <is>
          <t>chinanews.com.cn</t>
        </is>
      </c>
      <c r="D10" s="73" t="n">
        <v>1</v>
      </c>
      <c r="E10" s="73" t="inlineStr">
        <is>
          <t>自动统计：事实表去重账号数（无账号记录按平台计1）</t>
        </is>
      </c>
    </row>
    <row r="11" ht="40" customHeight="1" s="23">
      <c r="A11" s="71" t="inlineStr">
        <is>
          <t>查看信息</t>
        </is>
      </c>
      <c r="B11" s="73" t="inlineStr">
        <is>
          <t>原平台组</t>
        </is>
      </c>
      <c r="C11" s="73" t="inlineStr">
        <is>
          <t>chinanews.com.cn</t>
        </is>
      </c>
      <c r="D11" s="73" t="n">
        <v>3</v>
      </c>
      <c r="E11" s="73" t="inlineStr">
        <is>
          <t>自动统计：事实表记录条数</t>
        </is>
      </c>
    </row>
    <row r="12" ht="40" customHeight="1" s="23">
      <c r="A12" s="71" t="inlineStr">
        <is>
          <t>监测来源</t>
        </is>
      </c>
      <c r="B12" s="73" t="inlineStr">
        <is>
          <t>原平台组</t>
        </is>
      </c>
      <c r="C12" s="73" t="inlineStr">
        <is>
          <t>vs.cns.com.cn</t>
        </is>
      </c>
      <c r="D12" s="73" t="n">
        <v>1</v>
      </c>
      <c r="E12" s="73" t="inlineStr">
        <is>
          <t>自动统计：事实表去重账号数（无账号记录按平台计1）</t>
        </is>
      </c>
    </row>
    <row r="13" ht="40" customHeight="1" s="23">
      <c r="A13" s="71" t="inlineStr">
        <is>
          <t>查看信息</t>
        </is>
      </c>
      <c r="B13" s="73" t="inlineStr">
        <is>
          <t>原平台组</t>
        </is>
      </c>
      <c r="C13" s="73" t="inlineStr">
        <is>
          <t>vs.cns.com.cn</t>
        </is>
      </c>
      <c r="D13" s="73" t="n">
        <v>1</v>
      </c>
      <c r="E13" s="73" t="inlineStr">
        <is>
          <t>自动统计：事实表记录条数</t>
        </is>
      </c>
    </row>
    <row r="14" ht="40" customHeight="1" s="23">
      <c r="A14" s="71" t="inlineStr">
        <is>
          <t>监测来源</t>
        </is>
      </c>
      <c r="B14" s="73" t="inlineStr">
        <is>
          <t>原平台组</t>
        </is>
      </c>
      <c r="C14" s="73" t="inlineStr">
        <is>
          <t>xj.chinanews.com.cn</t>
        </is>
      </c>
      <c r="D14" s="73" t="n">
        <v>1</v>
      </c>
      <c r="E14" s="73" t="inlineStr">
        <is>
          <t>自动统计：事实表去重账号数（无账号记录按平台计1）</t>
        </is>
      </c>
    </row>
    <row r="15" ht="40" customHeight="1" s="23">
      <c r="A15" s="71" t="inlineStr">
        <is>
          <t>查看信息</t>
        </is>
      </c>
      <c r="B15" s="73" t="inlineStr">
        <is>
          <t>原平台组</t>
        </is>
      </c>
      <c r="C15" s="73" t="inlineStr">
        <is>
          <t>xj.chinanews.com.cn</t>
        </is>
      </c>
      <c r="D15" s="73" t="n">
        <v>3</v>
      </c>
      <c r="E15" s="73" t="inlineStr">
        <is>
          <t>自动统计：事实表记录条数</t>
        </is>
      </c>
    </row>
    <row r="16" ht="40" customHeight="1" s="23">
      <c r="A16" s="79" t="inlineStr">
        <is>
          <t>监测来源</t>
        </is>
      </c>
      <c r="B16" s="81" t="inlineStr">
        <is>
          <t>原平台组</t>
        </is>
      </c>
      <c r="C16" s="81" t="inlineStr">
        <is>
          <t>中共中央台办、国务院台办</t>
        </is>
      </c>
      <c r="D16" s="81" t="n">
        <v>2</v>
      </c>
      <c r="E16" s="81" t="inlineStr">
        <is>
          <t>自动统计：事实表去重账号数（无账号记录按平台计1）</t>
        </is>
      </c>
    </row>
    <row r="17" ht="40" customHeight="1" s="23">
      <c r="A17" s="79" t="inlineStr">
        <is>
          <t>查看信息</t>
        </is>
      </c>
      <c r="B17" s="81" t="inlineStr">
        <is>
          <t>原平台组</t>
        </is>
      </c>
      <c r="C17" s="81" t="inlineStr">
        <is>
          <t>中共中央台办、国务院台办</t>
        </is>
      </c>
      <c r="D17" s="81" t="n">
        <v>2</v>
      </c>
      <c r="E17" s="81" t="inlineStr">
        <is>
          <t>自动统计：事实表记录条数</t>
        </is>
      </c>
    </row>
    <row r="18">
      <c r="A18" t="inlineStr">
        <is>
          <t>监测来源</t>
        </is>
      </c>
      <c r="B18" t="inlineStr">
        <is>
          <t>原平台组</t>
        </is>
      </c>
      <c r="C18" t="inlineStr">
        <is>
          <t>中共中央统一战线工作部</t>
        </is>
      </c>
      <c r="D18" t="n">
        <v>1</v>
      </c>
      <c r="E18" t="inlineStr">
        <is>
          <t>自动统计：事实表去重账号数（无账号记录按平台计1）</t>
        </is>
      </c>
    </row>
    <row r="19">
      <c r="A19" t="inlineStr">
        <is>
          <t>查看信息</t>
        </is>
      </c>
      <c r="B19" t="inlineStr">
        <is>
          <t>原平台组</t>
        </is>
      </c>
      <c r="C19" t="inlineStr">
        <is>
          <t>中共中央统一战线工作部</t>
        </is>
      </c>
      <c r="D19" t="n">
        <v>1</v>
      </c>
      <c r="E19" t="inlineStr">
        <is>
          <t>自动统计：事实表记录条数</t>
        </is>
      </c>
    </row>
    <row r="20">
      <c r="A20" t="inlineStr">
        <is>
          <t>监测来源</t>
        </is>
      </c>
      <c r="B20" t="inlineStr">
        <is>
          <t>原平台组</t>
        </is>
      </c>
      <c r="C20" t="inlineStr">
        <is>
          <t>中国人大网</t>
        </is>
      </c>
      <c r="D20" t="n">
        <v>1</v>
      </c>
      <c r="E20" t="inlineStr">
        <is>
          <t>自动统计：事实表去重账号数（无账号记录按平台计1）</t>
        </is>
      </c>
    </row>
    <row r="21">
      <c r="A21" t="inlineStr">
        <is>
          <t>查看信息</t>
        </is>
      </c>
      <c r="B21" t="inlineStr">
        <is>
          <t>原平台组</t>
        </is>
      </c>
      <c r="C21" t="inlineStr">
        <is>
          <t>中国人大网</t>
        </is>
      </c>
      <c r="D21" t="n">
        <v>1</v>
      </c>
      <c r="E21" t="inlineStr">
        <is>
          <t>自动统计：事实表记录条数</t>
        </is>
      </c>
    </row>
    <row r="22">
      <c r="A22" t="inlineStr">
        <is>
          <t>监测来源</t>
        </is>
      </c>
      <c r="B22" t="inlineStr">
        <is>
          <t>原平台组</t>
        </is>
      </c>
      <c r="C22" t="inlineStr">
        <is>
          <t>中国新闻网</t>
        </is>
      </c>
      <c r="D22" t="n">
        <v>2</v>
      </c>
      <c r="E22" t="inlineStr">
        <is>
          <t>自动统计：事实表去重账号数（无账号记录按平台计1）</t>
        </is>
      </c>
    </row>
    <row r="23">
      <c r="A23" t="inlineStr">
        <is>
          <t>查看信息</t>
        </is>
      </c>
      <c r="B23" t="inlineStr">
        <is>
          <t>原平台组</t>
        </is>
      </c>
      <c r="C23" t="inlineStr">
        <is>
          <t>中国新闻网</t>
        </is>
      </c>
      <c r="D23" t="n">
        <v>2</v>
      </c>
      <c r="E23" t="inlineStr">
        <is>
          <t>自动统计：事实表记录条数</t>
        </is>
      </c>
    </row>
    <row r="24">
      <c r="A24" t="inlineStr">
        <is>
          <t>监测来源</t>
        </is>
      </c>
      <c r="B24" t="inlineStr">
        <is>
          <t>原平台组</t>
        </is>
      </c>
      <c r="C24" t="inlineStr">
        <is>
          <t>中央统战部官网</t>
        </is>
      </c>
      <c r="D24" t="n">
        <v>1</v>
      </c>
      <c r="E24" t="inlineStr">
        <is>
          <t>自动统计：事实表去重账号数（无账号记录按平台计1）</t>
        </is>
      </c>
    </row>
    <row r="25">
      <c r="A25" t="inlineStr">
        <is>
          <t>查看信息</t>
        </is>
      </c>
      <c r="B25" t="inlineStr">
        <is>
          <t>原平台组</t>
        </is>
      </c>
      <c r="C25" t="inlineStr">
        <is>
          <t>中央统战部官网</t>
        </is>
      </c>
      <c r="D25" t="n">
        <v>1</v>
      </c>
      <c r="E25" t="inlineStr">
        <is>
          <t>自动统计：事实表记录条数</t>
        </is>
      </c>
    </row>
    <row r="26">
      <c r="A26" t="inlineStr">
        <is>
          <t>监测来源</t>
        </is>
      </c>
      <c r="B26" t="inlineStr">
        <is>
          <t>原平台组</t>
        </is>
      </c>
      <c r="C26" t="inlineStr">
        <is>
          <t>中央统战部网站</t>
        </is>
      </c>
      <c r="D26" t="n">
        <v>1</v>
      </c>
      <c r="E26" t="inlineStr">
        <is>
          <t>自动统计：事实表去重账号数（无账号记录按平台计1）</t>
        </is>
      </c>
    </row>
    <row r="27">
      <c r="A27" t="inlineStr">
        <is>
          <t>查看信息</t>
        </is>
      </c>
      <c r="B27" t="inlineStr">
        <is>
          <t>原平台组</t>
        </is>
      </c>
      <c r="C27" t="inlineStr">
        <is>
          <t>中央统战部网站</t>
        </is>
      </c>
      <c r="D27" t="n">
        <v>1</v>
      </c>
      <c r="E27" t="inlineStr">
        <is>
          <t>自动统计：事实表记录条数</t>
        </is>
      </c>
    </row>
    <row r="28">
      <c r="A28" t="inlineStr">
        <is>
          <t>监测来源</t>
        </is>
      </c>
      <c r="B28" t="inlineStr">
        <is>
          <t>原平台组</t>
        </is>
      </c>
      <c r="C28" t="inlineStr">
        <is>
          <t>中新网云南</t>
        </is>
      </c>
      <c r="D28" t="n">
        <v>1</v>
      </c>
      <c r="E28" t="inlineStr">
        <is>
          <t>自动统计：事实表去重账号数（无账号记录按平台计1）</t>
        </is>
      </c>
    </row>
    <row r="29">
      <c r="A29" t="inlineStr">
        <is>
          <t>查看信息</t>
        </is>
      </c>
      <c r="B29" t="inlineStr">
        <is>
          <t>原平台组</t>
        </is>
      </c>
      <c r="C29" t="inlineStr">
        <is>
          <t>中新网云南</t>
        </is>
      </c>
      <c r="D29" t="n">
        <v>1</v>
      </c>
      <c r="E29" t="inlineStr">
        <is>
          <t>自动统计：事实表记录条数</t>
        </is>
      </c>
    </row>
    <row r="30">
      <c r="A30" t="inlineStr">
        <is>
          <t>监测来源</t>
        </is>
      </c>
      <c r="B30" t="inlineStr">
        <is>
          <t>原平台组</t>
        </is>
      </c>
      <c r="C30" t="inlineStr">
        <is>
          <t>中新网新疆</t>
        </is>
      </c>
      <c r="D30" t="n">
        <v>1</v>
      </c>
      <c r="E30" t="inlineStr">
        <is>
          <t>自动统计：事实表去重账号数（无账号记录按平台计1）</t>
        </is>
      </c>
    </row>
    <row r="31">
      <c r="A31" t="inlineStr">
        <is>
          <t>查看信息</t>
        </is>
      </c>
      <c r="B31" t="inlineStr">
        <is>
          <t>原平台组</t>
        </is>
      </c>
      <c r="C31" t="inlineStr">
        <is>
          <t>中新网新疆</t>
        </is>
      </c>
      <c r="D31" t="n">
        <v>2</v>
      </c>
      <c r="E31" t="inlineStr">
        <is>
          <t>自动统计：事实表记录条数</t>
        </is>
      </c>
    </row>
    <row r="32">
      <c r="A32" t="inlineStr">
        <is>
          <t>监测来源</t>
        </is>
      </c>
      <c r="B32" t="inlineStr">
        <is>
          <t>原平台组</t>
        </is>
      </c>
      <c r="C32" t="inlineStr">
        <is>
          <t>中新网浙江</t>
        </is>
      </c>
      <c r="D32" t="n">
        <v>2</v>
      </c>
      <c r="E32" t="inlineStr">
        <is>
          <t>自动统计：事实表去重账号数（无账号记录按平台计1）</t>
        </is>
      </c>
    </row>
    <row r="33">
      <c r="A33" t="inlineStr">
        <is>
          <t>查看信息</t>
        </is>
      </c>
      <c r="B33" t="inlineStr">
        <is>
          <t>原平台组</t>
        </is>
      </c>
      <c r="C33" t="inlineStr">
        <is>
          <t>中新网浙江</t>
        </is>
      </c>
      <c r="D33" t="n">
        <v>2</v>
      </c>
      <c r="E33" t="inlineStr">
        <is>
          <t>自动统计：事实表记录条数</t>
        </is>
      </c>
    </row>
    <row r="34">
      <c r="A34" t="inlineStr">
        <is>
          <t>监测来源</t>
        </is>
      </c>
      <c r="B34" t="inlineStr">
        <is>
          <t>原平台组</t>
        </is>
      </c>
      <c r="C34" t="inlineStr">
        <is>
          <t>中新网湖北</t>
        </is>
      </c>
      <c r="D34" t="n">
        <v>1</v>
      </c>
      <c r="E34" t="inlineStr">
        <is>
          <t>自动统计：事实表去重账号数（无账号记录按平台计1）</t>
        </is>
      </c>
    </row>
    <row r="35">
      <c r="A35" t="inlineStr">
        <is>
          <t>查看信息</t>
        </is>
      </c>
      <c r="B35" t="inlineStr">
        <is>
          <t>原平台组</t>
        </is>
      </c>
      <c r="C35" t="inlineStr">
        <is>
          <t>中新网湖北</t>
        </is>
      </c>
      <c r="D35" t="n">
        <v>1</v>
      </c>
      <c r="E35" t="inlineStr">
        <is>
          <t>自动统计：事实表记录条数</t>
        </is>
      </c>
    </row>
    <row r="36">
      <c r="A36" t="inlineStr">
        <is>
          <t>监测来源</t>
        </is>
      </c>
      <c r="B36" t="inlineStr">
        <is>
          <t>原平台组</t>
        </is>
      </c>
      <c r="C36" t="inlineStr">
        <is>
          <t>中新网（繁体频道）</t>
        </is>
      </c>
      <c r="D36" t="n">
        <v>1</v>
      </c>
      <c r="E36" t="inlineStr">
        <is>
          <t>自动统计：事实表去重账号数（无账号记录按平台计1）</t>
        </is>
      </c>
    </row>
    <row r="37">
      <c r="A37" t="inlineStr">
        <is>
          <t>查看信息</t>
        </is>
      </c>
      <c r="B37" t="inlineStr">
        <is>
          <t>原平台组</t>
        </is>
      </c>
      <c r="C37" t="inlineStr">
        <is>
          <t>中新网（繁体频道）</t>
        </is>
      </c>
      <c r="D37" t="n">
        <v>1</v>
      </c>
      <c r="E37" t="inlineStr">
        <is>
          <t>自动统计：事实表记录条数</t>
        </is>
      </c>
    </row>
    <row r="38">
      <c r="A38" t="inlineStr">
        <is>
          <t>监测来源</t>
        </is>
      </c>
      <c r="B38" t="inlineStr">
        <is>
          <t>原平台组</t>
        </is>
      </c>
      <c r="C38" t="inlineStr">
        <is>
          <t>云南人大网</t>
        </is>
      </c>
      <c r="D38" t="n">
        <v>1</v>
      </c>
      <c r="E38" t="inlineStr">
        <is>
          <t>自动统计：事实表去重账号数（无账号记录按平台计1）</t>
        </is>
      </c>
    </row>
    <row r="39">
      <c r="A39" t="inlineStr">
        <is>
          <t>查看信息</t>
        </is>
      </c>
      <c r="B39" t="inlineStr">
        <is>
          <t>原平台组</t>
        </is>
      </c>
      <c r="C39" t="inlineStr">
        <is>
          <t>云南人大网</t>
        </is>
      </c>
      <c r="D39" t="n">
        <v>1</v>
      </c>
      <c r="E39" t="inlineStr">
        <is>
          <t>自动统计：事实表记录条数</t>
        </is>
      </c>
    </row>
    <row r="40">
      <c r="A40" t="inlineStr">
        <is>
          <t>监测来源</t>
        </is>
      </c>
      <c r="B40" t="inlineStr">
        <is>
          <t>原平台组</t>
        </is>
      </c>
      <c r="C40" t="inlineStr">
        <is>
          <t>云南宣传网</t>
        </is>
      </c>
      <c r="D40" t="n">
        <v>2</v>
      </c>
      <c r="E40" t="inlineStr">
        <is>
          <t>自动统计：事实表去重账号数（无账号记录按平台计1）</t>
        </is>
      </c>
    </row>
    <row r="41">
      <c r="A41" t="inlineStr">
        <is>
          <t>查看信息</t>
        </is>
      </c>
      <c r="B41" t="inlineStr">
        <is>
          <t>原平台组</t>
        </is>
      </c>
      <c r="C41" t="inlineStr">
        <is>
          <t>云南宣传网</t>
        </is>
      </c>
      <c r="D41" t="n">
        <v>4</v>
      </c>
      <c r="E41" t="inlineStr">
        <is>
          <t>自动统计：事实表记录条数</t>
        </is>
      </c>
    </row>
    <row r="42">
      <c r="A42" t="inlineStr">
        <is>
          <t>监测来源</t>
        </is>
      </c>
      <c r="B42" t="inlineStr">
        <is>
          <t>原平台组</t>
        </is>
      </c>
      <c r="C42" t="inlineStr">
        <is>
          <t>云南省民族宗教事务委员会网站</t>
        </is>
      </c>
      <c r="D42" t="n">
        <v>1</v>
      </c>
      <c r="E42" t="inlineStr">
        <is>
          <t>自动统计：事实表去重账号数（无账号记录按平台计1）</t>
        </is>
      </c>
    </row>
    <row r="43">
      <c r="A43" t="inlineStr">
        <is>
          <t>查看信息</t>
        </is>
      </c>
      <c r="B43" t="inlineStr">
        <is>
          <t>原平台组</t>
        </is>
      </c>
      <c r="C43" t="inlineStr">
        <is>
          <t>云南省民族宗教事务委员会网站</t>
        </is>
      </c>
      <c r="D43" t="n">
        <v>2</v>
      </c>
      <c r="E43" t="inlineStr">
        <is>
          <t>自动统计：事实表记录条数</t>
        </is>
      </c>
    </row>
    <row r="44">
      <c r="A44" t="inlineStr">
        <is>
          <t>监测来源</t>
        </is>
      </c>
      <c r="B44" t="inlineStr">
        <is>
          <t>原平台组</t>
        </is>
      </c>
      <c r="C44" t="inlineStr">
        <is>
          <t>云南网</t>
        </is>
      </c>
      <c r="D44" t="n">
        <v>1</v>
      </c>
      <c r="E44" t="inlineStr">
        <is>
          <t>自动统计：事实表去重账号数（无账号记录按平台计1）</t>
        </is>
      </c>
    </row>
    <row r="45">
      <c r="A45" t="inlineStr">
        <is>
          <t>查看信息</t>
        </is>
      </c>
      <c r="B45" t="inlineStr">
        <is>
          <t>原平台组</t>
        </is>
      </c>
      <c r="C45" t="inlineStr">
        <is>
          <t>云南网</t>
        </is>
      </c>
      <c r="D45" t="n">
        <v>1</v>
      </c>
      <c r="E45" t="inlineStr">
        <is>
          <t>自动统计：事实表记录条数</t>
        </is>
      </c>
    </row>
    <row r="46">
      <c r="A46" t="inlineStr">
        <is>
          <t>监测来源</t>
        </is>
      </c>
      <c r="B46" t="inlineStr">
        <is>
          <t>原平台组</t>
        </is>
      </c>
      <c r="C46" t="inlineStr">
        <is>
          <t>今日头条</t>
        </is>
      </c>
      <c r="D46" t="n">
        <v>5</v>
      </c>
      <c r="E46" t="inlineStr">
        <is>
          <t>自动统计：事实表去重账号数（无账号记录按平台计1）</t>
        </is>
      </c>
    </row>
    <row r="47">
      <c r="A47" t="inlineStr">
        <is>
          <t>查看信息</t>
        </is>
      </c>
      <c r="B47" t="inlineStr">
        <is>
          <t>原平台组</t>
        </is>
      </c>
      <c r="C47" t="inlineStr">
        <is>
          <t>今日头条</t>
        </is>
      </c>
      <c r="D47" t="n">
        <v>6</v>
      </c>
      <c r="E47" t="inlineStr">
        <is>
          <t>自动统计：事实表记录条数</t>
        </is>
      </c>
    </row>
    <row r="48">
      <c r="A48" t="inlineStr">
        <is>
          <t>监测来源</t>
        </is>
      </c>
      <c r="B48" t="inlineStr">
        <is>
          <t>原平台组</t>
        </is>
      </c>
      <c r="C48" t="inlineStr">
        <is>
          <t>伊犁州人大网</t>
        </is>
      </c>
      <c r="D48" t="n">
        <v>1</v>
      </c>
      <c r="E48" t="inlineStr">
        <is>
          <t>自动统计：事实表去重账号数（无账号记录按平台计1）</t>
        </is>
      </c>
    </row>
    <row r="49">
      <c r="A49" t="inlineStr">
        <is>
          <t>查看信息</t>
        </is>
      </c>
      <c r="B49" t="inlineStr">
        <is>
          <t>原平台组</t>
        </is>
      </c>
      <c r="C49" t="inlineStr">
        <is>
          <t>伊犁州人大网</t>
        </is>
      </c>
      <c r="D49" t="n">
        <v>1</v>
      </c>
      <c r="E49" t="inlineStr">
        <is>
          <t>自动统计：事实表记录条数</t>
        </is>
      </c>
    </row>
    <row r="50">
      <c r="A50" t="inlineStr">
        <is>
          <t>监测来源</t>
        </is>
      </c>
      <c r="B50" t="inlineStr">
        <is>
          <t>原平台组</t>
        </is>
      </c>
      <c r="C50" t="inlineStr">
        <is>
          <t>俄罗斯卫星通讯社中文网</t>
        </is>
      </c>
      <c r="D50" t="n">
        <v>1</v>
      </c>
      <c r="E50" t="inlineStr">
        <is>
          <t>自动统计：事实表去重账号数（无账号记录按平台计1）</t>
        </is>
      </c>
    </row>
    <row r="51">
      <c r="A51" t="inlineStr">
        <is>
          <t>查看信息</t>
        </is>
      </c>
      <c r="B51" t="inlineStr">
        <is>
          <t>原平台组</t>
        </is>
      </c>
      <c r="C51" t="inlineStr">
        <is>
          <t>俄罗斯卫星通讯社中文网</t>
        </is>
      </c>
      <c r="D51" t="n">
        <v>1</v>
      </c>
      <c r="E51" t="inlineStr">
        <is>
          <t>自动统计：事实表记录条数</t>
        </is>
      </c>
    </row>
    <row r="52">
      <c r="A52" t="inlineStr">
        <is>
          <t>监测来源</t>
        </is>
      </c>
      <c r="B52" t="inlineStr">
        <is>
          <t>原平台组</t>
        </is>
      </c>
      <c r="C52" t="inlineStr">
        <is>
          <t>华人头条</t>
        </is>
      </c>
      <c r="D52" t="n">
        <v>1</v>
      </c>
      <c r="E52" t="inlineStr">
        <is>
          <t>自动统计：事实表去重账号数（无账号记录按平台计1）</t>
        </is>
      </c>
    </row>
    <row r="53">
      <c r="A53" t="inlineStr">
        <is>
          <t>查看信息</t>
        </is>
      </c>
      <c r="B53" t="inlineStr">
        <is>
          <t>原平台组</t>
        </is>
      </c>
      <c r="C53" t="inlineStr">
        <is>
          <t>华人头条</t>
        </is>
      </c>
      <c r="D53" t="n">
        <v>1</v>
      </c>
      <c r="E53" t="inlineStr">
        <is>
          <t>自动统计：事实表记录条数</t>
        </is>
      </c>
    </row>
    <row r="54">
      <c r="A54" t="inlineStr">
        <is>
          <t>监测来源</t>
        </is>
      </c>
      <c r="B54" t="inlineStr">
        <is>
          <t>原平台组</t>
        </is>
      </c>
      <c r="C54" t="inlineStr">
        <is>
          <t>哔哩哔哩</t>
        </is>
      </c>
      <c r="D54" t="n">
        <v>28</v>
      </c>
      <c r="E54" t="inlineStr">
        <is>
          <t>自动统计：事实表去重账号数（无账号记录按平台计1）</t>
        </is>
      </c>
    </row>
    <row r="55">
      <c r="A55" t="inlineStr">
        <is>
          <t>查看信息</t>
        </is>
      </c>
      <c r="B55" t="inlineStr">
        <is>
          <t>原平台组</t>
        </is>
      </c>
      <c r="C55" t="inlineStr">
        <is>
          <t>哔哩哔哩</t>
        </is>
      </c>
      <c r="D55" t="n">
        <v>31</v>
      </c>
      <c r="E55" t="inlineStr">
        <is>
          <t>自动统计：事实表记录条数</t>
        </is>
      </c>
    </row>
    <row r="56">
      <c r="A56" t="inlineStr">
        <is>
          <t>监测来源</t>
        </is>
      </c>
      <c r="B56" t="inlineStr">
        <is>
          <t>原平台组</t>
        </is>
      </c>
      <c r="C56" t="inlineStr">
        <is>
          <t>哔哩哔哩/B站</t>
        </is>
      </c>
      <c r="D56" t="n">
        <v>1</v>
      </c>
      <c r="E56" t="inlineStr">
        <is>
          <t>自动统计：事实表去重账号数（无账号记录按平台计1）</t>
        </is>
      </c>
    </row>
    <row r="57">
      <c r="A57" t="inlineStr">
        <is>
          <t>查看信息</t>
        </is>
      </c>
      <c r="B57" t="inlineStr">
        <is>
          <t>原平台组</t>
        </is>
      </c>
      <c r="C57" t="inlineStr">
        <is>
          <t>哔哩哔哩/B站</t>
        </is>
      </c>
      <c r="D57" t="n">
        <v>1</v>
      </c>
      <c r="E57" t="inlineStr">
        <is>
          <t>自动统计：事实表记录条数</t>
        </is>
      </c>
    </row>
    <row r="58">
      <c r="A58" t="inlineStr">
        <is>
          <t>监测来源</t>
        </is>
      </c>
      <c r="B58" t="inlineStr">
        <is>
          <t>原平台组</t>
        </is>
      </c>
      <c r="C58" t="inlineStr">
        <is>
          <t>国家民委官网</t>
        </is>
      </c>
      <c r="D58" t="n">
        <v>3</v>
      </c>
      <c r="E58" t="inlineStr">
        <is>
          <t>自动统计：事实表去重账号数（无账号记录按平台计1）</t>
        </is>
      </c>
    </row>
    <row r="59">
      <c r="A59" t="inlineStr">
        <is>
          <t>查看信息</t>
        </is>
      </c>
      <c r="B59" t="inlineStr">
        <is>
          <t>原平台组</t>
        </is>
      </c>
      <c r="C59" t="inlineStr">
        <is>
          <t>国家民委官网</t>
        </is>
      </c>
      <c r="D59" t="n">
        <v>3</v>
      </c>
      <c r="E59" t="inlineStr">
        <is>
          <t>自动统计：事实表记录条数</t>
        </is>
      </c>
    </row>
    <row r="60">
      <c r="A60" t="inlineStr">
        <is>
          <t>监测来源</t>
        </is>
      </c>
      <c r="B60" t="inlineStr">
        <is>
          <t>原平台组</t>
        </is>
      </c>
      <c r="C60" t="inlineStr">
        <is>
          <t>国家民族事务委员会</t>
        </is>
      </c>
      <c r="D60" t="n">
        <v>4</v>
      </c>
      <c r="E60" t="inlineStr">
        <is>
          <t>自动统计：事实表去重账号数（无账号记录按平台计1）</t>
        </is>
      </c>
    </row>
    <row r="61">
      <c r="A61" t="inlineStr">
        <is>
          <t>查看信息</t>
        </is>
      </c>
      <c r="B61" t="inlineStr">
        <is>
          <t>原平台组</t>
        </is>
      </c>
      <c r="C61" t="inlineStr">
        <is>
          <t>国家民族事务委员会</t>
        </is>
      </c>
      <c r="D61" t="n">
        <v>4</v>
      </c>
      <c r="E61" t="inlineStr">
        <is>
          <t>自动统计：事实表记录条数</t>
        </is>
      </c>
    </row>
    <row r="62">
      <c r="A62" t="inlineStr">
        <is>
          <t>监测来源</t>
        </is>
      </c>
      <c r="B62" t="inlineStr">
        <is>
          <t>原平台组</t>
        </is>
      </c>
      <c r="C62" t="inlineStr">
        <is>
          <t>国家民族事务委员会网站</t>
        </is>
      </c>
      <c r="D62" t="n">
        <v>1</v>
      </c>
      <c r="E62" t="inlineStr">
        <is>
          <t>自动统计：事实表去重账号数（无账号记录按平台计1）</t>
        </is>
      </c>
    </row>
    <row r="63">
      <c r="A63" t="inlineStr">
        <is>
          <t>查看信息</t>
        </is>
      </c>
      <c r="B63" t="inlineStr">
        <is>
          <t>原平台组</t>
        </is>
      </c>
      <c r="C63" t="inlineStr">
        <is>
          <t>国家民族事务委员会网站</t>
        </is>
      </c>
      <c r="D63" t="n">
        <v>4</v>
      </c>
      <c r="E63" t="inlineStr">
        <is>
          <t>自动统计：事实表记录条数</t>
        </is>
      </c>
    </row>
    <row r="64">
      <c r="A64" t="inlineStr">
        <is>
          <t>监测来源</t>
        </is>
      </c>
      <c r="B64" t="inlineStr">
        <is>
          <t>原平台组</t>
        </is>
      </c>
      <c r="C64" t="inlineStr">
        <is>
          <t>宁夏大学</t>
        </is>
      </c>
      <c r="D64" t="n">
        <v>1</v>
      </c>
      <c r="E64" t="inlineStr">
        <is>
          <t>自动统计：事实表去重账号数（无账号记录按平台计1）</t>
        </is>
      </c>
    </row>
    <row r="65">
      <c r="A65" t="inlineStr">
        <is>
          <t>查看信息</t>
        </is>
      </c>
      <c r="B65" t="inlineStr">
        <is>
          <t>原平台组</t>
        </is>
      </c>
      <c r="C65" t="inlineStr">
        <is>
          <t>宁夏大学</t>
        </is>
      </c>
      <c r="D65" t="n">
        <v>1</v>
      </c>
      <c r="E65" t="inlineStr">
        <is>
          <t>自动统计：事实表记录条数</t>
        </is>
      </c>
    </row>
    <row r="66">
      <c r="A66" t="inlineStr">
        <is>
          <t>监测来源</t>
        </is>
      </c>
      <c r="B66" t="inlineStr">
        <is>
          <t>原平台组</t>
        </is>
      </c>
      <c r="C66" t="inlineStr">
        <is>
          <t>小红书</t>
        </is>
      </c>
      <c r="D66" t="n">
        <v>29</v>
      </c>
      <c r="E66" t="inlineStr">
        <is>
          <t>自动统计：事实表去重账号数（无账号记录按平台计1）</t>
        </is>
      </c>
    </row>
    <row r="67">
      <c r="A67" t="inlineStr">
        <is>
          <t>查看信息</t>
        </is>
      </c>
      <c r="B67" t="inlineStr">
        <is>
          <t>原平台组</t>
        </is>
      </c>
      <c r="C67" t="inlineStr">
        <is>
          <t>小红书</t>
        </is>
      </c>
      <c r="D67" t="n">
        <v>32</v>
      </c>
      <c r="E67" t="inlineStr">
        <is>
          <t>自动统计：事实表记录条数</t>
        </is>
      </c>
    </row>
    <row r="68">
      <c r="A68" t="inlineStr">
        <is>
          <t>监测来源</t>
        </is>
      </c>
      <c r="B68" t="inlineStr">
        <is>
          <t>原平台组</t>
        </is>
      </c>
      <c r="C68" t="inlineStr">
        <is>
          <t>峨山县人民政府网站</t>
        </is>
      </c>
      <c r="D68" t="n">
        <v>1</v>
      </c>
      <c r="E68" t="inlineStr">
        <is>
          <t>自动统计：事实表去重账号数（无账号记录按平台计1）</t>
        </is>
      </c>
    </row>
    <row r="69">
      <c r="A69" t="inlineStr">
        <is>
          <t>查看信息</t>
        </is>
      </c>
      <c r="B69" t="inlineStr">
        <is>
          <t>原平台组</t>
        </is>
      </c>
      <c r="C69" t="inlineStr">
        <is>
          <t>峨山县人民政府网站</t>
        </is>
      </c>
      <c r="D69" t="n">
        <v>2</v>
      </c>
      <c r="E69" t="inlineStr">
        <is>
          <t>自动统计：事实表记录条数</t>
        </is>
      </c>
    </row>
    <row r="70">
      <c r="A70" t="inlineStr">
        <is>
          <t>监测来源</t>
        </is>
      </c>
      <c r="B70" t="inlineStr">
        <is>
          <t>原平台组</t>
        </is>
      </c>
      <c r="C70" t="inlineStr">
        <is>
          <t>平台</t>
        </is>
      </c>
      <c r="D70" t="n">
        <v>1</v>
      </c>
      <c r="E70" t="inlineStr">
        <is>
          <t>自动统计：事实表去重账号数（无账号记录按平台计1）</t>
        </is>
      </c>
    </row>
    <row r="71">
      <c r="A71" t="inlineStr">
        <is>
          <t>查看信息</t>
        </is>
      </c>
      <c r="B71" t="inlineStr">
        <is>
          <t>原平台组</t>
        </is>
      </c>
      <c r="C71" t="inlineStr">
        <is>
          <t>平台</t>
        </is>
      </c>
      <c r="D71" t="n">
        <v>1</v>
      </c>
      <c r="E71" t="inlineStr">
        <is>
          <t>自动统计：事实表记录条数</t>
        </is>
      </c>
    </row>
    <row r="72">
      <c r="A72" t="inlineStr">
        <is>
          <t>监测来源</t>
        </is>
      </c>
      <c r="B72" t="inlineStr">
        <is>
          <t>原平台组</t>
        </is>
      </c>
      <c r="C72" t="inlineStr">
        <is>
          <t>平台/子域名</t>
        </is>
      </c>
      <c r="D72" t="n">
        <v>1</v>
      </c>
      <c r="E72" t="inlineStr">
        <is>
          <t>自动统计：事实表去重账号数（无账号记录按平台计1）</t>
        </is>
      </c>
    </row>
    <row r="73">
      <c r="A73" t="inlineStr">
        <is>
          <t>查看信息</t>
        </is>
      </c>
      <c r="B73" t="inlineStr">
        <is>
          <t>原平台组</t>
        </is>
      </c>
      <c r="C73" t="inlineStr">
        <is>
          <t>平台/子域名</t>
        </is>
      </c>
      <c r="D73" t="n">
        <v>1</v>
      </c>
      <c r="E73" t="inlineStr">
        <is>
          <t>自动统计：事实表记录条数</t>
        </is>
      </c>
    </row>
    <row r="74">
      <c r="A74" t="inlineStr">
        <is>
          <t>监测来源</t>
        </is>
      </c>
      <c r="B74" t="inlineStr">
        <is>
          <t>原平台组</t>
        </is>
      </c>
      <c r="C74" t="inlineStr">
        <is>
          <t>平台/网站</t>
        </is>
      </c>
      <c r="D74" t="n">
        <v>1</v>
      </c>
      <c r="E74" t="inlineStr">
        <is>
          <t>自动统计：事实表去重账号数（无账号记录按平台计1）</t>
        </is>
      </c>
    </row>
    <row r="75">
      <c r="A75" t="inlineStr">
        <is>
          <t>查看信息</t>
        </is>
      </c>
      <c r="B75" t="inlineStr">
        <is>
          <t>原平台组</t>
        </is>
      </c>
      <c r="C75" t="inlineStr">
        <is>
          <t>平台/网站</t>
        </is>
      </c>
      <c r="D75" t="n">
        <v>1</v>
      </c>
      <c r="E75" t="inlineStr">
        <is>
          <t>自动统计：事实表记录条数</t>
        </is>
      </c>
    </row>
    <row r="76">
      <c r="A76" t="inlineStr">
        <is>
          <t>监测来源</t>
        </is>
      </c>
      <c r="B76" t="inlineStr">
        <is>
          <t>原平台组</t>
        </is>
      </c>
      <c r="C76" t="inlineStr">
        <is>
          <t>微信</t>
        </is>
      </c>
      <c r="D76" t="n">
        <v>12</v>
      </c>
      <c r="E76" t="inlineStr">
        <is>
          <t>自动统计：事实表去重账号数（无账号记录按平台计1）</t>
        </is>
      </c>
    </row>
    <row r="77">
      <c r="A77" t="inlineStr">
        <is>
          <t>查看信息</t>
        </is>
      </c>
      <c r="B77" t="inlineStr">
        <is>
          <t>原平台组</t>
        </is>
      </c>
      <c r="C77" t="inlineStr">
        <is>
          <t>微信</t>
        </is>
      </c>
      <c r="D77" t="n">
        <v>13</v>
      </c>
      <c r="E77" t="inlineStr">
        <is>
          <t>自动统计：事实表记录条数</t>
        </is>
      </c>
    </row>
    <row r="78">
      <c r="A78" t="inlineStr">
        <is>
          <t>监测来源</t>
        </is>
      </c>
      <c r="B78" t="inlineStr">
        <is>
          <t>原平台组</t>
        </is>
      </c>
      <c r="C78" t="inlineStr">
        <is>
          <t>微信公众号</t>
        </is>
      </c>
      <c r="D78" t="n">
        <v>6</v>
      </c>
      <c r="E78" t="inlineStr">
        <is>
          <t>自动统计：事实表去重账号数（无账号记录按平台计1）</t>
        </is>
      </c>
    </row>
    <row r="79">
      <c r="A79" t="inlineStr">
        <is>
          <t>查看信息</t>
        </is>
      </c>
      <c r="B79" t="inlineStr">
        <is>
          <t>原平台组</t>
        </is>
      </c>
      <c r="C79" t="inlineStr">
        <is>
          <t>微信公众号</t>
        </is>
      </c>
      <c r="D79" t="n">
        <v>21</v>
      </c>
      <c r="E79" t="inlineStr">
        <is>
          <t>自动统计：事实表记录条数</t>
        </is>
      </c>
    </row>
    <row r="80">
      <c r="A80" t="inlineStr">
        <is>
          <t>监测来源</t>
        </is>
      </c>
      <c r="B80" t="inlineStr">
        <is>
          <t>原平台组</t>
        </is>
      </c>
      <c r="C80" t="inlineStr">
        <is>
          <t>微信公众号/视频号</t>
        </is>
      </c>
      <c r="D80" t="n">
        <v>1</v>
      </c>
      <c r="E80" t="inlineStr">
        <is>
          <t>自动统计：事实表去重账号数（无账号记录按平台计1）</t>
        </is>
      </c>
    </row>
    <row r="81">
      <c r="A81" t="inlineStr">
        <is>
          <t>查看信息</t>
        </is>
      </c>
      <c r="B81" t="inlineStr">
        <is>
          <t>原平台组</t>
        </is>
      </c>
      <c r="C81" t="inlineStr">
        <is>
          <t>微信公众号/视频号</t>
        </is>
      </c>
      <c r="D81" t="n">
        <v>1</v>
      </c>
      <c r="E81" t="inlineStr">
        <is>
          <t>自动统计：事实表记录条数</t>
        </is>
      </c>
    </row>
    <row r="82">
      <c r="A82" t="inlineStr">
        <is>
          <t>监测来源</t>
        </is>
      </c>
      <c r="B82" t="inlineStr">
        <is>
          <t>原平台组</t>
        </is>
      </c>
      <c r="C82" t="inlineStr">
        <is>
          <t>微信公众号：文山发布</t>
        </is>
      </c>
      <c r="D82" t="n">
        <v>1</v>
      </c>
      <c r="E82" t="inlineStr">
        <is>
          <t>自动统计：事实表去重账号数（无账号记录按平台计1）</t>
        </is>
      </c>
    </row>
    <row r="83">
      <c r="A83" t="inlineStr">
        <is>
          <t>查看信息</t>
        </is>
      </c>
      <c r="B83" t="inlineStr">
        <is>
          <t>原平台组</t>
        </is>
      </c>
      <c r="C83" t="inlineStr">
        <is>
          <t>微信公众号：文山发布</t>
        </is>
      </c>
      <c r="D83" t="n">
        <v>4</v>
      </c>
      <c r="E83" t="inlineStr">
        <is>
          <t>自动统计：事实表记录条数</t>
        </is>
      </c>
    </row>
    <row r="84">
      <c r="A84" t="inlineStr">
        <is>
          <t>监测来源</t>
        </is>
      </c>
      <c r="B84" t="inlineStr">
        <is>
          <t>原平台组</t>
        </is>
      </c>
      <c r="C84" t="inlineStr">
        <is>
          <t>微信公众号：文山民族团结进步示范创建</t>
        </is>
      </c>
      <c r="D84" t="n">
        <v>1</v>
      </c>
      <c r="E84" t="inlineStr">
        <is>
          <t>自动统计：事实表去重账号数（无账号记录按平台计1）</t>
        </is>
      </c>
    </row>
    <row r="85">
      <c r="A85" t="inlineStr">
        <is>
          <t>查看信息</t>
        </is>
      </c>
      <c r="B85" t="inlineStr">
        <is>
          <t>原平台组</t>
        </is>
      </c>
      <c r="C85" t="inlineStr">
        <is>
          <t>微信公众号：文山民族团结进步示范创建</t>
        </is>
      </c>
      <c r="D85" t="n">
        <v>4</v>
      </c>
      <c r="E85" t="inlineStr">
        <is>
          <t>自动统计：事实表记录条数</t>
        </is>
      </c>
    </row>
    <row r="86">
      <c r="A86" t="inlineStr">
        <is>
          <t>监测来源</t>
        </is>
      </c>
      <c r="B86" t="inlineStr">
        <is>
          <t>原平台组</t>
        </is>
      </c>
      <c r="C86" t="inlineStr">
        <is>
          <t>微信公众号：楚雄发布</t>
        </is>
      </c>
      <c r="D86" t="n">
        <v>1</v>
      </c>
      <c r="E86" t="inlineStr">
        <is>
          <t>自动统计：事实表去重账号数（无账号记录按平台计1）</t>
        </is>
      </c>
    </row>
    <row r="87">
      <c r="A87" t="inlineStr">
        <is>
          <t>查看信息</t>
        </is>
      </c>
      <c r="B87" t="inlineStr">
        <is>
          <t>原平台组</t>
        </is>
      </c>
      <c r="C87" t="inlineStr">
        <is>
          <t>微信公众号：楚雄发布</t>
        </is>
      </c>
      <c r="D87" t="n">
        <v>2</v>
      </c>
      <c r="E87" t="inlineStr">
        <is>
          <t>自动统计：事实表记录条数</t>
        </is>
      </c>
    </row>
    <row r="88">
      <c r="A88" t="inlineStr">
        <is>
          <t>监测来源</t>
        </is>
      </c>
      <c r="B88" t="inlineStr">
        <is>
          <t>原平台组</t>
        </is>
      </c>
      <c r="C88" t="inlineStr">
        <is>
          <t>微信公众号：沧源融媒</t>
        </is>
      </c>
      <c r="D88" t="n">
        <v>1</v>
      </c>
      <c r="E88" t="inlineStr">
        <is>
          <t>自动统计：事实表去重账号数（无账号记录按平台计1）</t>
        </is>
      </c>
    </row>
    <row r="89">
      <c r="A89" t="inlineStr">
        <is>
          <t>查看信息</t>
        </is>
      </c>
      <c r="B89" t="inlineStr">
        <is>
          <t>原平台组</t>
        </is>
      </c>
      <c r="C89" t="inlineStr">
        <is>
          <t>微信公众号：沧源融媒</t>
        </is>
      </c>
      <c r="D89" t="n">
        <v>4</v>
      </c>
      <c r="E89" t="inlineStr">
        <is>
          <t>自动统计：事实表记录条数</t>
        </is>
      </c>
    </row>
    <row r="90">
      <c r="A90" t="inlineStr">
        <is>
          <t>监测来源</t>
        </is>
      </c>
      <c r="B90" t="inlineStr">
        <is>
          <t>原平台组</t>
        </is>
      </c>
      <c r="C90" t="inlineStr">
        <is>
          <t>微信公众号：西双版纳民族团结进步创建</t>
        </is>
      </c>
      <c r="D90" t="n">
        <v>1</v>
      </c>
      <c r="E90" t="inlineStr">
        <is>
          <t>自动统计：事实表去重账号数（无账号记录按平台计1）</t>
        </is>
      </c>
    </row>
    <row r="91">
      <c r="A91" t="inlineStr">
        <is>
          <t>查看信息</t>
        </is>
      </c>
      <c r="B91" t="inlineStr">
        <is>
          <t>原平台组</t>
        </is>
      </c>
      <c r="C91" t="inlineStr">
        <is>
          <t>微信公众号：西双版纳民族团结进步创建</t>
        </is>
      </c>
      <c r="D91" t="n">
        <v>2</v>
      </c>
      <c r="E91" t="inlineStr">
        <is>
          <t>自动统计：事实表记录条数</t>
        </is>
      </c>
    </row>
    <row r="92">
      <c r="A92" t="inlineStr">
        <is>
          <t>监测来源</t>
        </is>
      </c>
      <c r="B92" t="inlineStr">
        <is>
          <t>原平台组</t>
        </is>
      </c>
      <c r="C92" t="inlineStr">
        <is>
          <t>微信视频号</t>
        </is>
      </c>
      <c r="D92" t="n">
        <v>6</v>
      </c>
      <c r="E92" t="inlineStr">
        <is>
          <t>自动统计：事实表去重账号数（无账号记录按平台计1）</t>
        </is>
      </c>
    </row>
    <row r="93">
      <c r="A93" t="inlineStr">
        <is>
          <t>查看信息</t>
        </is>
      </c>
      <c r="B93" t="inlineStr">
        <is>
          <t>原平台组</t>
        </is>
      </c>
      <c r="C93" t="inlineStr">
        <is>
          <t>微信视频号</t>
        </is>
      </c>
      <c r="D93" t="n">
        <v>6</v>
      </c>
      <c r="E93" t="inlineStr">
        <is>
          <t>自动统计：事实表记录条数</t>
        </is>
      </c>
    </row>
    <row r="94">
      <c r="A94" t="inlineStr">
        <is>
          <t>监测来源</t>
        </is>
      </c>
      <c r="B94" t="inlineStr">
        <is>
          <t>原平台组</t>
        </is>
      </c>
      <c r="C94" t="inlineStr">
        <is>
          <t>微信视频号评论区</t>
        </is>
      </c>
      <c r="D94" t="n">
        <v>1</v>
      </c>
      <c r="E94" t="inlineStr">
        <is>
          <t>自动统计：事实表去重账号数（无账号记录按平台计1）</t>
        </is>
      </c>
    </row>
    <row r="95">
      <c r="A95" t="inlineStr">
        <is>
          <t>查看信息</t>
        </is>
      </c>
      <c r="B95" t="inlineStr">
        <is>
          <t>原平台组</t>
        </is>
      </c>
      <c r="C95" t="inlineStr">
        <is>
          <t>微信视频号评论区</t>
        </is>
      </c>
      <c r="D95" t="n">
        <v>3</v>
      </c>
      <c r="E95" t="inlineStr">
        <is>
          <t>自动统计：事实表记录条数</t>
        </is>
      </c>
    </row>
    <row r="96">
      <c r="A96" t="inlineStr">
        <is>
          <t>监测来源</t>
        </is>
      </c>
      <c r="B96" t="inlineStr">
        <is>
          <t>原平台组</t>
        </is>
      </c>
      <c r="C96" t="inlineStr">
        <is>
          <t>微博</t>
        </is>
      </c>
      <c r="D96" t="n">
        <v>10</v>
      </c>
      <c r="E96" t="inlineStr">
        <is>
          <t>自动统计：事实表去重账号数（无账号记录按平台计1）</t>
        </is>
      </c>
    </row>
    <row r="97">
      <c r="A97" t="inlineStr">
        <is>
          <t>查看信息</t>
        </is>
      </c>
      <c r="B97" t="inlineStr">
        <is>
          <t>原平台组</t>
        </is>
      </c>
      <c r="C97" t="inlineStr">
        <is>
          <t>微博</t>
        </is>
      </c>
      <c r="D97" t="n">
        <v>39</v>
      </c>
      <c r="E97" t="inlineStr">
        <is>
          <t>自动统计：事实表记录条数</t>
        </is>
      </c>
    </row>
    <row r="98">
      <c r="A98" t="inlineStr">
        <is>
          <t>监测来源</t>
        </is>
      </c>
      <c r="B98" t="inlineStr">
        <is>
          <t>原平台组</t>
        </is>
      </c>
      <c r="C98" t="inlineStr">
        <is>
          <t>快手</t>
        </is>
      </c>
      <c r="D98" t="n">
        <v>60</v>
      </c>
      <c r="E98" t="inlineStr">
        <is>
          <t>自动统计：事实表去重账号数（无账号记录按平台计1）</t>
        </is>
      </c>
    </row>
    <row r="99">
      <c r="A99" t="inlineStr">
        <is>
          <t>查看信息</t>
        </is>
      </c>
      <c r="B99" t="inlineStr">
        <is>
          <t>原平台组</t>
        </is>
      </c>
      <c r="C99" t="inlineStr">
        <is>
          <t>快手</t>
        </is>
      </c>
      <c r="D99" t="n">
        <v>201</v>
      </c>
      <c r="E99" t="inlineStr">
        <is>
          <t>自动统计：事实表记录条数</t>
        </is>
      </c>
    </row>
    <row r="100">
      <c r="A100" t="inlineStr">
        <is>
          <t>监测来源</t>
        </is>
      </c>
      <c r="B100" t="inlineStr">
        <is>
          <t>原平台组</t>
        </is>
      </c>
      <c r="C100" t="inlineStr">
        <is>
          <t>抖音</t>
        </is>
      </c>
      <c r="D100" t="n">
        <v>48</v>
      </c>
      <c r="E100" t="inlineStr">
        <is>
          <t>自动统计：事实表去重账号数（无账号记录按平台计1）</t>
        </is>
      </c>
    </row>
    <row r="101">
      <c r="A101" t="inlineStr">
        <is>
          <t>查看信息</t>
        </is>
      </c>
      <c r="B101" t="inlineStr">
        <is>
          <t>原平台组</t>
        </is>
      </c>
      <c r="C101" t="inlineStr">
        <is>
          <t>抖音</t>
        </is>
      </c>
      <c r="D101" t="n">
        <v>64</v>
      </c>
      <c r="E101" t="inlineStr">
        <is>
          <t>自动统计：事实表记录条数</t>
        </is>
      </c>
    </row>
    <row r="102">
      <c r="A102" t="inlineStr">
        <is>
          <t>监测来源</t>
        </is>
      </c>
      <c r="B102" t="inlineStr">
        <is>
          <t>原平台组</t>
        </is>
      </c>
      <c r="C102" t="inlineStr">
        <is>
          <t>抖音精选</t>
        </is>
      </c>
      <c r="D102" t="n">
        <v>1</v>
      </c>
      <c r="E102" t="inlineStr">
        <is>
          <t>自动统计：事实表去重账号数（无账号记录按平台计1）</t>
        </is>
      </c>
    </row>
    <row r="103">
      <c r="A103" t="inlineStr">
        <is>
          <t>查看信息</t>
        </is>
      </c>
      <c r="B103" t="inlineStr">
        <is>
          <t>原平台组</t>
        </is>
      </c>
      <c r="C103" t="inlineStr">
        <is>
          <t>抖音精选</t>
        </is>
      </c>
      <c r="D103" t="n">
        <v>1</v>
      </c>
      <c r="E103" t="inlineStr">
        <is>
          <t>自动统计：事实表记录条数</t>
        </is>
      </c>
    </row>
    <row r="104">
      <c r="A104" t="inlineStr">
        <is>
          <t>监测来源</t>
        </is>
      </c>
      <c r="B104" t="inlineStr">
        <is>
          <t>原平台组</t>
        </is>
      </c>
      <c r="C104" t="inlineStr">
        <is>
          <t>搜狐</t>
        </is>
      </c>
      <c r="D104" t="n">
        <v>1</v>
      </c>
      <c r="E104" t="inlineStr">
        <is>
          <t>自动统计：事实表去重账号数（无账号记录按平台计1）</t>
        </is>
      </c>
    </row>
    <row r="105">
      <c r="A105" t="inlineStr">
        <is>
          <t>查看信息</t>
        </is>
      </c>
      <c r="B105" t="inlineStr">
        <is>
          <t>原平台组</t>
        </is>
      </c>
      <c r="C105" t="inlineStr">
        <is>
          <t>搜狐</t>
        </is>
      </c>
      <c r="D105" t="n">
        <v>2</v>
      </c>
      <c r="E105" t="inlineStr">
        <is>
          <t>自动统计：事实表记录条数</t>
        </is>
      </c>
    </row>
    <row r="106">
      <c r="A106" t="inlineStr">
        <is>
          <t>监测来源</t>
        </is>
      </c>
      <c r="B106" t="inlineStr">
        <is>
          <t>原平台组</t>
        </is>
      </c>
      <c r="C106" t="inlineStr">
        <is>
          <t>搜狐号</t>
        </is>
      </c>
      <c r="D106" t="n">
        <v>2</v>
      </c>
      <c r="E106" t="inlineStr">
        <is>
          <t>自动统计：事实表去重账号数（无账号记录按平台计1）</t>
        </is>
      </c>
    </row>
    <row r="107">
      <c r="A107" t="inlineStr">
        <is>
          <t>查看信息</t>
        </is>
      </c>
      <c r="B107" t="inlineStr">
        <is>
          <t>原平台组</t>
        </is>
      </c>
      <c r="C107" t="inlineStr">
        <is>
          <t>搜狐号</t>
        </is>
      </c>
      <c r="D107" t="n">
        <v>2</v>
      </c>
      <c r="E107" t="inlineStr">
        <is>
          <t>自动统计：事实表记录条数</t>
        </is>
      </c>
    </row>
    <row r="108">
      <c r="A108" t="inlineStr">
        <is>
          <t>监测来源</t>
        </is>
      </c>
      <c r="B108" t="inlineStr">
        <is>
          <t>原平台组</t>
        </is>
      </c>
      <c r="C108" t="inlineStr">
        <is>
          <t>搜狐视频</t>
        </is>
      </c>
      <c r="D108" t="n">
        <v>1</v>
      </c>
      <c r="E108" t="inlineStr">
        <is>
          <t>自动统计：事实表去重账号数（无账号记录按平台计1）</t>
        </is>
      </c>
    </row>
    <row r="109">
      <c r="A109" t="inlineStr">
        <is>
          <t>查看信息</t>
        </is>
      </c>
      <c r="B109" t="inlineStr">
        <is>
          <t>原平台组</t>
        </is>
      </c>
      <c r="C109" t="inlineStr">
        <is>
          <t>搜狐视频</t>
        </is>
      </c>
      <c r="D109" t="n">
        <v>1</v>
      </c>
      <c r="E109" t="inlineStr">
        <is>
          <t>自动统计：事实表记录条数</t>
        </is>
      </c>
    </row>
    <row r="110">
      <c r="A110" t="inlineStr">
        <is>
          <t>监测来源</t>
        </is>
      </c>
      <c r="B110" t="inlineStr">
        <is>
          <t>原平台组</t>
        </is>
      </c>
      <c r="C110" t="inlineStr">
        <is>
          <t>新华网</t>
        </is>
      </c>
      <c r="D110" t="n">
        <v>1</v>
      </c>
      <c r="E110" t="inlineStr">
        <is>
          <t>自动统计：事实表去重账号数（无账号记录按平台计1）</t>
        </is>
      </c>
    </row>
    <row r="111">
      <c r="A111" t="inlineStr">
        <is>
          <t>查看信息</t>
        </is>
      </c>
      <c r="B111" t="inlineStr">
        <is>
          <t>原平台组</t>
        </is>
      </c>
      <c r="C111" t="inlineStr">
        <is>
          <t>新华网</t>
        </is>
      </c>
      <c r="D111" t="n">
        <v>1</v>
      </c>
      <c r="E111" t="inlineStr">
        <is>
          <t>自动统计：事实表记录条数</t>
        </is>
      </c>
    </row>
    <row r="112">
      <c r="A112" t="inlineStr">
        <is>
          <t>监测来源</t>
        </is>
      </c>
      <c r="B112" t="inlineStr">
        <is>
          <t>原平台组</t>
        </is>
      </c>
      <c r="C112" t="inlineStr">
        <is>
          <t>新浪财经／微信公众号转载</t>
        </is>
      </c>
      <c r="D112" t="n">
        <v>1</v>
      </c>
      <c r="E112" t="inlineStr">
        <is>
          <t>自动统计：事实表去重账号数（无账号记录按平台计1）</t>
        </is>
      </c>
    </row>
    <row r="113">
      <c r="A113" t="inlineStr">
        <is>
          <t>查看信息</t>
        </is>
      </c>
      <c r="B113" t="inlineStr">
        <is>
          <t>原平台组</t>
        </is>
      </c>
      <c r="C113" t="inlineStr">
        <is>
          <t>新浪财经／微信公众号转载</t>
        </is>
      </c>
      <c r="D113" t="n">
        <v>2</v>
      </c>
      <c r="E113" t="inlineStr">
        <is>
          <t>自动统计：事实表记录条数</t>
        </is>
      </c>
    </row>
    <row r="114">
      <c r="A114" t="inlineStr">
        <is>
          <t>监测来源</t>
        </is>
      </c>
      <c r="B114" t="inlineStr">
        <is>
          <t>原平台组</t>
        </is>
      </c>
      <c r="C114" t="inlineStr">
        <is>
          <t>新湖南客户端</t>
        </is>
      </c>
      <c r="D114" t="n">
        <v>2</v>
      </c>
      <c r="E114" t="inlineStr">
        <is>
          <t>自动统计：事实表去重账号数（无账号记录按平台计1）</t>
        </is>
      </c>
    </row>
    <row r="115">
      <c r="A115" t="inlineStr">
        <is>
          <t>查看信息</t>
        </is>
      </c>
      <c r="B115" t="inlineStr">
        <is>
          <t>原平台组</t>
        </is>
      </c>
      <c r="C115" t="inlineStr">
        <is>
          <t>新湖南客户端</t>
        </is>
      </c>
      <c r="D115" t="n">
        <v>2</v>
      </c>
      <c r="E115" t="inlineStr">
        <is>
          <t>自动统计：事实表记录条数</t>
        </is>
      </c>
    </row>
    <row r="116">
      <c r="A116" t="inlineStr">
        <is>
          <t>监测来源</t>
        </is>
      </c>
      <c r="B116" t="inlineStr">
        <is>
          <t>原平台组</t>
        </is>
      </c>
      <c r="C116" t="inlineStr">
        <is>
          <t>新疆人大</t>
        </is>
      </c>
      <c r="D116" t="n">
        <v>1</v>
      </c>
      <c r="E116" t="inlineStr">
        <is>
          <t>自动统计：事实表去重账号数（无账号记录按平台计1）</t>
        </is>
      </c>
    </row>
    <row r="117">
      <c r="A117" t="inlineStr">
        <is>
          <t>查看信息</t>
        </is>
      </c>
      <c r="B117" t="inlineStr">
        <is>
          <t>原平台组</t>
        </is>
      </c>
      <c r="C117" t="inlineStr">
        <is>
          <t>新疆人大</t>
        </is>
      </c>
      <c r="D117" t="n">
        <v>1</v>
      </c>
      <c r="E117" t="inlineStr">
        <is>
          <t>自动统计：事实表记录条数</t>
        </is>
      </c>
    </row>
    <row r="118">
      <c r="A118" t="inlineStr">
        <is>
          <t>监测来源</t>
        </is>
      </c>
      <c r="B118" t="inlineStr">
        <is>
          <t>原平台组</t>
        </is>
      </c>
      <c r="C118" t="inlineStr">
        <is>
          <t>湖北省民族宗教事务委员会</t>
        </is>
      </c>
      <c r="D118" t="n">
        <v>2</v>
      </c>
      <c r="E118" t="inlineStr">
        <is>
          <t>自动统计：事实表去重账号数（无账号记录按平台计1）</t>
        </is>
      </c>
    </row>
    <row r="119">
      <c r="A119" t="inlineStr">
        <is>
          <t>查看信息</t>
        </is>
      </c>
      <c r="B119" t="inlineStr">
        <is>
          <t>原平台组</t>
        </is>
      </c>
      <c r="C119" t="inlineStr">
        <is>
          <t>湖北省民族宗教事务委员会</t>
        </is>
      </c>
      <c r="D119" t="n">
        <v>3</v>
      </c>
      <c r="E119" t="inlineStr">
        <is>
          <t>自动统计：事实表记录条数</t>
        </is>
      </c>
    </row>
    <row r="120">
      <c r="A120" t="inlineStr">
        <is>
          <t>监测来源</t>
        </is>
      </c>
      <c r="B120" t="inlineStr">
        <is>
          <t>原平台组</t>
        </is>
      </c>
      <c r="C120" t="inlineStr">
        <is>
          <t>澎湃新闻</t>
        </is>
      </c>
      <c r="D120" t="n">
        <v>1</v>
      </c>
      <c r="E120" t="inlineStr">
        <is>
          <t>自动统计：事实表去重账号数（无账号记录按平台计1）</t>
        </is>
      </c>
    </row>
    <row r="121">
      <c r="A121" t="inlineStr">
        <is>
          <t>查看信息</t>
        </is>
      </c>
      <c r="B121" t="inlineStr">
        <is>
          <t>原平台组</t>
        </is>
      </c>
      <c r="C121" t="inlineStr">
        <is>
          <t>澎湃新闻</t>
        </is>
      </c>
      <c r="D121" t="n">
        <v>1</v>
      </c>
      <c r="E121" t="inlineStr">
        <is>
          <t>自动统计：事实表记录条数</t>
        </is>
      </c>
    </row>
    <row r="122">
      <c r="A122" t="inlineStr">
        <is>
          <t>监测来源</t>
        </is>
      </c>
      <c r="B122" t="inlineStr">
        <is>
          <t>原平台组</t>
        </is>
      </c>
      <c r="C122" t="inlineStr">
        <is>
          <t>知乎</t>
        </is>
      </c>
      <c r="D122" t="n">
        <v>10</v>
      </c>
      <c r="E122" t="inlineStr">
        <is>
          <t>自动统计：事实表去重账号数（无账号记录按平台计1）</t>
        </is>
      </c>
    </row>
    <row r="123">
      <c r="A123" t="inlineStr">
        <is>
          <t>查看信息</t>
        </is>
      </c>
      <c r="B123" t="inlineStr">
        <is>
          <t>原平台组</t>
        </is>
      </c>
      <c r="C123" t="inlineStr">
        <is>
          <t>知乎</t>
        </is>
      </c>
      <c r="D123" t="n">
        <v>11</v>
      </c>
      <c r="E123" t="inlineStr">
        <is>
          <t>自动统计：事实表记录条数</t>
        </is>
      </c>
    </row>
    <row r="124">
      <c r="A124" t="inlineStr">
        <is>
          <t>监测来源</t>
        </is>
      </c>
      <c r="B124" t="inlineStr">
        <is>
          <t>原平台组</t>
        </is>
      </c>
      <c r="C124" t="inlineStr">
        <is>
          <t>石榴云-新疆日报</t>
        </is>
      </c>
      <c r="D124" t="n">
        <v>1</v>
      </c>
      <c r="E124" t="inlineStr">
        <is>
          <t>自动统计：事实表去重账号数（无账号记录按平台计1）</t>
        </is>
      </c>
    </row>
    <row r="125">
      <c r="A125" t="inlineStr">
        <is>
          <t>查看信息</t>
        </is>
      </c>
      <c r="B125" t="inlineStr">
        <is>
          <t>原平台组</t>
        </is>
      </c>
      <c r="C125" t="inlineStr">
        <is>
          <t>石榴云-新疆日报</t>
        </is>
      </c>
      <c r="D125" t="n">
        <v>1</v>
      </c>
      <c r="E125" t="inlineStr">
        <is>
          <t>自动统计：事实表记录条数</t>
        </is>
      </c>
    </row>
    <row r="126">
      <c r="A126" t="inlineStr">
        <is>
          <t>监测来源</t>
        </is>
      </c>
      <c r="B126" t="inlineStr">
        <is>
          <t>原平台组</t>
        </is>
      </c>
      <c r="C126" t="inlineStr">
        <is>
          <t>红河州人民政府网站</t>
        </is>
      </c>
      <c r="D126" t="n">
        <v>2</v>
      </c>
      <c r="E126" t="inlineStr">
        <is>
          <t>自动统计：事实表去重账号数（无账号记录按平台计1）</t>
        </is>
      </c>
    </row>
    <row r="127">
      <c r="A127" t="inlineStr">
        <is>
          <t>查看信息</t>
        </is>
      </c>
      <c r="B127" t="inlineStr">
        <is>
          <t>原平台组</t>
        </is>
      </c>
      <c r="C127" t="inlineStr">
        <is>
          <t>红河州人民政府网站</t>
        </is>
      </c>
      <c r="D127" t="n">
        <v>4</v>
      </c>
      <c r="E127" t="inlineStr">
        <is>
          <t>自动统计：事实表记录条数</t>
        </is>
      </c>
    </row>
    <row r="128">
      <c r="A128" t="inlineStr">
        <is>
          <t>监测来源</t>
        </is>
      </c>
      <c r="B128" t="inlineStr">
        <is>
          <t>原平台组</t>
        </is>
      </c>
      <c r="C128" t="inlineStr">
        <is>
          <t>红网</t>
        </is>
      </c>
      <c r="D128" t="n">
        <v>1</v>
      </c>
      <c r="E128" t="inlineStr">
        <is>
          <t>自动统计：事实表去重账号数（无账号记录按平台计1）</t>
        </is>
      </c>
    </row>
    <row r="129">
      <c r="A129" t="inlineStr">
        <is>
          <t>查看信息</t>
        </is>
      </c>
      <c r="B129" t="inlineStr">
        <is>
          <t>原平台组</t>
        </is>
      </c>
      <c r="C129" t="inlineStr">
        <is>
          <t>红网</t>
        </is>
      </c>
      <c r="D129" t="n">
        <v>1</v>
      </c>
      <c r="E129" t="inlineStr">
        <is>
          <t>自动统计：事实表记录条数</t>
        </is>
      </c>
    </row>
    <row r="130">
      <c r="A130" t="inlineStr">
        <is>
          <t>监测来源</t>
        </is>
      </c>
      <c r="B130" t="inlineStr">
        <is>
          <t>原平台组</t>
        </is>
      </c>
      <c r="C130" t="inlineStr">
        <is>
          <t>腾讯新闻</t>
        </is>
      </c>
      <c r="D130" t="n">
        <v>1</v>
      </c>
      <c r="E130" t="inlineStr">
        <is>
          <t>自动统计：事实表去重账号数（无账号记录按平台计1）</t>
        </is>
      </c>
    </row>
    <row r="131">
      <c r="A131" t="inlineStr">
        <is>
          <t>查看信息</t>
        </is>
      </c>
      <c r="B131" t="inlineStr">
        <is>
          <t>原平台组</t>
        </is>
      </c>
      <c r="C131" t="inlineStr">
        <is>
          <t>腾讯新闻</t>
        </is>
      </c>
      <c r="D131" t="n">
        <v>1</v>
      </c>
      <c r="E131" t="inlineStr">
        <is>
          <t>自动统计：事实表记录条数</t>
        </is>
      </c>
    </row>
    <row r="132">
      <c r="A132" t="inlineStr">
        <is>
          <t>监测来源</t>
        </is>
      </c>
      <c r="B132" t="inlineStr">
        <is>
          <t>原平台组</t>
        </is>
      </c>
      <c r="C132" t="inlineStr">
        <is>
          <t>腾讯新闻/企鹅号</t>
        </is>
      </c>
      <c r="D132" t="n">
        <v>1</v>
      </c>
      <c r="E132" t="inlineStr">
        <is>
          <t>自动统计：事实表去重账号数（无账号记录按平台计1）</t>
        </is>
      </c>
    </row>
    <row r="133">
      <c r="A133" t="inlineStr">
        <is>
          <t>查看信息</t>
        </is>
      </c>
      <c r="B133" t="inlineStr">
        <is>
          <t>原平台组</t>
        </is>
      </c>
      <c r="C133" t="inlineStr">
        <is>
          <t>腾讯新闻/企鹅号</t>
        </is>
      </c>
      <c r="D133" t="n">
        <v>4</v>
      </c>
      <c r="E133" t="inlineStr">
        <is>
          <t>自动统计：事实表记录条数</t>
        </is>
      </c>
    </row>
    <row r="134">
      <c r="A134" t="inlineStr">
        <is>
          <t>监测来源</t>
        </is>
      </c>
      <c r="B134" t="inlineStr">
        <is>
          <t>原平台组</t>
        </is>
      </c>
      <c r="C134" t="inlineStr">
        <is>
          <t>腾讯新闻/红网</t>
        </is>
      </c>
      <c r="D134" t="n">
        <v>2</v>
      </c>
      <c r="E134" t="inlineStr">
        <is>
          <t>自动统计：事实表去重账号数（无账号记录按平台计1）</t>
        </is>
      </c>
    </row>
    <row r="135">
      <c r="A135" t="inlineStr">
        <is>
          <t>查看信息</t>
        </is>
      </c>
      <c r="B135" t="inlineStr">
        <is>
          <t>原平台组</t>
        </is>
      </c>
      <c r="C135" t="inlineStr">
        <is>
          <t>腾讯新闻/红网</t>
        </is>
      </c>
      <c r="D135" t="n">
        <v>2</v>
      </c>
      <c r="E135" t="inlineStr">
        <is>
          <t>自动统计：事实表记录条数</t>
        </is>
      </c>
    </row>
    <row r="136">
      <c r="A136" t="inlineStr">
        <is>
          <t>监测来源</t>
        </is>
      </c>
      <c r="B136" t="inlineStr">
        <is>
          <t>原平台组</t>
        </is>
      </c>
      <c r="C136" t="inlineStr">
        <is>
          <t>腾讯新闻/金台资讯</t>
        </is>
      </c>
      <c r="D136" t="n">
        <v>2</v>
      </c>
      <c r="E136" t="inlineStr">
        <is>
          <t>自动统计：事实表去重账号数（无账号记录按平台计1）</t>
        </is>
      </c>
    </row>
    <row r="137">
      <c r="A137" t="inlineStr">
        <is>
          <t>查看信息</t>
        </is>
      </c>
      <c r="B137" t="inlineStr">
        <is>
          <t>原平台组</t>
        </is>
      </c>
      <c r="C137" t="inlineStr">
        <is>
          <t>腾讯新闻/金台资讯</t>
        </is>
      </c>
      <c r="D137" t="n">
        <v>2</v>
      </c>
      <c r="E137" t="inlineStr">
        <is>
          <t>自动统计：事实表记录条数</t>
        </is>
      </c>
    </row>
    <row r="138">
      <c r="A138" t="inlineStr">
        <is>
          <t>监测来源</t>
        </is>
      </c>
      <c r="B138" t="inlineStr">
        <is>
          <t>原平台组</t>
        </is>
      </c>
      <c r="C138" t="inlineStr">
        <is>
          <t>腾讯新闻（博州发布账号）</t>
        </is>
      </c>
      <c r="D138" t="n">
        <v>1</v>
      </c>
      <c r="E138" t="inlineStr">
        <is>
          <t>自动统计：事实表去重账号数（无账号记录按平台计1）</t>
        </is>
      </c>
    </row>
    <row r="139">
      <c r="A139" t="inlineStr">
        <is>
          <t>查看信息</t>
        </is>
      </c>
      <c r="B139" t="inlineStr">
        <is>
          <t>原平台组</t>
        </is>
      </c>
      <c r="C139" t="inlineStr">
        <is>
          <t>腾讯新闻（博州发布账号）</t>
        </is>
      </c>
      <c r="D139" t="n">
        <v>2</v>
      </c>
      <c r="E139" t="inlineStr">
        <is>
          <t>自动统计：事实表记录条数</t>
        </is>
      </c>
    </row>
    <row r="140">
      <c r="A140" t="inlineStr">
        <is>
          <t>监测来源</t>
        </is>
      </c>
      <c r="B140" t="inlineStr">
        <is>
          <t>原平台组</t>
        </is>
      </c>
      <c r="C140" t="inlineStr">
        <is>
          <t>西藏自治区政府驻沪办网站</t>
        </is>
      </c>
      <c r="D140" t="n">
        <v>1</v>
      </c>
      <c r="E140" t="inlineStr">
        <is>
          <t>自动统计：事实表去重账号数（无账号记录按平台计1）</t>
        </is>
      </c>
    </row>
    <row r="141">
      <c r="A141" t="inlineStr">
        <is>
          <t>查看信息</t>
        </is>
      </c>
      <c r="B141" t="inlineStr">
        <is>
          <t>原平台组</t>
        </is>
      </c>
      <c r="C141" t="inlineStr">
        <is>
          <t>西藏自治区政府驻沪办网站</t>
        </is>
      </c>
      <c r="D141" t="n">
        <v>1</v>
      </c>
      <c r="E141" t="inlineStr">
        <is>
          <t>自动统计：事实表记录条数</t>
        </is>
      </c>
    </row>
    <row r="142">
      <c r="A142" t="inlineStr">
        <is>
          <t>监测来源</t>
        </is>
      </c>
      <c r="B142" t="inlineStr">
        <is>
          <t>原平台组</t>
        </is>
      </c>
      <c r="C142" t="inlineStr">
        <is>
          <t>视频号</t>
        </is>
      </c>
      <c r="D142" t="n">
        <v>8</v>
      </c>
      <c r="E142" t="inlineStr">
        <is>
          <t>自动统计：事实表去重账号数（无账号记录按平台计1）</t>
        </is>
      </c>
    </row>
    <row r="143">
      <c r="A143" t="inlineStr">
        <is>
          <t>查看信息</t>
        </is>
      </c>
      <c r="B143" t="inlineStr">
        <is>
          <t>原平台组</t>
        </is>
      </c>
      <c r="C143" t="inlineStr">
        <is>
          <t>视频号</t>
        </is>
      </c>
      <c r="D143" t="n">
        <v>13</v>
      </c>
      <c r="E143" t="inlineStr">
        <is>
          <t>自动统计：事实表记录条数</t>
        </is>
      </c>
    </row>
    <row r="144">
      <c r="A144" t="inlineStr">
        <is>
          <t>监测来源</t>
        </is>
      </c>
      <c r="B144" t="inlineStr">
        <is>
          <t>原平台组</t>
        </is>
      </c>
      <c r="C144" t="inlineStr">
        <is>
          <t>豆瓣</t>
        </is>
      </c>
      <c r="D144" t="n">
        <v>2</v>
      </c>
      <c r="E144" t="inlineStr">
        <is>
          <t>自动统计：事实表去重账号数（无账号记录按平台计1）</t>
        </is>
      </c>
    </row>
    <row r="145">
      <c r="A145" t="inlineStr">
        <is>
          <t>查看信息</t>
        </is>
      </c>
      <c r="B145" t="inlineStr">
        <is>
          <t>原平台组</t>
        </is>
      </c>
      <c r="C145" t="inlineStr">
        <is>
          <t>豆瓣</t>
        </is>
      </c>
      <c r="D145" t="n">
        <v>2</v>
      </c>
      <c r="E145" t="inlineStr">
        <is>
          <t>自动统计：事实表记录条数</t>
        </is>
      </c>
    </row>
    <row r="146">
      <c r="A146" t="inlineStr">
        <is>
          <t>监测来源</t>
        </is>
      </c>
      <c r="B146" t="inlineStr">
        <is>
          <t>原平台组</t>
        </is>
      </c>
      <c r="C146" t="inlineStr">
        <is>
          <t>账号/栏目</t>
        </is>
      </c>
      <c r="D146" t="n">
        <v>1</v>
      </c>
      <c r="E146" t="inlineStr">
        <is>
          <t>自动统计：事实表去重账号数（无账号记录按平台计1）</t>
        </is>
      </c>
    </row>
    <row r="147">
      <c r="A147" t="inlineStr">
        <is>
          <t>查看信息</t>
        </is>
      </c>
      <c r="B147" t="inlineStr">
        <is>
          <t>原平台组</t>
        </is>
      </c>
      <c r="C147" t="inlineStr">
        <is>
          <t>账号/栏目</t>
        </is>
      </c>
      <c r="D147" t="n">
        <v>1</v>
      </c>
      <c r="E147" t="inlineStr">
        <is>
          <t>自动统计：事实表记录条数</t>
        </is>
      </c>
    </row>
    <row r="148">
      <c r="A148" t="inlineStr">
        <is>
          <t>监测来源</t>
        </is>
      </c>
      <c r="B148" t="inlineStr">
        <is>
          <t>原平台组</t>
        </is>
      </c>
      <c r="C148" t="inlineStr">
        <is>
          <t>贵州民族报</t>
        </is>
      </c>
      <c r="D148" t="n">
        <v>7</v>
      </c>
      <c r="E148" t="inlineStr">
        <is>
          <t>自动统计：事实表去重账号数（无账号记录按平台计1）</t>
        </is>
      </c>
    </row>
    <row r="149">
      <c r="A149" t="inlineStr">
        <is>
          <t>查看信息</t>
        </is>
      </c>
      <c r="B149" t="inlineStr">
        <is>
          <t>原平台组</t>
        </is>
      </c>
      <c r="C149" t="inlineStr">
        <is>
          <t>贵州民族报</t>
        </is>
      </c>
      <c r="D149" t="n">
        <v>7</v>
      </c>
      <c r="E149" t="inlineStr">
        <is>
          <t>自动统计：事实表记录条数</t>
        </is>
      </c>
    </row>
    <row r="150">
      <c r="A150" t="inlineStr">
        <is>
          <t>监测来源</t>
        </is>
      </c>
      <c r="B150" t="inlineStr">
        <is>
          <t>原平台组</t>
        </is>
      </c>
      <c r="C150" t="inlineStr">
        <is>
          <t>重庆市民族宗教事务委员会</t>
        </is>
      </c>
      <c r="D150" t="n">
        <v>5</v>
      </c>
      <c r="E150" t="inlineStr">
        <is>
          <t>自动统计：事实表去重账号数（无账号记录按平台计1）</t>
        </is>
      </c>
    </row>
    <row r="151">
      <c r="A151" t="inlineStr">
        <is>
          <t>查看信息</t>
        </is>
      </c>
      <c r="B151" t="inlineStr">
        <is>
          <t>原平台组</t>
        </is>
      </c>
      <c r="C151" t="inlineStr">
        <is>
          <t>重庆市民族宗教事务委员会</t>
        </is>
      </c>
      <c r="D151" t="n">
        <v>5</v>
      </c>
      <c r="E151" t="inlineStr">
        <is>
          <t>自动统计：事实表记录条数</t>
        </is>
      </c>
    </row>
    <row r="152">
      <c r="A152" t="inlineStr">
        <is>
          <t>监测来源</t>
        </is>
      </c>
      <c r="B152" t="inlineStr">
        <is>
          <t>原平台组</t>
        </is>
      </c>
      <c r="C152" t="inlineStr">
        <is>
          <t>雪都视野（阿勒泰市官方网易号）</t>
        </is>
      </c>
      <c r="D152" t="n">
        <v>1</v>
      </c>
      <c r="E152" t="inlineStr">
        <is>
          <t>自动统计：事实表去重账号数（无账号记录按平台计1）</t>
        </is>
      </c>
    </row>
    <row r="153">
      <c r="A153" t="inlineStr">
        <is>
          <t>查看信息</t>
        </is>
      </c>
      <c r="B153" t="inlineStr">
        <is>
          <t>原平台组</t>
        </is>
      </c>
      <c r="C153" t="inlineStr">
        <is>
          <t>雪都视野（阿勒泰市官方网易号）</t>
        </is>
      </c>
      <c r="D153" t="n">
        <v>12</v>
      </c>
      <c r="E153" t="inlineStr">
        <is>
          <t>自动统计：事实表记录条数</t>
        </is>
      </c>
    </row>
    <row r="154">
      <c r="A154" t="inlineStr">
        <is>
          <t>监测来源</t>
        </is>
      </c>
      <c r="B154" t="inlineStr">
        <is>
          <t>原平台组</t>
        </is>
      </c>
      <c r="C154" t="inlineStr">
        <is>
          <t>黔东南州人大常委会</t>
        </is>
      </c>
      <c r="D154" t="n">
        <v>1</v>
      </c>
      <c r="E154" t="inlineStr">
        <is>
          <t>自动统计：事实表去重账号数（无账号记录按平台计1）</t>
        </is>
      </c>
    </row>
    <row r="155">
      <c r="A155" t="inlineStr">
        <is>
          <t>查看信息</t>
        </is>
      </c>
      <c r="B155" t="inlineStr">
        <is>
          <t>原平台组</t>
        </is>
      </c>
      <c r="C155" t="inlineStr">
        <is>
          <t>黔东南州人大常委会</t>
        </is>
      </c>
      <c r="D155" t="n">
        <v>1</v>
      </c>
      <c r="E155" t="inlineStr">
        <is>
          <t>自动统计：事实表记录条数</t>
        </is>
      </c>
    </row>
    <row r="156">
      <c r="A156" t="inlineStr">
        <is>
          <t>监测来源</t>
        </is>
      </c>
      <c r="B156" t="inlineStr">
        <is>
          <t>合计（自动）</t>
        </is>
      </c>
      <c r="C156" t="inlineStr">
        <is>
          <t>-</t>
        </is>
      </c>
      <c r="D156" t="n">
        <v>327</v>
      </c>
      <c r="E156" t="inlineStr">
        <is>
          <t>自动统计：按平台去重账号数合计</t>
        </is>
      </c>
    </row>
    <row r="157">
      <c r="A157" t="inlineStr">
        <is>
          <t>查看信息</t>
        </is>
      </c>
      <c r="B157" t="inlineStr">
        <is>
          <t>合计（自动）</t>
        </is>
      </c>
      <c r="C157" t="inlineStr">
        <is>
          <t>-</t>
        </is>
      </c>
      <c r="D157" t="n">
        <v>607</v>
      </c>
      <c r="E157" t="inlineStr">
        <is>
          <t>自动统计：事实表记录条数合计</t>
        </is>
      </c>
    </row>
  </sheetData>
  <conditionalFormatting sqref="A2:E9">
    <cfRule type="expression" priority="1" dxfId="1">
      <formula>MOD(ROW(),2)=0</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6"/>
  <sheetViews>
    <sheetView showGridLines="0" workbookViewId="0">
      <pane ySplit="1" topLeftCell="A2" activePane="bottomLeft" state="frozen"/>
      <selection pane="bottomLeft" activeCell="A1" sqref="A1"/>
    </sheetView>
  </sheetViews>
  <sheetFormatPr baseColWidth="8" defaultRowHeight="15"/>
  <cols>
    <col width="8" customWidth="1" style="23" min="1" max="1"/>
    <col width="19" customWidth="1" style="23" min="2" max="2"/>
    <col width="12" customWidth="1" style="23" min="3" max="3"/>
    <col width="15" customWidth="1" style="23" min="4" max="4"/>
    <col width="48" customWidth="1" style="23" min="5" max="5"/>
    <col width="11" customWidth="1" style="23" min="6" max="6"/>
    <col width="11" customWidth="1" style="23" min="7" max="7"/>
    <col width="11" customWidth="1" style="23" min="8" max="8"/>
    <col width="18" customWidth="1" style="23" min="9" max="9"/>
    <col width="32" customWidth="1" style="23" min="10" max="10"/>
  </cols>
  <sheetData>
    <row r="1" ht="34" customHeight="1" s="23">
      <c r="A1" s="78" t="inlineStr">
        <is>
          <t>排名</t>
        </is>
      </c>
      <c r="B1" s="78" t="inlineStr">
        <is>
          <t>唯一编号</t>
        </is>
      </c>
      <c r="C1" s="78" t="inlineStr">
        <is>
          <t>平台</t>
        </is>
      </c>
      <c r="D1" s="78" t="inlineStr">
        <is>
          <t>账号</t>
        </is>
      </c>
      <c r="E1" s="78" t="inlineStr">
        <is>
          <t>标题/摘要</t>
        </is>
      </c>
      <c r="F1" s="78" t="inlineStr">
        <is>
          <t>点赞量</t>
        </is>
      </c>
      <c r="G1" s="78" t="inlineStr">
        <is>
          <t>评论量</t>
        </is>
      </c>
      <c r="H1" s="78" t="inlineStr">
        <is>
          <t>转发量</t>
        </is>
      </c>
      <c r="I1" s="78" t="inlineStr">
        <is>
          <t>发布时间</t>
        </is>
      </c>
      <c r="J1" s="78" t="inlineStr">
        <is>
          <t>原始链接</t>
        </is>
      </c>
    </row>
    <row r="2" ht="44" customHeight="1" s="23">
      <c r="A2" s="71" t="n">
        <v>1</v>
      </c>
      <c r="B2" s="73" t="inlineStr">
        <is>
          <t>OQ-20260814-0001</t>
        </is>
      </c>
      <c r="C2" s="73">
        <f>VLOOKUP($B2,'舆情事实表'!$A$2:$X$13,4,FALSE)</f>
        <v/>
      </c>
      <c r="D2" s="73">
        <f>VLOOKUP($B2,'舆情事实表'!$A$2:$X$13,7,FALSE)</f>
        <v/>
      </c>
      <c r="E2" s="73">
        <f>LEFT(VLOOKUP($B2,'舆情事实表'!$A$2:$X$13,8,FALSE),24)</f>
        <v/>
      </c>
      <c r="F2" s="74">
        <f>VLOOKUP($B2,'舆情事实表'!$A$2:$X$13,19,FALSE)</f>
        <v/>
      </c>
      <c r="G2" s="74">
        <f>VLOOKUP($B2,'舆情事实表'!$A$2:$X$13,20,FALSE)</f>
        <v/>
      </c>
      <c r="H2" s="74">
        <f>VLOOKUP($B2,'舆情事实表'!$A$2:$X$13,21,FALSE)</f>
        <v/>
      </c>
      <c r="I2" s="72">
        <f>VLOOKUP($B2,'舆情事实表'!$A$2:$X$13,3,FALSE)</f>
        <v/>
      </c>
      <c r="J2" s="73">
        <f>VLOOKUP($B2,'舆情事实表'!$A$2:$X$13,9,FALSE)</f>
        <v/>
      </c>
    </row>
    <row r="3" ht="44" customHeight="1" s="23">
      <c r="A3" s="71" t="n">
        <v>2</v>
      </c>
      <c r="B3" s="73" t="inlineStr">
        <is>
          <t>OQ-20260814-0009</t>
        </is>
      </c>
      <c r="C3" s="73">
        <f>VLOOKUP($B3,'舆情事实表'!$A$2:$X$13,4,FALSE)</f>
        <v/>
      </c>
      <c r="D3" s="73">
        <f>VLOOKUP($B3,'舆情事实表'!$A$2:$X$13,7,FALSE)</f>
        <v/>
      </c>
      <c r="E3" s="73">
        <f>LEFT(VLOOKUP($B3,'舆情事实表'!$A$2:$X$13,8,FALSE),24)</f>
        <v/>
      </c>
      <c r="F3" s="74">
        <f>VLOOKUP($B3,'舆情事实表'!$A$2:$X$13,19,FALSE)</f>
        <v/>
      </c>
      <c r="G3" s="74">
        <f>VLOOKUP($B3,'舆情事实表'!$A$2:$X$13,20,FALSE)</f>
        <v/>
      </c>
      <c r="H3" s="74">
        <f>VLOOKUP($B3,'舆情事实表'!$A$2:$X$13,21,FALSE)</f>
        <v/>
      </c>
      <c r="I3" s="72">
        <f>VLOOKUP($B3,'舆情事实表'!$A$2:$X$13,3,FALSE)</f>
        <v/>
      </c>
      <c r="J3" s="73">
        <f>VLOOKUP($B3,'舆情事实表'!$A$2:$X$13,9,FALSE)</f>
        <v/>
      </c>
    </row>
    <row r="4" ht="44" customHeight="1" s="23">
      <c r="A4" s="71" t="n">
        <v>3</v>
      </c>
      <c r="B4" s="73" t="inlineStr">
        <is>
          <t>OQ-20260814-0006</t>
        </is>
      </c>
      <c r="C4" s="73">
        <f>VLOOKUP($B4,'舆情事实表'!$A$2:$X$13,4,FALSE)</f>
        <v/>
      </c>
      <c r="D4" s="73">
        <f>VLOOKUP($B4,'舆情事实表'!$A$2:$X$13,7,FALSE)</f>
        <v/>
      </c>
      <c r="E4" s="73">
        <f>LEFT(VLOOKUP($B4,'舆情事实表'!$A$2:$X$13,8,FALSE),24)</f>
        <v/>
      </c>
      <c r="F4" s="74">
        <f>VLOOKUP($B4,'舆情事实表'!$A$2:$X$13,19,FALSE)</f>
        <v/>
      </c>
      <c r="G4" s="74">
        <f>VLOOKUP($B4,'舆情事实表'!$A$2:$X$13,20,FALSE)</f>
        <v/>
      </c>
      <c r="H4" s="74">
        <f>VLOOKUP($B4,'舆情事实表'!$A$2:$X$13,21,FALSE)</f>
        <v/>
      </c>
      <c r="I4" s="72">
        <f>VLOOKUP($B4,'舆情事实表'!$A$2:$X$13,3,FALSE)</f>
        <v/>
      </c>
      <c r="J4" s="73">
        <f>VLOOKUP($B4,'舆情事实表'!$A$2:$X$13,9,FALSE)</f>
        <v/>
      </c>
    </row>
    <row r="5" ht="44" customHeight="1" s="23">
      <c r="A5" s="71" t="n">
        <v>4</v>
      </c>
      <c r="B5" s="73" t="inlineStr">
        <is>
          <t>OQ-20260814-0003</t>
        </is>
      </c>
      <c r="C5" s="73">
        <f>VLOOKUP($B5,'舆情事实表'!$A$2:$X$13,4,FALSE)</f>
        <v/>
      </c>
      <c r="D5" s="73">
        <f>VLOOKUP($B5,'舆情事实表'!$A$2:$X$13,7,FALSE)</f>
        <v/>
      </c>
      <c r="E5" s="73">
        <f>LEFT(VLOOKUP($B5,'舆情事实表'!$A$2:$X$13,8,FALSE),24)</f>
        <v/>
      </c>
      <c r="F5" s="74">
        <f>VLOOKUP($B5,'舆情事实表'!$A$2:$X$13,19,FALSE)</f>
        <v/>
      </c>
      <c r="G5" s="74">
        <f>VLOOKUP($B5,'舆情事实表'!$A$2:$X$13,20,FALSE)</f>
        <v/>
      </c>
      <c r="H5" s="74">
        <f>VLOOKUP($B5,'舆情事实表'!$A$2:$X$13,21,FALSE)</f>
        <v/>
      </c>
      <c r="I5" s="72">
        <f>VLOOKUP($B5,'舆情事实表'!$A$2:$X$13,3,FALSE)</f>
        <v/>
      </c>
      <c r="J5" s="73">
        <f>VLOOKUP($B5,'舆情事实表'!$A$2:$X$13,9,FALSE)</f>
        <v/>
      </c>
    </row>
    <row r="6" ht="44" customHeight="1" s="23">
      <c r="A6" s="71" t="n">
        <v>5</v>
      </c>
      <c r="B6" s="73" t="inlineStr">
        <is>
          <t>OQ-20260814-0012</t>
        </is>
      </c>
      <c r="C6" s="73">
        <f>VLOOKUP($B6,'舆情事实表'!$A$2:$X$13,4,FALSE)</f>
        <v/>
      </c>
      <c r="D6" s="73">
        <f>VLOOKUP($B6,'舆情事实表'!$A$2:$X$13,7,FALSE)</f>
        <v/>
      </c>
      <c r="E6" s="73">
        <f>LEFT(VLOOKUP($B6,'舆情事实表'!$A$2:$X$13,8,FALSE),24)</f>
        <v/>
      </c>
      <c r="F6" s="74">
        <f>VLOOKUP($B6,'舆情事实表'!$A$2:$X$13,19,FALSE)</f>
        <v/>
      </c>
      <c r="G6" s="74">
        <f>VLOOKUP($B6,'舆情事实表'!$A$2:$X$13,20,FALSE)</f>
        <v/>
      </c>
      <c r="H6" s="74">
        <f>VLOOKUP($B6,'舆情事实表'!$A$2:$X$13,21,FALSE)</f>
        <v/>
      </c>
      <c r="I6" s="72">
        <f>VLOOKUP($B6,'舆情事实表'!$A$2:$X$13,3,FALSE)</f>
        <v/>
      </c>
      <c r="J6" s="73">
        <f>VLOOKUP($B6,'舆情事实表'!$A$2:$X$13,9,FALSE)</f>
        <v/>
      </c>
    </row>
  </sheetData>
  <conditionalFormatting sqref="A2:J6">
    <cfRule type="expression" priority="1" dxfId="1">
      <formula>MOD(ROW(),2)=0</formula>
    </cfRule>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1"/>
  <sheetViews>
    <sheetView showGridLines="0" workbookViewId="0">
      <pane ySplit="1" topLeftCell="A2" activePane="bottomLeft" state="frozen"/>
      <selection pane="bottomLeft" activeCell="A1" sqref="A1"/>
    </sheetView>
  </sheetViews>
  <sheetFormatPr baseColWidth="8" defaultRowHeight="15"/>
  <cols>
    <col width="14" customWidth="1" style="23" min="1" max="1"/>
    <col width="18" customWidth="1" style="23" min="2" max="2"/>
    <col width="11" customWidth="1" style="23" min="3" max="3"/>
    <col width="14" customWidth="1" style="23" min="4" max="4"/>
    <col width="48" customWidth="1" style="23" min="5" max="5"/>
    <col width="10" customWidth="1" style="23" min="6" max="6"/>
    <col width="10" customWidth="1" style="23" min="7" max="7"/>
    <col width="10" customWidth="1" style="23" min="8" max="8"/>
    <col width="11" customWidth="1" style="23" min="9" max="9"/>
    <col width="12" customWidth="1" style="23" min="10" max="10"/>
    <col width="40" customWidth="1" style="23" min="11" max="11"/>
  </cols>
  <sheetData>
    <row r="1" ht="34" customHeight="1" s="23">
      <c r="A1" s="78" t="inlineStr">
        <is>
          <t>唯一编号</t>
        </is>
      </c>
      <c r="B1" s="78" t="inlineStr">
        <is>
          <t>采集时间</t>
        </is>
      </c>
      <c r="C1" s="78" t="inlineStr">
        <is>
          <t>平台</t>
        </is>
      </c>
      <c r="D1" s="78" t="inlineStr">
        <is>
          <t>账号</t>
        </is>
      </c>
      <c r="E1" s="78" t="inlineStr">
        <is>
          <t>正文</t>
        </is>
      </c>
      <c r="F1" s="78" t="inlineStr">
        <is>
          <t>地区</t>
        </is>
      </c>
      <c r="G1" s="78" t="inlineStr">
        <is>
          <t>省份</t>
        </is>
      </c>
      <c r="H1" s="78" t="inlineStr">
        <is>
          <t>语言</t>
        </is>
      </c>
      <c r="I1" s="78" t="inlineStr">
        <is>
          <t>总体态度</t>
        </is>
      </c>
      <c r="J1" s="78" t="inlineStr">
        <is>
          <t>清洗状态</t>
        </is>
      </c>
      <c r="K1" s="78" t="inlineStr">
        <is>
          <t>未通过原因/待办</t>
        </is>
      </c>
    </row>
    <row r="2" ht="50" customHeight="1" s="23"/>
    <row r="3" ht="50" customHeight="1" s="23"/>
  </sheetData>
  <conditionalFormatting sqref="J2:J10">
    <cfRule type="containsText" priority="1" operator="containsText" dxfId="0" text="待复核"/>
    <cfRule type="containsText" priority="3" operator="containsText" dxfId="10" text="待复核"/>
  </conditionalFormatting>
  <conditionalFormatting sqref="A2:K3">
    <cfRule type="expression" priority="2" dxfId="1">
      <formula>MOD(ROW(),2)=0</formula>
    </cfRule>
  </conditionalFormatting>
  <dataValidations count="1">
    <dataValidation sqref="J2:J10" showDropDown="0" showInputMessage="0" showErrorMessage="0" allowBlank="0" type="list">
      <formula1>"待复核,已入库,已排除"</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2026-08-16T04:48:28Z</dcterms:created>
  <dcterms:modified xmlns:dcterms="http://purl.org/dc/terms/" xmlns:xsi="http://www.w3.org/2001/XMLSchema-instance" xsi:type="dcterms:W3CDTF">2026-08-18T14:44:06Z</dcterms:modified>
</cp:coreProperties>
</file>