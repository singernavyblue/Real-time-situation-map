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说明" sheetId="1" state="visible" r:id="rId1"/>
    <sheet xmlns:r="http://schemas.openxmlformats.org/officeDocument/2006/relationships" name="舆情事实表" sheetId="2" state="visible" r:id="rId2"/>
    <sheet xmlns:r="http://schemas.openxmlformats.org/officeDocument/2006/relationships" name="平台维度表" sheetId="3" state="visible" r:id="rId3"/>
    <sheet xmlns:r="http://schemas.openxmlformats.org/officeDocument/2006/relationships" name="地区维度表" sheetId="4" state="visible" r:id="rId4"/>
    <sheet xmlns:r="http://schemas.openxmlformats.org/officeDocument/2006/relationships" name="省级维度表" sheetId="5" state="visible" r:id="rId5"/>
    <sheet xmlns:r="http://schemas.openxmlformats.org/officeDocument/2006/relationships" name="语言维度表" sheetId="6" state="visible" r:id="rId6"/>
    <sheet xmlns:r="http://schemas.openxmlformats.org/officeDocument/2006/relationships" name="非支持态度表" sheetId="7" state="visible" r:id="rId7"/>
    <sheet xmlns:r="http://schemas.openxmlformats.org/officeDocument/2006/relationships" name="监测来源与查看信息" sheetId="8" state="visible" r:id="rId8"/>
    <sheet xmlns:r="http://schemas.openxmlformats.org/officeDocument/2006/relationships" name="高热内容表" sheetId="9" state="visible" r:id="rId9"/>
    <sheet xmlns:r="http://schemas.openxmlformats.org/officeDocument/2006/relationships" name="待清洗区" sheetId="10" state="visible" r:id="rId10"/>
  </sheets>
  <definedNames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6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0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7">
    <border/>
    <border>
      <left style="thin">
        <color rgb="FF9FB6C9"/>
      </left>
      <right style="thin">
        <color rgb="FF9FB6C9"/>
      </right>
      <top style="thin">
        <color rgb="FF9FB6C9"/>
      </top>
      <bottom style="thin">
        <color rgb="FF9FB6C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8FA9BC"/>
      </left>
      <right style="thin">
        <color rgb="FF8FA9BC"/>
      </right>
      <top style="thin">
        <color rgb="FF8FA9BC"/>
      </top>
      <bottom style="thin">
        <color rgb="FF8FA9BC"/>
      </bottom>
    </border>
    <border>
      <left style="thin">
        <color rgb="FFD5DEE6"/>
      </left>
      <right style="thin">
        <color rgb="FFD5DEE6"/>
      </right>
      <top style="thin">
        <color rgb="FFD5DEE6"/>
      </top>
      <bottom style="thin">
        <color rgb="FFD5DEE6"/>
      </bottom>
    </border>
    <border>
      <left style="thin">
        <color rgb="FFB7C9D6"/>
      </left>
      <right style="thin">
        <color rgb="FFB7C9D6"/>
      </right>
      <top style="medium">
        <color rgb="FF8FA9BC"/>
      </top>
      <bottom style="thin">
        <color rgb="FFB7C9D6"/>
      </bottom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0" fillId="0" borderId="2" pivotButton="0" quotePrefix="0" xfId="0"/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3" fillId="2" borderId="0" pivotButton="0" quotePrefix="0" xfId="0"/>
    <xf numFmtId="0" fontId="3" fillId="2" borderId="1" pivotButton="0" quotePrefix="0" xfId="0"/>
    <xf numFmtId="3" fontId="0" fillId="0" borderId="2" pivotButton="0" quotePrefix="0" xfId="0"/>
    <xf numFmtId="164" fontId="0" fillId="0" borderId="2" pivotButton="0" quotePrefix="0" xfId="0"/>
    <xf numFmtId="0" fontId="1" fillId="3" borderId="0" applyAlignment="1" pivotButton="0" quotePrefix="0" xfId="0">
      <alignment vertical="center"/>
    </xf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4" fillId="3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3" fontId="0" fillId="0" borderId="4" applyAlignment="1" pivotButton="0" quotePrefix="0" xfId="0">
      <alignment vertical="center"/>
    </xf>
    <xf numFmtId="3" fontId="0" fillId="0" borderId="4" applyAlignment="1" pivotButton="0" quotePrefix="0" xfId="0">
      <alignment horizontal="right" vertical="center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164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 wrapText="1"/>
    </xf>
    <xf numFmtId="3" fontId="0" fillId="0" borderId="4" applyAlignment="1" pivotButton="0" quotePrefix="0" xfId="0">
      <alignment horizontal="left" vertical="center"/>
    </xf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center"/>
    </xf>
    <xf numFmtId="0" fontId="5" fillId="4" borderId="5" applyAlignment="1" pivotButton="0" quotePrefix="0" xfId="0">
      <alignment vertical="center"/>
    </xf>
    <xf numFmtId="3" fontId="5" fillId="4" borderId="5" applyAlignment="1" pivotButton="0" quotePrefix="0" xfId="0">
      <alignment vertical="center"/>
    </xf>
    <xf numFmtId="3" fontId="5" fillId="4" borderId="5" applyAlignment="1" pivotButton="0" quotePrefix="0" xfId="0">
      <alignment horizontal="right" vertical="center"/>
    </xf>
    <xf numFmtId="0" fontId="5" fillId="4" borderId="5" applyAlignment="1" pivotButton="0" quotePrefix="0" xfId="0">
      <alignment horizontal="center" vertical="center"/>
    </xf>
    <xf numFmtId="0" fontId="0" fillId="4" borderId="2" applyAlignment="1" pivotButton="0" quotePrefix="0" xfId="0">
      <alignment vertical="center"/>
    </xf>
    <xf numFmtId="3" fontId="0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3" fontId="5" fillId="4" borderId="2" applyAlignment="1" pivotButton="0" quotePrefix="0" xfId="0">
      <alignment vertical="center"/>
    </xf>
    <xf numFmtId="0" fontId="5" fillId="4" borderId="5" applyAlignment="1" pivotButton="0" quotePrefix="0" xfId="0">
      <alignment vertical="center" wrapText="1"/>
    </xf>
    <xf numFmtId="0" fontId="0" fillId="4" borderId="4" applyAlignment="1" pivotButton="0" quotePrefix="0" xfId="0">
      <alignment horizontal="left" vertical="center"/>
    </xf>
    <xf numFmtId="3" fontId="0" fillId="4" borderId="4" applyAlignment="1" pivotButton="0" quotePrefix="0" xfId="0">
      <alignment horizontal="left" vertical="center"/>
    </xf>
    <xf numFmtId="0" fontId="0" fillId="4" borderId="4" applyAlignment="1" pivotButton="0" quotePrefix="0" xfId="0">
      <alignment horizontal="left" vertical="center" wrapText="1"/>
    </xf>
    <xf numFmtId="0" fontId="5" fillId="4" borderId="4" applyAlignment="1" pivotButton="0" quotePrefix="0" xfId="0">
      <alignment horizontal="left" vertical="center"/>
    </xf>
    <xf numFmtId="3" fontId="5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left" vertical="center" wrapText="1"/>
    </xf>
    <xf numFmtId="16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  <xf numFmtId="3" fontId="0" fillId="0" borderId="4" applyAlignment="1" pivotButton="0" quotePrefix="0" xfId="0">
      <alignment horizontal="left" vertical="center"/>
    </xf>
    <xf numFmtId="3" fontId="0" fillId="0" borderId="4" applyAlignment="1" pivotButton="0" quotePrefix="0" xfId="0">
      <alignment horizontal="right" vertical="center"/>
    </xf>
    <xf numFmtId="3" fontId="5" fillId="4" borderId="5" applyAlignment="1" pivotButton="0" quotePrefix="0" xfId="0">
      <alignment horizontal="right" vertical="center"/>
    </xf>
    <xf numFmtId="3" fontId="5" fillId="4" borderId="4" applyAlignment="1" pivotButton="0" quotePrefix="0" xfId="0">
      <alignment horizontal="left" vertical="center"/>
    </xf>
    <xf numFmtId="164" fontId="0" fillId="0" borderId="4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center" wrapText="1"/>
    </xf>
    <xf numFmtId="164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3" fontId="0" fillId="0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left" vertical="center" wrapText="1"/>
    </xf>
    <xf numFmtId="3" fontId="5" fillId="6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left" vertical="center" wrapText="1"/>
    </xf>
    <xf numFmtId="3" fontId="5" fillId="4" borderId="6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/>
  </cellStyles>
  <dxfs count="11">
    <dxf>
      <font>
        <color rgb="FF7A5B00"/>
      </font>
      <fill>
        <patternFill>
          <bgColor rgb="FFFFF3CD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ill>
        <patternFill patternType="solid">
          <bgColor rgb="FFEEF4FA"/>
        </patternFill>
      </fill>
    </dxf>
    <dxf>
      <font>
        <color rgb="FF7A5B00"/>
      </font>
      <fill>
        <patternFill patternType="solid">
          <bgColor rgb="FFFFF3CD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34" customWidth="1" style="23" min="1" max="1"/>
    <col width="34" customWidth="1" style="23" min="2" max="2"/>
    <col width="34" customWidth="1" style="23" min="3" max="3"/>
    <col width="34" customWidth="1" style="23" min="4" max="4"/>
  </cols>
  <sheetData>
    <row r="1" ht="42" customHeight="1" s="23">
      <c r="A1" s="21" t="inlineStr">
        <is>
          <t>舆情数据「报表 → 数据库」原子化改造示例</t>
        </is>
      </c>
    </row>
    <row r="3" ht="32" customHeight="1" s="23">
      <c r="A3" s="24" t="inlineStr">
        <is>
          <t>1. 本文件所有数据均为编造的示例数据，仅用于展示表格结构，不代表任何真实舆情。</t>
        </is>
      </c>
    </row>
    <row r="4" ht="32" customHeight="1" s="23">
      <c r="A4" s="24" t="inlineStr">
        <is>
          <t>2. 核心原则：舆情事实表 = 一行一条不可再分的舆情事实；其余维度表全部用公式从事实表重算。</t>
        </is>
      </c>
    </row>
    <row r="5" ht="32" customHeight="1" s="23">
      <c r="A5" s="24" t="inlineStr">
        <is>
          <t>3. 改造要点：去掉合并单元格、多行标题、汇总行混排；一列一属性；正文不含核验说明；每条记录有唯一编号用于去重。</t>
        </is>
      </c>
    </row>
    <row r="6" ht="32" customHeight="1" s="23">
      <c r="A6" s="24" t="inlineStr">
        <is>
          <t>4. 字段与第二阶段统一字段规范一致：唯一编号、采集/发布时间、平台、具体来源、账号、正文、链接、地区/地区组/省份/城市/IP属地、语言、态度、问题类别、互动量、是否重点、是否计入、备注。</t>
        </is>
      </c>
    </row>
    <row r="7" ht="34" customHeight="1" s="23">
      <c r="A7" s="26" t="inlineStr">
        <is>
          <t>5. 现有 16 个 Excel 的对应关系：</t>
        </is>
      </c>
    </row>
    <row r="8" ht="32" customHeight="1" s="23">
      <c r="A8" s="24" t="inlineStr">
        <is>
          <t xml:space="preserve">   各平台「有效舆情明细 / 扁平化数据」→ 舆情事实表</t>
        </is>
      </c>
    </row>
    <row r="9" ht="32" customHeight="1" s="23">
      <c r="A9" s="24" t="inlineStr">
        <is>
          <t xml:space="preserve">   「平台统计 / 公众意见汇总」→ 平台维度表（建议公式重算，不再手工填）</t>
        </is>
      </c>
    </row>
    <row r="10" ht="32" customHeight="1" s="23">
      <c r="A10" s="24" t="inlineStr">
        <is>
          <t xml:space="preserve">   「地区统计 / 省级态度统计」→ 地区维度表、省级维度表</t>
        </is>
      </c>
    </row>
    <row r="11" ht="32" customHeight="1" s="23">
      <c r="A11" s="24" t="inlineStr">
        <is>
          <t xml:space="preserve">   「语言统计」→ 语言维度表</t>
        </is>
      </c>
    </row>
    <row r="12" ht="32" customHeight="1" s="23">
      <c r="A12" s="24" t="inlineStr">
        <is>
          <t xml:space="preserve">   「非支持态度统计 / 非支持来源与原话」→ 非支持态度表</t>
        </is>
      </c>
    </row>
    <row r="13" ht="32" customHeight="1" s="23">
      <c r="A13" s="24" t="inlineStr">
        <is>
          <t xml:space="preserve">   「监测来源统计 / 查看信息统计」→ 监测来源与查看信息表</t>
        </is>
      </c>
    </row>
    <row r="14" ht="34" customHeight="1" s="23">
      <c r="A14" s="24" t="inlineStr">
        <is>
          <t xml:space="preserve">   「高热内容榜 / 互动量」→ 高热内容表</t>
        </is>
      </c>
    </row>
    <row r="15" ht="36" customHeight="1" s="23">
      <c r="A15" s="24" t="inlineStr">
        <is>
          <t>6. 待清洗区 = 各渠道原始数据先进这里，清洗/判题后写入事实表；缺字段或未命中关键词的行标记「待复核」。</t>
        </is>
      </c>
    </row>
    <row r="16" ht="24" customHeight="1" s="23">
      <c r="A16" s="4" t="inlineStr">
        <is>
          <t>7. 改造完成后的对拍要求：用新表重算出的 data.js 与现有 data.js 数字完全一致（12,351 / 1,586 / 482 等），前端才不需要改动。</t>
        </is>
      </c>
    </row>
    <row r="17">
      <c r="A17" t="inlineStr">
        <is>
          <t>地区维度表 = 省级维度（省份逐条轮播、地图高亮单个省）；</t>
        </is>
      </c>
    </row>
    <row r="18">
      <c r="A18" t="inlineStr">
        <is>
          <t>省级维度表保持原省级统计，二者口径一致。</t>
        </is>
      </c>
    </row>
  </sheetData>
  <mergeCells count="15">
    <mergeCell ref="A1:D1"/>
    <mergeCell ref="A5:D5"/>
    <mergeCell ref="A9:D9"/>
    <mergeCell ref="A8:D8"/>
    <mergeCell ref="A6:D6"/>
    <mergeCell ref="A12:D12"/>
    <mergeCell ref="A4:D4"/>
    <mergeCell ref="A3:D3"/>
    <mergeCell ref="A15:D15"/>
    <mergeCell ref="A7:D7"/>
    <mergeCell ref="A16:D16"/>
    <mergeCell ref="A11:D11"/>
    <mergeCell ref="A10:D10"/>
    <mergeCell ref="A13:D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23" min="1" max="1"/>
    <col width="18" customWidth="1" style="23" min="2" max="2"/>
    <col width="18" customWidth="1" style="23" min="3" max="3"/>
    <col width="10" customWidth="1" style="23" min="4" max="4"/>
    <col width="17" customWidth="1" style="23" min="5" max="5"/>
    <col width="17" customWidth="1" style="23" min="6" max="6"/>
    <col width="14" customWidth="1" style="23" min="7" max="7"/>
    <col width="52" customWidth="1" style="23" min="8" max="8"/>
    <col width="30" customWidth="1" style="23" min="9" max="9"/>
    <col width="8" customWidth="1" style="23" min="10" max="10"/>
    <col width="24" customWidth="1" style="23" min="11" max="11"/>
    <col width="8" customWidth="1" style="23" min="12" max="12"/>
    <col width="9" customWidth="1" style="23" min="13" max="13"/>
    <col width="8" customWidth="1" style="23" min="14" max="14"/>
    <col width="8" customWidth="1" style="23" min="15" max="15"/>
    <col width="11" customWidth="1" style="23" min="16" max="16"/>
    <col width="10" customWidth="1" style="23" min="17" max="17"/>
    <col width="11" customWidth="1" style="23" min="18" max="18"/>
    <col width="9" customWidth="1" style="23" min="19" max="19"/>
    <col width="9" customWidth="1" style="23" min="20" max="20"/>
    <col width="9" customWidth="1" style="23" min="21" max="21"/>
    <col width="9" customWidth="1" style="23" min="22" max="22"/>
    <col width="10" customWidth="1" style="23" min="23" max="23"/>
    <col width="22" customWidth="1" style="23" min="24" max="24"/>
  </cols>
  <sheetData>
    <row r="1" ht="34" customHeight="1" s="23">
      <c r="A1" s="78" t="inlineStr">
        <is>
          <t>唯一编号</t>
        </is>
      </c>
      <c r="B1" s="78" t="inlineStr">
        <is>
          <t>采集时间</t>
        </is>
      </c>
      <c r="C1" s="78" t="inlineStr">
        <is>
          <t>发布时间</t>
        </is>
      </c>
      <c r="D1" s="78" t="inlineStr">
        <is>
          <t>平台</t>
        </is>
      </c>
      <c r="E1" s="78" t="inlineStr">
        <is>
          <t>平台组</t>
        </is>
      </c>
      <c r="F1" s="78" t="inlineStr">
        <is>
          <t>具体来源</t>
        </is>
      </c>
      <c r="G1" s="78" t="inlineStr">
        <is>
          <t>账号</t>
        </is>
      </c>
      <c r="H1" s="78" t="inlineStr">
        <is>
          <t>正文</t>
        </is>
      </c>
      <c r="I1" s="78" t="inlineStr">
        <is>
          <t>原始链接</t>
        </is>
      </c>
      <c r="J1" s="78" t="inlineStr">
        <is>
          <t>地区</t>
        </is>
      </c>
      <c r="K1" s="78" t="inlineStr">
        <is>
          <t>地区组</t>
        </is>
      </c>
      <c r="L1" s="78" t="inlineStr">
        <is>
          <t>省份</t>
        </is>
      </c>
      <c r="M1" s="78" t="inlineStr">
        <is>
          <t>城市</t>
        </is>
      </c>
      <c r="N1" s="78" t="inlineStr">
        <is>
          <t>IP属地</t>
        </is>
      </c>
      <c r="O1" s="78" t="inlineStr">
        <is>
          <t>语言</t>
        </is>
      </c>
      <c r="P1" s="78" t="inlineStr">
        <is>
          <t>是否少数民族语言</t>
        </is>
      </c>
      <c r="Q1" s="78" t="inlineStr">
        <is>
          <t>总体态度</t>
        </is>
      </c>
      <c r="R1" s="78" t="inlineStr">
        <is>
          <t>具体问题类别</t>
        </is>
      </c>
      <c r="S1" s="78" t="inlineStr">
        <is>
          <t>点赞量</t>
        </is>
      </c>
      <c r="T1" s="78" t="inlineStr">
        <is>
          <t>评论量</t>
        </is>
      </c>
      <c r="U1" s="78" t="inlineStr">
        <is>
          <t>转发量</t>
        </is>
      </c>
      <c r="V1" s="78" t="inlineStr">
        <is>
          <t>是否重点</t>
        </is>
      </c>
      <c r="W1" s="78" t="inlineStr">
        <is>
          <t>是否计入统计</t>
        </is>
      </c>
      <c r="X1" s="78" t="inlineStr">
        <is>
          <t>备注</t>
        </is>
      </c>
    </row>
    <row r="2" ht="46" customHeight="1" s="23">
      <c r="A2" s="71" t="inlineStr">
        <is>
          <t>OQ-20260814-0001</t>
        </is>
      </c>
      <c r="B2" s="72" t="n">
        <v>46248.08484953704</v>
      </c>
      <c r="C2" s="72" t="n">
        <v>46248.07430555556</v>
      </c>
      <c r="D2" s="73" t="inlineStr">
        <is>
          <t>微博</t>
        </is>
      </c>
      <c r="E2" s="73" t="inlineStr">
        <is>
          <t>微博/热榜</t>
        </is>
      </c>
      <c r="F2" s="73" t="inlineStr">
        <is>
          <t>微博热榜·民族话题</t>
        </is>
      </c>
      <c r="G2" s="73" t="inlineStr">
        <is>
          <t>@示例用户A</t>
        </is>
      </c>
      <c r="H2" s="73" t="inlineStr">
        <is>
          <t>支持民族团结进步促进法，各民族要像石榴籽一样紧紧抱在一起。</t>
        </is>
      </c>
      <c r="I2" s="73" t="inlineStr">
        <is>
          <t>https://weibo.com/example/0001</t>
        </is>
      </c>
      <c r="J2" s="73" t="inlineStr">
        <is>
          <t>四川</t>
        </is>
      </c>
      <c r="K2" s="73" t="inlineStr">
        <is>
          <t>四川、甘肃民族地区</t>
        </is>
      </c>
      <c r="L2" s="73" t="inlineStr">
        <is>
          <t>四川</t>
        </is>
      </c>
      <c r="M2" s="73" t="inlineStr">
        <is>
          <t>成都</t>
        </is>
      </c>
      <c r="N2" s="73" t="inlineStr">
        <is>
          <t>四川</t>
        </is>
      </c>
      <c r="O2" s="73" t="inlineStr">
        <is>
          <t>中文</t>
        </is>
      </c>
      <c r="P2" s="73" t="inlineStr">
        <is>
          <t>否</t>
        </is>
      </c>
      <c r="Q2" s="73" t="inlineStr">
        <is>
          <t>支持认可</t>
        </is>
      </c>
      <c r="R2" s="73" t="inlineStr">
        <is>
          <t>-</t>
        </is>
      </c>
      <c r="S2" s="74" t="n">
        <v>328</v>
      </c>
      <c r="T2" s="74" t="n">
        <v>56</v>
      </c>
      <c r="U2" s="74" t="n">
        <v>12</v>
      </c>
      <c r="V2" s="73" t="inlineStr">
        <is>
          <t>否</t>
        </is>
      </c>
      <c r="W2" s="73" t="inlineStr">
        <is>
          <t>是</t>
        </is>
      </c>
      <c r="X2" s="73" t="inlineStr">
        <is>
          <t>示例数据，可删除</t>
        </is>
      </c>
    </row>
    <row r="3" ht="46" customHeight="1" s="23">
      <c r="A3" s="71" t="inlineStr">
        <is>
          <t>OQ-20260814-0002</t>
        </is>
      </c>
      <c r="B3" s="72" t="n">
        <v>46248.0871875</v>
      </c>
      <c r="C3" s="72" t="n">
        <v>46248.08472222222</v>
      </c>
      <c r="D3" s="73" t="inlineStr">
        <is>
          <t>抖音</t>
        </is>
      </c>
      <c r="E3" s="73" t="inlineStr">
        <is>
          <t>抖音等视频平台</t>
        </is>
      </c>
      <c r="F3" s="73" t="inlineStr">
        <is>
          <t>抖音·普法视频评论区</t>
        </is>
      </c>
      <c r="G3" s="73" t="inlineStr">
        <is>
          <t>示例账号B</t>
        </is>
      </c>
      <c r="H3" s="73" t="inlineStr">
        <is>
          <t>请问促进法对少数民族学生升学、就业有什么具体保护措施？</t>
        </is>
      </c>
      <c r="I3" s="73" t="inlineStr">
        <is>
          <t>https://douyin.com/example/0002</t>
        </is>
      </c>
      <c r="J3" s="73" t="inlineStr">
        <is>
          <t>新疆</t>
        </is>
      </c>
      <c r="K3" s="73" t="inlineStr">
        <is>
          <t>新疆</t>
        </is>
      </c>
      <c r="L3" s="73" t="inlineStr">
        <is>
          <t>新疆</t>
        </is>
      </c>
      <c r="M3" s="73" t="inlineStr">
        <is>
          <t>乌鲁木齐</t>
        </is>
      </c>
      <c r="N3" s="73" t="inlineStr">
        <is>
          <t>新疆</t>
        </is>
      </c>
      <c r="O3" s="73" t="inlineStr">
        <is>
          <t>中文</t>
        </is>
      </c>
      <c r="P3" s="73" t="inlineStr">
        <is>
          <t>否</t>
        </is>
      </c>
      <c r="Q3" s="73" t="inlineStr">
        <is>
          <t>咨询疑问</t>
        </is>
      </c>
      <c r="R3" s="73" t="inlineStr">
        <is>
          <t>咨询疑问</t>
        </is>
      </c>
      <c r="S3" s="74" t="n">
        <v>12</v>
      </c>
      <c r="T3" s="74" t="n">
        <v>3</v>
      </c>
      <c r="U3" s="74" t="n">
        <v>0</v>
      </c>
      <c r="V3" s="73" t="inlineStr">
        <is>
          <t>否</t>
        </is>
      </c>
      <c r="W3" s="73" t="inlineStr">
        <is>
          <t>是</t>
        </is>
      </c>
      <c r="X3" s="73" t="inlineStr">
        <is>
          <t>示例数据</t>
        </is>
      </c>
    </row>
    <row r="4" ht="46" customHeight="1" s="23">
      <c r="A4" s="71" t="inlineStr">
        <is>
          <t>OQ-20260814-0003</t>
        </is>
      </c>
      <c r="B4" s="72" t="n">
        <v>46248.08940972222</v>
      </c>
      <c r="C4" s="72" t="n">
        <v>46248.0625</v>
      </c>
      <c r="D4" s="73" t="inlineStr">
        <is>
          <t>快手</t>
        </is>
      </c>
      <c r="E4" s="73" t="inlineStr">
        <is>
          <t>快手</t>
        </is>
      </c>
      <c r="F4" s="73" t="inlineStr">
        <is>
          <t>彝语口播普法视频</t>
        </is>
      </c>
      <c r="G4" s="73" t="inlineStr">
        <is>
          <t>示例账号C</t>
        </is>
      </c>
      <c r="H4" s="73" t="inlineStr">
        <is>
          <t>（彝语）支持促进法，希望家乡越来越团结。</t>
        </is>
      </c>
      <c r="I4" s="73" t="inlineStr">
        <is>
          <t>https://kuaishou.com/example/0003</t>
        </is>
      </c>
      <c r="J4" s="73" t="inlineStr">
        <is>
          <t>云南</t>
        </is>
      </c>
      <c r="K4" s="73" t="inlineStr">
        <is>
          <t>云南东中部民族地区</t>
        </is>
      </c>
      <c r="L4" s="73" t="inlineStr">
        <is>
          <t>云南</t>
        </is>
      </c>
      <c r="M4" s="73" t="inlineStr">
        <is>
          <t>楚雄</t>
        </is>
      </c>
      <c r="N4" s="73" t="inlineStr">
        <is>
          <t>云南</t>
        </is>
      </c>
      <c r="O4" s="73" t="inlineStr">
        <is>
          <t>彝语</t>
        </is>
      </c>
      <c r="P4" s="73" t="inlineStr">
        <is>
          <t>是</t>
        </is>
      </c>
      <c r="Q4" s="73" t="inlineStr">
        <is>
          <t>支持认可</t>
        </is>
      </c>
      <c r="R4" s="73" t="inlineStr">
        <is>
          <t>-</t>
        </is>
      </c>
      <c r="S4" s="74" t="n">
        <v>66</v>
      </c>
      <c r="T4" s="74" t="n">
        <v>8</v>
      </c>
      <c r="U4" s="74" t="n">
        <v>2</v>
      </c>
      <c r="V4" s="73" t="inlineStr">
        <is>
          <t>否</t>
        </is>
      </c>
      <c r="W4" s="73" t="inlineStr">
        <is>
          <t>是</t>
        </is>
      </c>
      <c r="X4" s="73" t="inlineStr">
        <is>
          <t>示例数据</t>
        </is>
      </c>
    </row>
    <row r="5" ht="46" customHeight="1" s="23">
      <c r="A5" s="71" t="inlineStr">
        <is>
          <t>OQ-20260814-0004</t>
        </is>
      </c>
      <c r="B5" s="72" t="n">
        <v>46248.09120370371</v>
      </c>
      <c r="C5" s="72" t="n">
        <v>46248.03819444445</v>
      </c>
      <c r="D5" s="73" t="inlineStr">
        <is>
          <t>微信公众号</t>
        </is>
      </c>
      <c r="E5" s="73" t="inlineStr">
        <is>
          <t>微信公众号/视频号</t>
        </is>
      </c>
      <c r="F5" s="73" t="inlineStr">
        <is>
          <t>本地融媒文章评论区</t>
        </is>
      </c>
      <c r="G5" s="73" t="inlineStr">
        <is>
          <t>示例公众号D</t>
        </is>
      </c>
      <c r="H5" s="73" t="inlineStr">
        <is>
          <t>希望执法不要走过场，真正保护少数民族就业权益。</t>
        </is>
      </c>
      <c r="I5" s="73" t="inlineStr">
        <is>
          <t>https://mp.weixin.qq.com/example/0004</t>
        </is>
      </c>
      <c r="J5" s="73" t="inlineStr">
        <is>
          <t>甘肃</t>
        </is>
      </c>
      <c r="K5" s="73" t="inlineStr">
        <is>
          <t>四川、甘肃民族地区</t>
        </is>
      </c>
      <c r="L5" s="73" t="inlineStr">
        <is>
          <t>甘肃</t>
        </is>
      </c>
      <c r="M5" s="73" t="inlineStr">
        <is>
          <t>兰州</t>
        </is>
      </c>
      <c r="N5" s="73" t="inlineStr">
        <is>
          <t>甘肃</t>
        </is>
      </c>
      <c r="O5" s="73" t="inlineStr">
        <is>
          <t>中文</t>
        </is>
      </c>
      <c r="P5" s="73" t="inlineStr">
        <is>
          <t>否</t>
        </is>
      </c>
      <c r="Q5" s="73" t="inlineStr">
        <is>
          <t>担忧影响</t>
        </is>
      </c>
      <c r="R5" s="73" t="inlineStr">
        <is>
          <t>担忧影响</t>
        </is>
      </c>
      <c r="S5" s="74" t="n">
        <v>5</v>
      </c>
      <c r="T5" s="74" t="n">
        <v>2</v>
      </c>
      <c r="U5" s="74" t="n">
        <v>0</v>
      </c>
      <c r="V5" s="73" t="inlineStr">
        <is>
          <t>否</t>
        </is>
      </c>
      <c r="W5" s="73" t="inlineStr">
        <is>
          <t>是</t>
        </is>
      </c>
      <c r="X5" s="73" t="inlineStr">
        <is>
          <t>示例数据</t>
        </is>
      </c>
    </row>
    <row r="6" ht="46" customHeight="1" s="23">
      <c r="A6" s="71" t="inlineStr">
        <is>
          <t>OQ-20260814-0005</t>
        </is>
      </c>
      <c r="B6" s="72" t="n">
        <v>46248.09307870371</v>
      </c>
      <c r="C6" s="72" t="n">
        <v>46248.09027777778</v>
      </c>
      <c r="D6" s="73" t="inlineStr">
        <is>
          <t>知乎</t>
        </is>
      </c>
      <c r="E6" s="73" t="inlineStr">
        <is>
          <t>知乎/B站/百度知道</t>
        </is>
      </c>
      <c r="F6" s="73" t="inlineStr">
        <is>
          <t>法律话题回答</t>
        </is>
      </c>
      <c r="G6" s="73" t="inlineStr">
        <is>
          <t>示例用户E</t>
        </is>
      </c>
      <c r="H6" s="73" t="inlineStr">
        <is>
          <t>促进法实施后如何界定“民族歧视”？建议尽快出台细则。</t>
        </is>
      </c>
      <c r="I6" s="73" t="inlineStr">
        <is>
          <t>https://zhihu.com/example/0005</t>
        </is>
      </c>
      <c r="J6" s="73" t="inlineStr">
        <is>
          <t>北京</t>
        </is>
      </c>
      <c r="K6" s="73" t="inlineStr">
        <is>
          <t>北京</t>
        </is>
      </c>
      <c r="L6" s="73" t="inlineStr">
        <is>
          <t>北京</t>
        </is>
      </c>
      <c r="M6" s="73" t="inlineStr">
        <is>
          <t>北京</t>
        </is>
      </c>
      <c r="N6" s="73" t="inlineStr">
        <is>
          <t>北京</t>
        </is>
      </c>
      <c r="O6" s="73" t="inlineStr">
        <is>
          <t>中文</t>
        </is>
      </c>
      <c r="P6" s="73" t="inlineStr">
        <is>
          <t>否</t>
        </is>
      </c>
      <c r="Q6" s="73" t="inlineStr">
        <is>
          <t>咨询疑问</t>
        </is>
      </c>
      <c r="R6" s="73" t="inlineStr">
        <is>
          <t>咨询疑问</t>
        </is>
      </c>
      <c r="S6" s="74" t="n">
        <v>41</v>
      </c>
      <c r="T6" s="74" t="n">
        <v>9</v>
      </c>
      <c r="U6" s="74" t="n">
        <v>1</v>
      </c>
      <c r="V6" s="73" t="inlineStr">
        <is>
          <t>否</t>
        </is>
      </c>
      <c r="W6" s="73" t="inlineStr">
        <is>
          <t>是</t>
        </is>
      </c>
      <c r="X6" s="73" t="inlineStr">
        <is>
          <t>示例数据</t>
        </is>
      </c>
    </row>
    <row r="7" ht="46" customHeight="1" s="23">
      <c r="A7" s="71" t="inlineStr">
        <is>
          <t>OQ-20260814-0006</t>
        </is>
      </c>
      <c r="B7" s="72" t="n">
        <v>46248.09571759259</v>
      </c>
      <c r="C7" s="72" t="n">
        <v>46248.05</v>
      </c>
      <c r="D7" s="73" t="inlineStr">
        <is>
          <t>快手</t>
        </is>
      </c>
      <c r="E7" s="73" t="inlineStr">
        <is>
          <t>快手</t>
        </is>
      </c>
      <c r="F7" s="73" t="inlineStr">
        <is>
          <t>招聘信息评论区</t>
        </is>
      </c>
      <c r="G7" s="73" t="inlineStr">
        <is>
          <t>示例用户F</t>
        </is>
      </c>
      <c r="H7" s="73" t="inlineStr">
        <is>
          <t>反映某公司招聘写明“汉族优先”，已截图，请核实处理。</t>
        </is>
      </c>
      <c r="I7" s="73" t="inlineStr">
        <is>
          <t>https://kuaishou.com/example/0006</t>
        </is>
      </c>
      <c r="J7" s="73" t="inlineStr">
        <is>
          <t>内蒙古</t>
        </is>
      </c>
      <c r="K7" s="73" t="inlineStr">
        <is>
          <t>内蒙古、河北及东北</t>
        </is>
      </c>
      <c r="L7" s="73" t="inlineStr">
        <is>
          <t>内蒙古</t>
        </is>
      </c>
      <c r="M7" s="73" t="inlineStr">
        <is>
          <t>呼和浩特</t>
        </is>
      </c>
      <c r="N7" s="73" t="inlineStr">
        <is>
          <t>内蒙古</t>
        </is>
      </c>
      <c r="O7" s="73" t="inlineStr">
        <is>
          <t>中文</t>
        </is>
      </c>
      <c r="P7" s="73" t="inlineStr">
        <is>
          <t>否</t>
        </is>
      </c>
      <c r="Q7" s="73" t="inlineStr">
        <is>
          <t>明确批评</t>
        </is>
      </c>
      <c r="R7" s="73" t="inlineStr">
        <is>
          <t>歧视偏见</t>
        </is>
      </c>
      <c r="S7" s="74" t="n">
        <v>89</v>
      </c>
      <c r="T7" s="74" t="n">
        <v>33</v>
      </c>
      <c r="U7" s="74" t="n">
        <v>5</v>
      </c>
      <c r="V7" s="73" t="inlineStr">
        <is>
          <t>是</t>
        </is>
      </c>
      <c r="W7" s="73" t="inlineStr">
        <is>
          <t>是</t>
        </is>
      </c>
      <c r="X7" s="73" t="inlineStr">
        <is>
          <t>示例数据</t>
        </is>
      </c>
    </row>
    <row r="8" ht="46" customHeight="1" s="23">
      <c r="A8" s="71" t="inlineStr">
        <is>
          <t>OQ-20260814-0007</t>
        </is>
      </c>
      <c r="B8" s="72" t="n">
        <v>46248.09731481481</v>
      </c>
      <c r="C8" s="72" t="n">
        <v>46248.08680555555</v>
      </c>
      <c r="D8" s="73" t="inlineStr">
        <is>
          <t>B站</t>
        </is>
      </c>
      <c r="E8" s="73" t="inlineStr">
        <is>
          <t>知乎/B站/百度知道</t>
        </is>
      </c>
      <c r="F8" s="73" t="inlineStr">
        <is>
          <t>普法视频弹幕区</t>
        </is>
      </c>
      <c r="G8" s="73" t="inlineStr">
        <is>
          <t>示例用户G</t>
        </is>
      </c>
      <c r="H8" s="73" t="inlineStr">
        <is>
          <t>支持，希望各民族像石榴籽一样团结。</t>
        </is>
      </c>
      <c r="I8" s="73" t="inlineStr">
        <is>
          <t>https://bilibili.com/example/0007</t>
        </is>
      </c>
      <c r="J8" s="73" t="inlineStr">
        <is>
          <t>青海</t>
        </is>
      </c>
      <c r="K8" s="73" t="inlineStr">
        <is>
          <t>青海、西藏</t>
        </is>
      </c>
      <c r="L8" s="73" t="inlineStr">
        <is>
          <t>青海</t>
        </is>
      </c>
      <c r="M8" s="73" t="inlineStr">
        <is>
          <t>西宁</t>
        </is>
      </c>
      <c r="N8" s="73" t="inlineStr">
        <is>
          <t>青海</t>
        </is>
      </c>
      <c r="O8" s="73" t="inlineStr">
        <is>
          <t>中文</t>
        </is>
      </c>
      <c r="P8" s="73" t="inlineStr">
        <is>
          <t>否</t>
        </is>
      </c>
      <c r="Q8" s="73" t="inlineStr">
        <is>
          <t>支持认可</t>
        </is>
      </c>
      <c r="R8" s="73" t="inlineStr">
        <is>
          <t>-</t>
        </is>
      </c>
      <c r="S8" s="74" t="n">
        <v>7</v>
      </c>
      <c r="T8" s="74" t="n">
        <v>1</v>
      </c>
      <c r="U8" s="74" t="n">
        <v>0</v>
      </c>
      <c r="V8" s="73" t="inlineStr">
        <is>
          <t>否</t>
        </is>
      </c>
      <c r="W8" s="73" t="inlineStr">
        <is>
          <t>是</t>
        </is>
      </c>
      <c r="X8" s="73" t="inlineStr">
        <is>
          <t>示例数据</t>
        </is>
      </c>
    </row>
    <row r="9" ht="46" customHeight="1" s="23">
      <c r="A9" s="71" t="inlineStr">
        <is>
          <t>OQ-20260814-0008</t>
        </is>
      </c>
      <c r="B9" s="72" t="n">
        <v>46248.09978009259</v>
      </c>
      <c r="C9" s="72" t="n">
        <v>46248.08194444444</v>
      </c>
      <c r="D9" s="73" t="inlineStr">
        <is>
          <t>今日头条</t>
        </is>
      </c>
      <c r="E9" s="73" t="inlineStr">
        <is>
          <t>贴吧/头条/新闻评论</t>
        </is>
      </c>
      <c r="F9" s="73" t="inlineStr">
        <is>
          <t>新闻评论区</t>
        </is>
      </c>
      <c r="G9" s="73" t="inlineStr">
        <is>
          <t>示例用户H</t>
        </is>
      </c>
      <c r="H9" s="73" t="inlineStr">
        <is>
          <t>促进法很好，建议多开展双语普法宣传。</t>
        </is>
      </c>
      <c r="I9" s="73" t="inlineStr">
        <is>
          <t>https://toutiao.com/example/0008</t>
        </is>
      </c>
      <c r="J9" s="73" t="inlineStr">
        <is>
          <t>西藏</t>
        </is>
      </c>
      <c r="K9" s="73" t="inlineStr">
        <is>
          <t>青海、西藏</t>
        </is>
      </c>
      <c r="L9" s="73" t="inlineStr">
        <is>
          <t>西藏</t>
        </is>
      </c>
      <c r="M9" s="73" t="inlineStr">
        <is>
          <t>拉萨</t>
        </is>
      </c>
      <c r="N9" s="73" t="inlineStr">
        <is>
          <t>西藏</t>
        </is>
      </c>
      <c r="O9" s="73" t="inlineStr">
        <is>
          <t>藏语</t>
        </is>
      </c>
      <c r="P9" s="73" t="inlineStr">
        <is>
          <t>是</t>
        </is>
      </c>
      <c r="Q9" s="73" t="inlineStr">
        <is>
          <t>参与建议</t>
        </is>
      </c>
      <c r="R9" s="73" t="inlineStr">
        <is>
          <t>参与建议</t>
        </is>
      </c>
      <c r="S9" s="74" t="n">
        <v>23</v>
      </c>
      <c r="T9" s="74" t="n">
        <v>4</v>
      </c>
      <c r="U9" s="74" t="n">
        <v>1</v>
      </c>
      <c r="V9" s="73" t="inlineStr">
        <is>
          <t>否</t>
        </is>
      </c>
      <c r="W9" s="73" t="inlineStr">
        <is>
          <t>是</t>
        </is>
      </c>
      <c r="X9" s="73" t="inlineStr">
        <is>
          <t>示例数据</t>
        </is>
      </c>
    </row>
    <row r="10" ht="46" customHeight="1" s="23">
      <c r="A10" s="71" t="inlineStr">
        <is>
          <t>OQ-20260814-0009</t>
        </is>
      </c>
      <c r="B10" s="72" t="n">
        <v>46248.1016087963</v>
      </c>
      <c r="C10" s="72" t="n">
        <v>46248.08888888889</v>
      </c>
      <c r="D10" s="73" t="inlineStr">
        <is>
          <t>抖音</t>
        </is>
      </c>
      <c r="E10" s="73" t="inlineStr">
        <is>
          <t>抖音等视频平台</t>
        </is>
      </c>
      <c r="F10" s="73" t="inlineStr">
        <is>
          <t>视频评论区</t>
        </is>
      </c>
      <c r="G10" s="73" t="inlineStr">
        <is>
          <t>示例用户I</t>
        </is>
      </c>
      <c r="H10" s="73" t="inlineStr">
        <is>
          <t>我们厂里招聘现在没那么多条条框框了，支持。</t>
        </is>
      </c>
      <c r="I10" s="73" t="inlineStr">
        <is>
          <t>https://douyin.com/example/0009</t>
        </is>
      </c>
      <c r="J10" s="73" t="inlineStr">
        <is>
          <t>四川</t>
        </is>
      </c>
      <c r="K10" s="73" t="inlineStr">
        <is>
          <t>四川、甘肃民族地区</t>
        </is>
      </c>
      <c r="L10" s="73" t="inlineStr">
        <is>
          <t>四川</t>
        </is>
      </c>
      <c r="M10" s="73" t="inlineStr">
        <is>
          <t>凉山</t>
        </is>
      </c>
      <c r="N10" s="73" t="inlineStr">
        <is>
          <t>四川</t>
        </is>
      </c>
      <c r="O10" s="73" t="inlineStr">
        <is>
          <t>中文</t>
        </is>
      </c>
      <c r="P10" s="73" t="inlineStr">
        <is>
          <t>否</t>
        </is>
      </c>
      <c r="Q10" s="73" t="inlineStr">
        <is>
          <t>支持认可</t>
        </is>
      </c>
      <c r="R10" s="73" t="inlineStr">
        <is>
          <t>-</t>
        </is>
      </c>
      <c r="S10" s="74" t="n">
        <v>152</v>
      </c>
      <c r="T10" s="74" t="n">
        <v>20</v>
      </c>
      <c r="U10" s="74" t="n">
        <v>3</v>
      </c>
      <c r="V10" s="73" t="inlineStr">
        <is>
          <t>否</t>
        </is>
      </c>
      <c r="W10" s="73" t="inlineStr">
        <is>
          <t>是</t>
        </is>
      </c>
      <c r="X10" s="73" t="inlineStr">
        <is>
          <t>示例数据</t>
        </is>
      </c>
    </row>
    <row r="11" ht="46" customHeight="1" s="23">
      <c r="A11" s="71" t="inlineStr">
        <is>
          <t>OQ-20260814-0010</t>
        </is>
      </c>
      <c r="B11" s="72" t="n">
        <v>46248.10353009259</v>
      </c>
      <c r="C11" s="72" t="n">
        <v>46248.08402777778</v>
      </c>
      <c r="D11" s="73" t="inlineStr">
        <is>
          <t>微博</t>
        </is>
      </c>
      <c r="E11" s="73" t="inlineStr">
        <is>
          <t>微博/热榜</t>
        </is>
      </c>
      <c r="F11" s="73" t="inlineStr">
        <is>
          <t>超话讨论</t>
        </is>
      </c>
      <c r="G11" s="73" t="inlineStr">
        <is>
          <t>示例用户J</t>
        </is>
      </c>
      <c r="H11" s="73" t="inlineStr">
        <is>
          <t>担心促进法在基层落实不到位，希望能有监督渠道。</t>
        </is>
      </c>
      <c r="I11" s="73" t="inlineStr">
        <is>
          <t>https://weibo.com/example/0010</t>
        </is>
      </c>
      <c r="J11" s="73" t="inlineStr">
        <is>
          <t>甘肃</t>
        </is>
      </c>
      <c r="K11" s="73" t="inlineStr">
        <is>
          <t>四川、甘肃民族地区</t>
        </is>
      </c>
      <c r="L11" s="73" t="inlineStr">
        <is>
          <t>甘肃</t>
        </is>
      </c>
      <c r="M11" s="73" t="inlineStr">
        <is>
          <t>临夏</t>
        </is>
      </c>
      <c r="N11" s="73" t="inlineStr">
        <is>
          <t>甘肃</t>
        </is>
      </c>
      <c r="O11" s="73" t="inlineStr">
        <is>
          <t>中文</t>
        </is>
      </c>
      <c r="P11" s="73" t="inlineStr">
        <is>
          <t>否</t>
        </is>
      </c>
      <c r="Q11" s="73" t="inlineStr">
        <is>
          <t>担忧影响</t>
        </is>
      </c>
      <c r="R11" s="73" t="inlineStr">
        <is>
          <t>担忧影响</t>
        </is>
      </c>
      <c r="S11" s="74" t="n">
        <v>18</v>
      </c>
      <c r="T11" s="74" t="n">
        <v>7</v>
      </c>
      <c r="U11" s="74" t="n">
        <v>0</v>
      </c>
      <c r="V11" s="73" t="inlineStr">
        <is>
          <t>否</t>
        </is>
      </c>
      <c r="W11" s="73" t="inlineStr">
        <is>
          <t>是</t>
        </is>
      </c>
      <c r="X11" s="73" t="inlineStr">
        <is>
          <t>示例数据</t>
        </is>
      </c>
    </row>
    <row r="12" ht="46" customHeight="1" s="23">
      <c r="A12" s="71" t="inlineStr">
        <is>
          <t>OQ-20260814-0011</t>
        </is>
      </c>
      <c r="B12" s="72" t="n">
        <v>46248.10586805556</v>
      </c>
      <c r="C12" s="72" t="n">
        <v>46248.09375</v>
      </c>
      <c r="D12" s="73" t="inlineStr">
        <is>
          <t>微信公众号</t>
        </is>
      </c>
      <c r="E12" s="73" t="inlineStr">
        <is>
          <t>微信公众号/视频号</t>
        </is>
      </c>
      <c r="F12" s="73" t="inlineStr">
        <is>
          <t>评论区</t>
        </is>
      </c>
      <c r="G12" s="73" t="inlineStr">
        <is>
          <t>示例账号K</t>
        </is>
      </c>
      <c r="H12" s="73" t="inlineStr">
        <is>
          <t>请问促进法对少数民族传统节日有什么规定？</t>
        </is>
      </c>
      <c r="I12" s="73" t="inlineStr">
        <is>
          <t>https://mp.weixin.qq.com/example/0011</t>
        </is>
      </c>
      <c r="J12" s="73" t="inlineStr">
        <is>
          <t>广西</t>
        </is>
      </c>
      <c r="K12" s="73" t="inlineStr">
        <is>
          <t>广西</t>
        </is>
      </c>
      <c r="L12" s="73" t="inlineStr">
        <is>
          <t>广西</t>
        </is>
      </c>
      <c r="M12" s="73" t="inlineStr">
        <is>
          <t>南宁</t>
        </is>
      </c>
      <c r="N12" s="73" t="inlineStr">
        <is>
          <t>广西</t>
        </is>
      </c>
      <c r="O12" s="73" t="inlineStr">
        <is>
          <t>中文</t>
        </is>
      </c>
      <c r="P12" s="73" t="inlineStr">
        <is>
          <t>否</t>
        </is>
      </c>
      <c r="Q12" s="73" t="inlineStr">
        <is>
          <t>咨询疑问</t>
        </is>
      </c>
      <c r="R12" s="73" t="inlineStr">
        <is>
          <t>咨询疑问</t>
        </is>
      </c>
      <c r="S12" s="74" t="n">
        <v>3</v>
      </c>
      <c r="T12" s="74" t="n">
        <v>1</v>
      </c>
      <c r="U12" s="74" t="n">
        <v>0</v>
      </c>
      <c r="V12" s="73" t="inlineStr">
        <is>
          <t>否</t>
        </is>
      </c>
      <c r="W12" s="73" t="inlineStr">
        <is>
          <t>是</t>
        </is>
      </c>
      <c r="X12" s="73" t="inlineStr">
        <is>
          <t>示例数据</t>
        </is>
      </c>
    </row>
    <row r="13" ht="46" customHeight="1" s="23">
      <c r="A13" s="71" t="inlineStr">
        <is>
          <t>OQ-20260814-0012</t>
        </is>
      </c>
      <c r="B13" s="72" t="n">
        <v>46248.10777777778</v>
      </c>
      <c r="C13" s="72" t="n">
        <v>46248.09722222222</v>
      </c>
      <c r="D13" s="73" t="inlineStr">
        <is>
          <t>快手</t>
        </is>
      </c>
      <c r="E13" s="73" t="inlineStr">
        <is>
          <t>快手</t>
        </is>
      </c>
      <c r="F13" s="73" t="inlineStr">
        <is>
          <t>评论区</t>
        </is>
      </c>
      <c r="G13" s="73" t="inlineStr">
        <is>
          <t>示例账号L</t>
        </is>
      </c>
      <c r="H13" s="73" t="inlineStr">
        <is>
          <t>反对就业歧视，支持促进法！</t>
        </is>
      </c>
      <c r="I13" s="73" t="inlineStr">
        <is>
          <t>https://kuaishou.com/example/0012</t>
        </is>
      </c>
      <c r="J13" s="73" t="inlineStr">
        <is>
          <t>宁夏</t>
        </is>
      </c>
      <c r="K13" s="73" t="inlineStr">
        <is>
          <t>宁夏、贵州、重庆、湖南、湖北、浙江</t>
        </is>
      </c>
      <c r="L13" s="73" t="inlineStr">
        <is>
          <t>宁夏</t>
        </is>
      </c>
      <c r="M13" s="73" t="inlineStr">
        <is>
          <t>银川</t>
        </is>
      </c>
      <c r="N13" s="73" t="inlineStr">
        <is>
          <t>宁夏</t>
        </is>
      </c>
      <c r="O13" s="73" t="inlineStr">
        <is>
          <t>中文</t>
        </is>
      </c>
      <c r="P13" s="73" t="inlineStr">
        <is>
          <t>否</t>
        </is>
      </c>
      <c r="Q13" s="73" t="inlineStr">
        <is>
          <t>支持认可</t>
        </is>
      </c>
      <c r="R13" s="73" t="inlineStr">
        <is>
          <t>-</t>
        </is>
      </c>
      <c r="S13" s="74" t="n">
        <v>45</v>
      </c>
      <c r="T13" s="74" t="n">
        <v>6</v>
      </c>
      <c r="U13" s="74" t="n">
        <v>2</v>
      </c>
      <c r="V13" s="73" t="inlineStr">
        <is>
          <t>否</t>
        </is>
      </c>
      <c r="W13" s="73" t="inlineStr">
        <is>
          <t>是</t>
        </is>
      </c>
      <c r="X13" s="73" t="inlineStr">
        <is>
          <t>示例数据</t>
        </is>
      </c>
    </row>
    <row r="14">
      <c r="A14" t="inlineStr">
        <is>
          <t>site_news-06378a2c36730431</t>
        </is>
      </c>
      <c r="B14" s="82" t="n">
        <v>46250.92123842592</v>
      </c>
      <c r="C14" s="82" t="n">
        <v>46230</v>
      </c>
      <c r="D14" t="inlineStr">
        <is>
          <t>政务网站</t>
        </is>
      </c>
      <c r="E14" t="inlineStr">
        <is>
          <t>省市政务/媒体网站</t>
        </is>
      </c>
      <c r="F14" t="inlineStr">
        <is>
          <t>河北省民族事务委员会·首页</t>
        </is>
      </c>
      <c r="G14" t="inlineStr">
        <is>
          <t>河北省民族事务委员会</t>
        </is>
      </c>
      <c r="H14" t="inlineStr">
        <is>
          <t>全国民族团结进步创建工作经验交流会议在湖北恩施州召开</t>
        </is>
      </c>
      <c r="I14" t="inlineStr">
        <is>
          <t>https://mw.hebei.gov.cn/system/2026/07/27/030390635.shtml</t>
        </is>
      </c>
      <c r="J14" t="inlineStr">
        <is>
          <t>河北</t>
        </is>
      </c>
      <c r="L14" t="inlineStr">
        <is>
          <t>河北</t>
        </is>
      </c>
      <c r="O14" t="inlineStr">
        <is>
          <t>中文</t>
        </is>
      </c>
      <c r="P14" t="inlineStr">
        <is>
          <t>否</t>
        </is>
      </c>
      <c r="Q14" t="inlineStr">
        <is>
          <t>待核实</t>
        </is>
      </c>
      <c r="S14" t="n">
        <v>0</v>
      </c>
      <c r="T14" t="n">
        <v>0</v>
      </c>
      <c r="U14" t="n">
        <v>0</v>
      </c>
      <c r="V14" t="inlineStr">
        <is>
          <t>否</t>
        </is>
      </c>
      <c r="W14" t="inlineStr">
        <is>
          <t>是</t>
        </is>
      </c>
      <c r="X14" t="inlineStr">
        <is>
          <t>网站通用采集模板（省民宗委）；标题级采集，发布时间来自列表页；正文与态度待扩展</t>
        </is>
      </c>
    </row>
    <row r="15">
      <c r="A15" t="inlineStr">
        <is>
          <t>site_news-0ca5b813ca576889</t>
        </is>
      </c>
      <c r="B15" s="82" t="n">
        <v>46250.92123842592</v>
      </c>
      <c r="C15" s="82" t="n">
        <v>46244</v>
      </c>
      <c r="D15" t="inlineStr">
        <is>
          <t>政务网站</t>
        </is>
      </c>
      <c r="E15" t="inlineStr">
        <is>
          <t>省市政务/媒体网站</t>
        </is>
      </c>
      <c r="F15" t="inlineStr">
        <is>
          <t>河北省民族事务委员会·首页</t>
        </is>
      </c>
      <c r="G15" t="inlineStr">
        <is>
          <t>河北省民族事务委员会</t>
        </is>
      </c>
      <c r="H15" t="inlineStr">
        <is>
          <t>顺应交往交流交融趋势，推动各民族互嵌式发展――四论学习贯彻民族团结进步促进法</t>
        </is>
      </c>
      <c r="I15" t="inlineStr">
        <is>
          <t>https://mw.hebei.gov.cn/system/2026/08/10/030391920.shtml</t>
        </is>
      </c>
      <c r="J15" t="inlineStr">
        <is>
          <t>河北</t>
        </is>
      </c>
      <c r="L15" t="inlineStr">
        <is>
          <t>河北</t>
        </is>
      </c>
      <c r="O15" t="inlineStr">
        <is>
          <t>中文</t>
        </is>
      </c>
      <c r="P15" t="inlineStr">
        <is>
          <t>否</t>
        </is>
      </c>
      <c r="Q15" t="inlineStr">
        <is>
          <t>待核实</t>
        </is>
      </c>
      <c r="S15" t="n">
        <v>0</v>
      </c>
      <c r="T15" t="n">
        <v>0</v>
      </c>
      <c r="U15" t="n">
        <v>0</v>
      </c>
      <c r="V15" t="inlineStr">
        <is>
          <t>否</t>
        </is>
      </c>
      <c r="W15" t="inlineStr">
        <is>
          <t>是</t>
        </is>
      </c>
      <c r="X15" t="inlineStr">
        <is>
          <t>网站通用采集模板（省民宗委）；标题级采集，发布时间来自列表页；正文与态度待扩展</t>
        </is>
      </c>
    </row>
    <row r="16">
      <c r="A16" t="inlineStr">
        <is>
          <t>site_news-359a2b0284b42d81</t>
        </is>
      </c>
      <c r="B16" s="82" t="n">
        <v>46250.92123842592</v>
      </c>
      <c r="C16" s="82" t="n">
        <v>46237</v>
      </c>
      <c r="D16" t="inlineStr">
        <is>
          <t>政务网站</t>
        </is>
      </c>
      <c r="E16" t="inlineStr">
        <is>
          <t>省市政务/媒体网站</t>
        </is>
      </c>
      <c r="F16" t="inlineStr">
        <is>
          <t>河北省民族事务委员会·首页</t>
        </is>
      </c>
      <c r="G16" t="inlineStr">
        <is>
          <t>河北省民族事务委员会</t>
        </is>
      </c>
      <c r="H16" t="inlineStr">
        <is>
          <t>用法律保障民族团结：中国共产党依法治理民族事务的百年历程</t>
        </is>
      </c>
      <c r="I16" t="inlineStr">
        <is>
          <t>https://mw.hebei.gov.cn/system/2026/08/03/030391313.shtml</t>
        </is>
      </c>
      <c r="J16" t="inlineStr">
        <is>
          <t>河北</t>
        </is>
      </c>
      <c r="L16" t="inlineStr">
        <is>
          <t>河北</t>
        </is>
      </c>
      <c r="O16" t="inlineStr">
        <is>
          <t>中文</t>
        </is>
      </c>
      <c r="P16" t="inlineStr">
        <is>
          <t>否</t>
        </is>
      </c>
      <c r="Q16" t="inlineStr">
        <is>
          <t>待核实</t>
        </is>
      </c>
      <c r="S16" t="n">
        <v>0</v>
      </c>
      <c r="T16" t="n">
        <v>0</v>
      </c>
      <c r="U16" t="n">
        <v>0</v>
      </c>
      <c r="V16" t="inlineStr">
        <is>
          <t>否</t>
        </is>
      </c>
      <c r="W16" t="inlineStr">
        <is>
          <t>是</t>
        </is>
      </c>
      <c r="X16" t="inlineStr">
        <is>
          <t>网站通用采集模板（省民宗委）；标题级采集，发布时间来自列表页；正文与态度待扩展</t>
        </is>
      </c>
    </row>
    <row r="17">
      <c r="A17" t="inlineStr">
        <is>
          <t>site_news-4527f7c2b015dd2d</t>
        </is>
      </c>
      <c r="B17" s="82" t="n">
        <v>46250.92123842592</v>
      </c>
      <c r="C17" s="82" t="n">
        <v>46223</v>
      </c>
      <c r="D17" t="inlineStr">
        <is>
          <t>政务网站</t>
        </is>
      </c>
      <c r="E17" t="inlineStr">
        <is>
          <t>省市政务/媒体网站</t>
        </is>
      </c>
      <c r="F17" t="inlineStr">
        <is>
          <t>河北省民族事务委员会·首页</t>
        </is>
      </c>
      <c r="G17" t="inlineStr">
        <is>
          <t>河北省民族事务委员会</t>
        </is>
      </c>
      <c r="H17" t="inlineStr">
        <is>
          <t>夯实中华民族共同体建设的法治根基――一论学习贯彻民族团结进步促进法</t>
        </is>
      </c>
      <c r="I17" t="inlineStr">
        <is>
          <t>https://mw.hebei.gov.cn/system/2026/07/19/030389906.shtml</t>
        </is>
      </c>
      <c r="J17" t="inlineStr">
        <is>
          <t>河北</t>
        </is>
      </c>
      <c r="L17" t="inlineStr">
        <is>
          <t>河北</t>
        </is>
      </c>
      <c r="O17" t="inlineStr">
        <is>
          <t>中文</t>
        </is>
      </c>
      <c r="P17" t="inlineStr">
        <is>
          <t>否</t>
        </is>
      </c>
      <c r="Q17" t="inlineStr">
        <is>
          <t>待核实</t>
        </is>
      </c>
      <c r="S17" t="n">
        <v>0</v>
      </c>
      <c r="T17" t="n">
        <v>0</v>
      </c>
      <c r="U17" t="n">
        <v>0</v>
      </c>
      <c r="V17" t="inlineStr">
        <is>
          <t>否</t>
        </is>
      </c>
      <c r="W17" t="inlineStr">
        <is>
          <t>是</t>
        </is>
      </c>
      <c r="X17" t="inlineStr">
        <is>
          <t>网站通用采集模板（省民宗委）；标题级采集，发布时间来自列表页；正文与态度待扩展</t>
        </is>
      </c>
    </row>
    <row r="18">
      <c r="A18" t="inlineStr">
        <is>
          <t>site_news-e5b0f8db56a8ef94</t>
        </is>
      </c>
      <c r="B18" s="82" t="n">
        <v>46250.92123842592</v>
      </c>
      <c r="C18" s="82" t="n">
        <v>46203</v>
      </c>
      <c r="D18" t="inlineStr">
        <is>
          <t>政务网站</t>
        </is>
      </c>
      <c r="E18" t="inlineStr">
        <is>
          <t>省市政务/媒体网站</t>
        </is>
      </c>
      <c r="F18" t="inlineStr">
        <is>
          <t>河北省民族事务委员会·首页</t>
        </is>
      </c>
      <c r="G18" t="inlineStr">
        <is>
          <t>河北省民族事务委员会</t>
        </is>
      </c>
      <c r="H18" t="inlineStr">
        <is>
          <t>良法已就，善治在行：用法律保障民族团结</t>
        </is>
      </c>
      <c r="I18" t="inlineStr">
        <is>
          <t>https://mw.hebei.gov.cn/system/2026/06/30/030387984.shtml</t>
        </is>
      </c>
      <c r="J18" t="inlineStr">
        <is>
          <t>河北</t>
        </is>
      </c>
      <c r="L18" t="inlineStr">
        <is>
          <t>河北</t>
        </is>
      </c>
      <c r="O18" t="inlineStr">
        <is>
          <t>中文</t>
        </is>
      </c>
      <c r="P18" t="inlineStr">
        <is>
          <t>否</t>
        </is>
      </c>
      <c r="Q18" t="inlineStr">
        <is>
          <t>待核实</t>
        </is>
      </c>
      <c r="S18" t="n">
        <v>0</v>
      </c>
      <c r="T18" t="n">
        <v>0</v>
      </c>
      <c r="U18" t="n">
        <v>0</v>
      </c>
      <c r="V18" t="inlineStr">
        <is>
          <t>否</t>
        </is>
      </c>
      <c r="W18" t="inlineStr">
        <is>
          <t>是</t>
        </is>
      </c>
      <c r="X18" t="inlineStr">
        <is>
          <t>网站通用采集模板（省民宗委）；标题级采集，发布时间来自列表页；正文与态度待扩展</t>
        </is>
      </c>
    </row>
  </sheetData>
  <conditionalFormatting sqref="A2:X13">
    <cfRule type="expression" priority="1" dxfId="1">
      <formula>MOD(ROW(),2)=0</formula>
    </cfRule>
  </conditionalFormatting>
  <dataValidations count="1">
    <dataValidation sqref="V2:W13" showDropDown="0" showInputMessage="0" showErrorMessage="0" allowBlank="0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23" min="1" max="1"/>
    <col width="11" customWidth="1" style="23" min="2" max="2"/>
    <col width="12" customWidth="1" style="23" min="3" max="3"/>
    <col width="12" customWidth="1" style="23" min="4" max="4"/>
    <col width="12" customWidth="1" style="23" min="5" max="5"/>
    <col width="12" customWidth="1" style="23" min="6" max="6"/>
    <col width="12" customWidth="1" style="23" min="7" max="7"/>
    <col width="13" customWidth="1" style="23" min="8" max="8"/>
  </cols>
  <sheetData>
    <row r="1" ht="34" customHeight="1" s="23">
      <c r="A1" s="78" t="inlineStr">
        <is>
          <t>平台组</t>
        </is>
      </c>
      <c r="B1" s="78" t="inlineStr">
        <is>
          <t>总量</t>
        </is>
      </c>
      <c r="C1" s="78" t="inlineStr">
        <is>
          <t>支持认可</t>
        </is>
      </c>
      <c r="D1" s="78" t="inlineStr">
        <is>
          <t>咨询疑问</t>
        </is>
      </c>
      <c r="E1" s="78" t="inlineStr">
        <is>
          <t>担忧影响</t>
        </is>
      </c>
      <c r="F1" s="78" t="inlineStr">
        <is>
          <t>明确批评</t>
        </is>
      </c>
      <c r="G1" s="78" t="inlineStr">
        <is>
          <t>参与建议</t>
        </is>
      </c>
      <c r="H1" s="78" t="inlineStr">
        <is>
          <t>非支持合计</t>
        </is>
      </c>
    </row>
    <row r="2" ht="32" customHeight="1" s="23">
      <c r="A2" s="71" t="inlineStr">
        <is>
          <t>微博/热榜</t>
        </is>
      </c>
      <c r="B2" s="74">
        <f>COUNTIF('舆情事实表'!$E$2:$E$13,$A2)</f>
        <v/>
      </c>
      <c r="C2" s="74">
        <f>COUNTIFS('舆情事实表'!$E$2:$E$13,$A2,'舆情事实表'!$Q$2:$Q$13,"支持认可")</f>
        <v/>
      </c>
      <c r="D2" s="74">
        <f>COUNTIFS('舆情事实表'!$E$2:$E$13,$A2,'舆情事实表'!$R$2:$R$13,"咨询疑问")</f>
        <v/>
      </c>
      <c r="E2" s="74">
        <f>COUNTIFS('舆情事实表'!$E$2:$E$13,$A2,'舆情事实表'!$R$2:$R$13,"担忧影响")</f>
        <v/>
      </c>
      <c r="F2" s="74">
        <f>COUNTIFS('舆情事实表'!$E$2:$E$13,$A2,'舆情事实表'!$Q$2:$Q$13,"明确批评")</f>
        <v/>
      </c>
      <c r="G2" s="74">
        <f>COUNTIFS('舆情事实表'!$E$2:$E$13,$A2,'舆情事实表'!$R$2:$R$13,"参与建议")</f>
        <v/>
      </c>
      <c r="H2" s="74">
        <f>SUM(D2:F2)</f>
        <v/>
      </c>
    </row>
    <row r="3" ht="32" customHeight="1" s="23">
      <c r="A3" s="71" t="inlineStr">
        <is>
          <t>抖音等视频平台</t>
        </is>
      </c>
      <c r="B3" s="74">
        <f>COUNTIF('舆情事实表'!$E$2:$E$13,$A3)</f>
        <v/>
      </c>
      <c r="C3" s="74">
        <f>COUNTIFS('舆情事实表'!$E$2:$E$13,$A3,'舆情事实表'!$Q$2:$Q$13,"支持认可")</f>
        <v/>
      </c>
      <c r="D3" s="74">
        <f>COUNTIFS('舆情事实表'!$E$2:$E$13,$A3,'舆情事实表'!$R$2:$R$13,"咨询疑问")</f>
        <v/>
      </c>
      <c r="E3" s="74">
        <f>COUNTIFS('舆情事实表'!$E$2:$E$13,$A3,'舆情事实表'!$R$2:$R$13,"担忧影响")</f>
        <v/>
      </c>
      <c r="F3" s="74">
        <f>COUNTIFS('舆情事实表'!$E$2:$E$13,$A3,'舆情事实表'!$Q$2:$Q$13,"明确批评")</f>
        <v/>
      </c>
      <c r="G3" s="74">
        <f>COUNTIFS('舆情事实表'!$E$2:$E$13,$A3,'舆情事实表'!$R$2:$R$13,"参与建议")</f>
        <v/>
      </c>
      <c r="H3" s="74">
        <f>SUM(D3:F3)</f>
        <v/>
      </c>
    </row>
    <row r="4" ht="32" customHeight="1" s="23">
      <c r="A4" s="71" t="inlineStr">
        <is>
          <t>快手</t>
        </is>
      </c>
      <c r="B4" s="74">
        <f>COUNTIF('舆情事实表'!$E$2:$E$13,$A4)</f>
        <v/>
      </c>
      <c r="C4" s="74">
        <f>COUNTIFS('舆情事实表'!$E$2:$E$13,$A4,'舆情事实表'!$Q$2:$Q$13,"支持认可")</f>
        <v/>
      </c>
      <c r="D4" s="74">
        <f>COUNTIFS('舆情事实表'!$E$2:$E$13,$A4,'舆情事实表'!$R$2:$R$13,"咨询疑问")</f>
        <v/>
      </c>
      <c r="E4" s="74">
        <f>COUNTIFS('舆情事实表'!$E$2:$E$13,$A4,'舆情事实表'!$R$2:$R$13,"担忧影响")</f>
        <v/>
      </c>
      <c r="F4" s="74">
        <f>COUNTIFS('舆情事实表'!$E$2:$E$13,$A4,'舆情事实表'!$Q$2:$Q$13,"明确批评")</f>
        <v/>
      </c>
      <c r="G4" s="74">
        <f>COUNTIFS('舆情事实表'!$E$2:$E$13,$A4,'舆情事实表'!$R$2:$R$13,"参与建议")</f>
        <v/>
      </c>
      <c r="H4" s="74">
        <f>SUM(D4:F4)</f>
        <v/>
      </c>
    </row>
    <row r="5" ht="32" customHeight="1" s="23">
      <c r="A5" s="71" t="inlineStr">
        <is>
          <t>小红书/豆瓣等平台</t>
        </is>
      </c>
      <c r="B5" s="74">
        <f>COUNTIF('舆情事实表'!$E$2:$E$13,$A5)</f>
        <v/>
      </c>
      <c r="C5" s="74">
        <f>COUNTIFS('舆情事实表'!$E$2:$E$13,$A5,'舆情事实表'!$Q$2:$Q$13,"支持认可")</f>
        <v/>
      </c>
      <c r="D5" s="74">
        <f>COUNTIFS('舆情事实表'!$E$2:$E$13,$A5,'舆情事实表'!$R$2:$R$13,"咨询疑问")</f>
        <v/>
      </c>
      <c r="E5" s="74">
        <f>COUNTIFS('舆情事实表'!$E$2:$E$13,$A5,'舆情事实表'!$R$2:$R$13,"担忧影响")</f>
        <v/>
      </c>
      <c r="F5" s="74">
        <f>COUNTIFS('舆情事实表'!$E$2:$E$13,$A5,'舆情事实表'!$Q$2:$Q$13,"明确批评")</f>
        <v/>
      </c>
      <c r="G5" s="74">
        <f>COUNTIFS('舆情事实表'!$E$2:$E$13,$A5,'舆情事实表'!$R$2:$R$13,"参与建议")</f>
        <v/>
      </c>
      <c r="H5" s="74">
        <f>SUM(D5:F5)</f>
        <v/>
      </c>
    </row>
    <row r="6" ht="32" customHeight="1" s="23">
      <c r="A6" s="71" t="inlineStr">
        <is>
          <t>知乎/B站/百度知道</t>
        </is>
      </c>
      <c r="B6" s="74">
        <f>COUNTIF('舆情事实表'!$E$2:$E$13,$A6)</f>
        <v/>
      </c>
      <c r="C6" s="74">
        <f>COUNTIFS('舆情事实表'!$E$2:$E$13,$A6,'舆情事实表'!$Q$2:$Q$13,"支持认可")</f>
        <v/>
      </c>
      <c r="D6" s="74">
        <f>COUNTIFS('舆情事实表'!$E$2:$E$13,$A6,'舆情事实表'!$R$2:$R$13,"咨询疑问")</f>
        <v/>
      </c>
      <c r="E6" s="74">
        <f>COUNTIFS('舆情事实表'!$E$2:$E$13,$A6,'舆情事实表'!$R$2:$R$13,"担忧影响")</f>
        <v/>
      </c>
      <c r="F6" s="74">
        <f>COUNTIFS('舆情事实表'!$E$2:$E$13,$A6,'舆情事实表'!$Q$2:$Q$13,"明确批评")</f>
        <v/>
      </c>
      <c r="G6" s="74">
        <f>COUNTIFS('舆情事实表'!$E$2:$E$13,$A6,'舆情事实表'!$R$2:$R$13,"参与建议")</f>
        <v/>
      </c>
      <c r="H6" s="74">
        <f>SUM(D6:F6)</f>
        <v/>
      </c>
    </row>
    <row r="7" ht="32" customHeight="1" s="23">
      <c r="A7" s="71" t="inlineStr">
        <is>
          <t>贴吧/头条/新闻评论</t>
        </is>
      </c>
      <c r="B7" s="74">
        <f>COUNTIF('舆情事实表'!$E$2:$E$13,$A7)</f>
        <v/>
      </c>
      <c r="C7" s="74">
        <f>COUNTIFS('舆情事实表'!$E$2:$E$13,$A7,'舆情事实表'!$Q$2:$Q$13,"支持认可")</f>
        <v/>
      </c>
      <c r="D7" s="74">
        <f>COUNTIFS('舆情事实表'!$E$2:$E$13,$A7,'舆情事实表'!$R$2:$R$13,"咨询疑问")</f>
        <v/>
      </c>
      <c r="E7" s="74">
        <f>COUNTIFS('舆情事实表'!$E$2:$E$13,$A7,'舆情事实表'!$R$2:$R$13,"担忧影响")</f>
        <v/>
      </c>
      <c r="F7" s="74">
        <f>COUNTIFS('舆情事实表'!$E$2:$E$13,$A7,'舆情事实表'!$Q$2:$Q$13,"明确批评")</f>
        <v/>
      </c>
      <c r="G7" s="74">
        <f>COUNTIFS('舆情事实表'!$E$2:$E$13,$A7,'舆情事实表'!$R$2:$R$13,"参与建议")</f>
        <v/>
      </c>
      <c r="H7" s="74">
        <f>SUM(D7:F7)</f>
        <v/>
      </c>
    </row>
    <row r="8" ht="32" customHeight="1" s="23">
      <c r="A8" s="71" t="inlineStr">
        <is>
          <t>微信公众号/视频号</t>
        </is>
      </c>
      <c r="B8" s="74">
        <f>COUNTIF('舆情事实表'!$E$2:$E$13,$A8)</f>
        <v/>
      </c>
      <c r="C8" s="74">
        <f>COUNTIFS('舆情事实表'!$E$2:$E$13,$A8,'舆情事实表'!$Q$2:$Q$13,"支持认可")</f>
        <v/>
      </c>
      <c r="D8" s="74">
        <f>COUNTIFS('舆情事实表'!$E$2:$E$13,$A8,'舆情事实表'!$R$2:$R$13,"咨询疑问")</f>
        <v/>
      </c>
      <c r="E8" s="74">
        <f>COUNTIFS('舆情事实表'!$E$2:$E$13,$A8,'舆情事实表'!$R$2:$R$13,"担忧影响")</f>
        <v/>
      </c>
      <c r="F8" s="74">
        <f>COUNTIFS('舆情事实表'!$E$2:$E$13,$A8,'舆情事实表'!$Q$2:$Q$13,"明确批评")</f>
        <v/>
      </c>
      <c r="G8" s="74">
        <f>COUNTIFS('舆情事实表'!$E$2:$E$13,$A8,'舆情事实表'!$R$2:$R$13,"参与建议")</f>
        <v/>
      </c>
      <c r="H8" s="74">
        <f>SUM(D8:F8)</f>
        <v/>
      </c>
    </row>
    <row r="9" ht="32" customHeight="1" s="23">
      <c r="A9" s="79" t="inlineStr">
        <is>
          <t>合计</t>
        </is>
      </c>
      <c r="B9" s="80">
        <f>SUM(B2:B8)</f>
        <v/>
      </c>
      <c r="C9" s="80">
        <f>SUM(C2:C8)</f>
        <v/>
      </c>
      <c r="D9" s="80">
        <f>SUM(D2:D8)</f>
        <v/>
      </c>
      <c r="E9" s="80">
        <f>SUM(E2:E8)</f>
        <v/>
      </c>
      <c r="F9" s="80">
        <f>SUM(F2:F8)</f>
        <v/>
      </c>
      <c r="G9" s="80">
        <f>SUM(G2:G8)</f>
        <v/>
      </c>
      <c r="H9" s="80">
        <f>SUM(H2:H8)</f>
        <v/>
      </c>
    </row>
  </sheetData>
  <conditionalFormatting sqref="A2:H8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3" min="1" max="1"/>
    <col width="11" customWidth="1" style="23" min="2" max="2"/>
    <col width="12" customWidth="1" style="23" min="3" max="3"/>
    <col width="12" customWidth="1" style="23" min="4" max="4"/>
    <col width="12" customWidth="1" style="23" min="5" max="5"/>
    <col width="12" customWidth="1" style="23" min="6" max="6"/>
    <col width="12" customWidth="1" style="23" min="7" max="7"/>
    <col width="13" customWidth="1" style="23" min="8" max="8"/>
  </cols>
  <sheetData>
    <row r="1" ht="34" customHeight="1" s="23">
      <c r="A1" s="78" t="inlineStr">
        <is>
          <t>省份</t>
        </is>
      </c>
      <c r="B1" s="78" t="inlineStr">
        <is>
          <t>总量</t>
        </is>
      </c>
      <c r="C1" s="78" t="inlineStr">
        <is>
          <t>支持认可</t>
        </is>
      </c>
      <c r="D1" s="78" t="inlineStr">
        <is>
          <t>咨询疑问</t>
        </is>
      </c>
      <c r="E1" s="78" t="inlineStr">
        <is>
          <t>担忧影响</t>
        </is>
      </c>
      <c r="F1" s="78" t="inlineStr">
        <is>
          <t>明确批评</t>
        </is>
      </c>
      <c r="G1" s="78" t="inlineStr">
        <is>
          <t>参与建议</t>
        </is>
      </c>
      <c r="H1" s="78" t="inlineStr">
        <is>
          <t>非支持合计</t>
        </is>
      </c>
    </row>
    <row r="2" ht="32" customHeight="1" s="23">
      <c r="A2" s="71" t="inlineStr">
        <is>
          <t>北京</t>
        </is>
      </c>
      <c r="B2" s="74">
        <f>COUNTIF('舆情事实表'!$L$2:$L$1000,$A2)</f>
        <v/>
      </c>
      <c r="C2" s="74">
        <f>COUNTIFS('舆情事实表'!$L$2:$L$1000,$A2,'舆情事实表'!$Q$2:$Q$1000,"支持认可")</f>
        <v/>
      </c>
      <c r="D2" s="74">
        <f>COUNTIFS('舆情事实表'!$L$2:$L$1000,$A2,'舆情事实表'!$R$2:$R$1000,"咨询疑问")</f>
        <v/>
      </c>
      <c r="E2" s="74">
        <f>COUNTIFS('舆情事实表'!$L$2:$L$1000,$A2,'舆情事实表'!$R$2:$R$1000,"担忧影响")</f>
        <v/>
      </c>
      <c r="F2" s="74">
        <f>COUNTIFS('舆情事实表'!$L$2:$L$1000,$A2,'舆情事实表'!$Q$2:$Q$1000,"明确批评")</f>
        <v/>
      </c>
      <c r="G2" s="74">
        <f>COUNTIFS('舆情事实表'!$L$2:$L$1000,$A2,'舆情事实表'!$R$2:$R$1000,"参与建议")</f>
        <v/>
      </c>
      <c r="H2" s="74">
        <f>SUM(D2:F2)</f>
        <v/>
      </c>
    </row>
    <row r="3" ht="32" customHeight="1" s="23">
      <c r="A3" s="71" t="inlineStr">
        <is>
          <t>天津</t>
        </is>
      </c>
      <c r="B3" s="74">
        <f>COUNTIF('舆情事实表'!$L$2:$L$1000,$A3)</f>
        <v/>
      </c>
      <c r="C3" s="74">
        <f>COUNTIFS('舆情事实表'!$L$2:$L$1000,$A3,'舆情事实表'!$Q$2:$Q$1000,"支持认可")</f>
        <v/>
      </c>
      <c r="D3" s="74">
        <f>COUNTIFS('舆情事实表'!$L$2:$L$1000,$A3,'舆情事实表'!$R$2:$R$1000,"咨询疑问")</f>
        <v/>
      </c>
      <c r="E3" s="74">
        <f>COUNTIFS('舆情事实表'!$L$2:$L$1000,$A3,'舆情事实表'!$R$2:$R$1000,"担忧影响")</f>
        <v/>
      </c>
      <c r="F3" s="74">
        <f>COUNTIFS('舆情事实表'!$L$2:$L$1000,$A3,'舆情事实表'!$Q$2:$Q$1000,"明确批评")</f>
        <v/>
      </c>
      <c r="G3" s="74">
        <f>COUNTIFS('舆情事实表'!$L$2:$L$1000,$A3,'舆情事实表'!$R$2:$R$1000,"参与建议")</f>
        <v/>
      </c>
      <c r="H3" s="74">
        <f>SUM(D3:F3)</f>
        <v/>
      </c>
    </row>
    <row r="4" ht="32" customHeight="1" s="23">
      <c r="A4" s="71" t="inlineStr">
        <is>
          <t>河北</t>
        </is>
      </c>
      <c r="B4" s="74">
        <f>COUNTIF('舆情事实表'!$L$2:$L$1000,$A4)</f>
        <v/>
      </c>
      <c r="C4" s="74">
        <f>COUNTIFS('舆情事实表'!$L$2:$L$1000,$A4,'舆情事实表'!$Q$2:$Q$1000,"支持认可")</f>
        <v/>
      </c>
      <c r="D4" s="74">
        <f>COUNTIFS('舆情事实表'!$L$2:$L$1000,$A4,'舆情事实表'!$R$2:$R$1000,"咨询疑问")</f>
        <v/>
      </c>
      <c r="E4" s="74">
        <f>COUNTIFS('舆情事实表'!$L$2:$L$1000,$A4,'舆情事实表'!$R$2:$R$1000,"担忧影响")</f>
        <v/>
      </c>
      <c r="F4" s="74">
        <f>COUNTIFS('舆情事实表'!$L$2:$L$1000,$A4,'舆情事实表'!$Q$2:$Q$1000,"明确批评")</f>
        <v/>
      </c>
      <c r="G4" s="74">
        <f>COUNTIFS('舆情事实表'!$L$2:$L$1000,$A4,'舆情事实表'!$R$2:$R$1000,"参与建议")</f>
        <v/>
      </c>
      <c r="H4" s="74">
        <f>SUM(D4:F4)</f>
        <v/>
      </c>
    </row>
    <row r="5" ht="32" customHeight="1" s="23">
      <c r="A5" s="71" t="inlineStr">
        <is>
          <t>山西</t>
        </is>
      </c>
      <c r="B5" s="74">
        <f>COUNTIF('舆情事实表'!$L$2:$L$1000,$A5)</f>
        <v/>
      </c>
      <c r="C5" s="74">
        <f>COUNTIFS('舆情事实表'!$L$2:$L$1000,$A5,'舆情事实表'!$Q$2:$Q$1000,"支持认可")</f>
        <v/>
      </c>
      <c r="D5" s="74">
        <f>COUNTIFS('舆情事实表'!$L$2:$L$1000,$A5,'舆情事实表'!$R$2:$R$1000,"咨询疑问")</f>
        <v/>
      </c>
      <c r="E5" s="74">
        <f>COUNTIFS('舆情事实表'!$L$2:$L$1000,$A5,'舆情事实表'!$R$2:$R$1000,"担忧影响")</f>
        <v/>
      </c>
      <c r="F5" s="74">
        <f>COUNTIFS('舆情事实表'!$L$2:$L$1000,$A5,'舆情事实表'!$Q$2:$Q$1000,"明确批评")</f>
        <v/>
      </c>
      <c r="G5" s="74">
        <f>COUNTIFS('舆情事实表'!$L$2:$L$1000,$A5,'舆情事实表'!$R$2:$R$1000,"参与建议")</f>
        <v/>
      </c>
      <c r="H5" s="74">
        <f>SUM(D5:F5)</f>
        <v/>
      </c>
    </row>
    <row r="6" ht="32" customHeight="1" s="23">
      <c r="A6" s="71" t="inlineStr">
        <is>
          <t>内蒙古</t>
        </is>
      </c>
      <c r="B6" s="74">
        <f>COUNTIF('舆情事实表'!$L$2:$L$1000,$A6)</f>
        <v/>
      </c>
      <c r="C6" s="74">
        <f>COUNTIFS('舆情事实表'!$L$2:$L$1000,$A6,'舆情事实表'!$Q$2:$Q$1000,"支持认可")</f>
        <v/>
      </c>
      <c r="D6" s="74">
        <f>COUNTIFS('舆情事实表'!$L$2:$L$1000,$A6,'舆情事实表'!$R$2:$R$1000,"咨询疑问")</f>
        <v/>
      </c>
      <c r="E6" s="74">
        <f>COUNTIFS('舆情事实表'!$L$2:$L$1000,$A6,'舆情事实表'!$R$2:$R$1000,"担忧影响")</f>
        <v/>
      </c>
      <c r="F6" s="74">
        <f>COUNTIFS('舆情事实表'!$L$2:$L$1000,$A6,'舆情事实表'!$Q$2:$Q$1000,"明确批评")</f>
        <v/>
      </c>
      <c r="G6" s="74">
        <f>COUNTIFS('舆情事实表'!$L$2:$L$1000,$A6,'舆情事实表'!$R$2:$R$1000,"参与建议")</f>
        <v/>
      </c>
      <c r="H6" s="74">
        <f>SUM(D6:F6)</f>
        <v/>
      </c>
    </row>
    <row r="7" ht="32" customHeight="1" s="23">
      <c r="A7" s="71" t="inlineStr">
        <is>
          <t>辽宁</t>
        </is>
      </c>
      <c r="B7" s="74">
        <f>COUNTIF('舆情事实表'!$L$2:$L$1000,$A7)</f>
        <v/>
      </c>
      <c r="C7" s="74">
        <f>COUNTIFS('舆情事实表'!$L$2:$L$1000,$A7,'舆情事实表'!$Q$2:$Q$1000,"支持认可")</f>
        <v/>
      </c>
      <c r="D7" s="74">
        <f>COUNTIFS('舆情事实表'!$L$2:$L$1000,$A7,'舆情事实表'!$R$2:$R$1000,"咨询疑问")</f>
        <v/>
      </c>
      <c r="E7" s="74">
        <f>COUNTIFS('舆情事实表'!$L$2:$L$1000,$A7,'舆情事实表'!$R$2:$R$1000,"担忧影响")</f>
        <v/>
      </c>
      <c r="F7" s="74">
        <f>COUNTIFS('舆情事实表'!$L$2:$L$1000,$A7,'舆情事实表'!$Q$2:$Q$1000,"明确批评")</f>
        <v/>
      </c>
      <c r="G7" s="74">
        <f>COUNTIFS('舆情事实表'!$L$2:$L$1000,$A7,'舆情事实表'!$R$2:$R$1000,"参与建议")</f>
        <v/>
      </c>
      <c r="H7" s="74">
        <f>SUM(D7:F7)</f>
        <v/>
      </c>
    </row>
    <row r="8" ht="32" customHeight="1" s="23">
      <c r="A8" s="71" t="inlineStr">
        <is>
          <t>吉林</t>
        </is>
      </c>
      <c r="B8" s="74">
        <f>COUNTIF('舆情事实表'!$L$2:$L$1000,$A8)</f>
        <v/>
      </c>
      <c r="C8" s="74">
        <f>COUNTIFS('舆情事实表'!$L$2:$L$1000,$A8,'舆情事实表'!$Q$2:$Q$1000,"支持认可")</f>
        <v/>
      </c>
      <c r="D8" s="74">
        <f>COUNTIFS('舆情事实表'!$L$2:$L$1000,$A8,'舆情事实表'!$R$2:$R$1000,"咨询疑问")</f>
        <v/>
      </c>
      <c r="E8" s="74">
        <f>COUNTIFS('舆情事实表'!$L$2:$L$1000,$A8,'舆情事实表'!$R$2:$R$1000,"担忧影响")</f>
        <v/>
      </c>
      <c r="F8" s="74">
        <f>COUNTIFS('舆情事实表'!$L$2:$L$1000,$A8,'舆情事实表'!$Q$2:$Q$1000,"明确批评")</f>
        <v/>
      </c>
      <c r="G8" s="74">
        <f>COUNTIFS('舆情事实表'!$L$2:$L$1000,$A8,'舆情事实表'!$R$2:$R$1000,"参与建议")</f>
        <v/>
      </c>
      <c r="H8" s="74">
        <f>SUM(D8:F8)</f>
        <v/>
      </c>
    </row>
    <row r="9" ht="32" customHeight="1" s="23">
      <c r="A9" s="71" t="inlineStr">
        <is>
          <t>黑龙江</t>
        </is>
      </c>
      <c r="B9" s="74">
        <f>COUNTIF('舆情事实表'!$L$2:$L$1000,$A9)</f>
        <v/>
      </c>
      <c r="C9" s="74">
        <f>COUNTIFS('舆情事实表'!$L$2:$L$1000,$A9,'舆情事实表'!$Q$2:$Q$1000,"支持认可")</f>
        <v/>
      </c>
      <c r="D9" s="74">
        <f>COUNTIFS('舆情事实表'!$L$2:$L$1000,$A9,'舆情事实表'!$R$2:$R$1000,"咨询疑问")</f>
        <v/>
      </c>
      <c r="E9" s="74">
        <f>COUNTIFS('舆情事实表'!$L$2:$L$1000,$A9,'舆情事实表'!$R$2:$R$1000,"担忧影响")</f>
        <v/>
      </c>
      <c r="F9" s="74">
        <f>COUNTIFS('舆情事实表'!$L$2:$L$1000,$A9,'舆情事实表'!$Q$2:$Q$1000,"明确批评")</f>
        <v/>
      </c>
      <c r="G9" s="74">
        <f>COUNTIFS('舆情事实表'!$L$2:$L$1000,$A9,'舆情事实表'!$R$2:$R$1000,"参与建议")</f>
        <v/>
      </c>
      <c r="H9" s="74">
        <f>SUM(D9:F9)</f>
        <v/>
      </c>
    </row>
    <row r="10" ht="32" customHeight="1" s="23">
      <c r="A10" s="71" t="inlineStr">
        <is>
          <t>上海</t>
        </is>
      </c>
      <c r="B10" s="74">
        <f>COUNTIF('舆情事实表'!$L$2:$L$1000,$A10)</f>
        <v/>
      </c>
      <c r="C10" s="74">
        <f>COUNTIFS('舆情事实表'!$L$2:$L$1000,$A10,'舆情事实表'!$Q$2:$Q$1000,"支持认可")</f>
        <v/>
      </c>
      <c r="D10" s="74">
        <f>COUNTIFS('舆情事实表'!$L$2:$L$1000,$A10,'舆情事实表'!$R$2:$R$1000,"咨询疑问")</f>
        <v/>
      </c>
      <c r="E10" s="74">
        <f>COUNTIFS('舆情事实表'!$L$2:$L$1000,$A10,'舆情事实表'!$R$2:$R$1000,"担忧影响")</f>
        <v/>
      </c>
      <c r="F10" s="74">
        <f>COUNTIFS('舆情事实表'!$L$2:$L$1000,$A10,'舆情事实表'!$Q$2:$Q$1000,"明确批评")</f>
        <v/>
      </c>
      <c r="G10" s="74">
        <f>COUNTIFS('舆情事实表'!$L$2:$L$1000,$A10,'舆情事实表'!$R$2:$R$1000,"参与建议")</f>
        <v/>
      </c>
      <c r="H10" s="74">
        <f>SUM(D10:F10)</f>
        <v/>
      </c>
    </row>
    <row r="11" ht="32" customHeight="1" s="23">
      <c r="A11" s="71" t="inlineStr">
        <is>
          <t>江苏</t>
        </is>
      </c>
      <c r="B11" s="73">
        <f>COUNTIF('舆情事实表'!$L$2:$L$1000,$A11)</f>
        <v/>
      </c>
      <c r="C11" s="73">
        <f>COUNTIFS('舆情事实表'!$L$2:$L$1000,$A11,'舆情事实表'!$Q$2:$Q$1000,"支持认可")</f>
        <v/>
      </c>
      <c r="D11" s="73">
        <f>COUNTIFS('舆情事实表'!$L$2:$L$1000,$A11,'舆情事实表'!$R$2:$R$1000,"咨询疑问")</f>
        <v/>
      </c>
      <c r="E11" s="73">
        <f>COUNTIFS('舆情事实表'!$L$2:$L$1000,$A11,'舆情事实表'!$R$2:$R$1000,"担忧影响")</f>
        <v/>
      </c>
      <c r="F11" s="73">
        <f>COUNTIFS('舆情事实表'!$L$2:$L$1000,$A11,'舆情事实表'!$Q$2:$Q$1000,"明确批评")</f>
        <v/>
      </c>
      <c r="G11" s="73">
        <f>COUNTIFS('舆情事实表'!$L$2:$L$1000,$A11,'舆情事实表'!$R$2:$R$1000,"参与建议")</f>
        <v/>
      </c>
      <c r="H11" s="73">
        <f>SUM(D11:F11)</f>
        <v/>
      </c>
    </row>
    <row r="12" ht="32" customHeight="1" s="23">
      <c r="A12" s="71" t="inlineStr">
        <is>
          <t>浙江</t>
        </is>
      </c>
      <c r="B12" s="73">
        <f>COUNTIF('舆情事实表'!$L$2:$L$1000,$A12)</f>
        <v/>
      </c>
      <c r="C12" s="73">
        <f>COUNTIFS('舆情事实表'!$L$2:$L$1000,$A12,'舆情事实表'!$Q$2:$Q$1000,"支持认可")</f>
        <v/>
      </c>
      <c r="D12" s="73">
        <f>COUNTIFS('舆情事实表'!$L$2:$L$1000,$A12,'舆情事实表'!$R$2:$R$1000,"咨询疑问")</f>
        <v/>
      </c>
      <c r="E12" s="73">
        <f>COUNTIFS('舆情事实表'!$L$2:$L$1000,$A12,'舆情事实表'!$R$2:$R$1000,"担忧影响")</f>
        <v/>
      </c>
      <c r="F12" s="73">
        <f>COUNTIFS('舆情事实表'!$L$2:$L$1000,$A12,'舆情事实表'!$Q$2:$Q$1000,"明确批评")</f>
        <v/>
      </c>
      <c r="G12" s="73">
        <f>COUNTIFS('舆情事实表'!$L$2:$L$1000,$A12,'舆情事实表'!$R$2:$R$1000,"参与建议")</f>
        <v/>
      </c>
      <c r="H12" s="73">
        <f>SUM(D12:F12)</f>
        <v/>
      </c>
    </row>
    <row r="13" ht="32" customHeight="1" s="23">
      <c r="A13" s="71" t="inlineStr">
        <is>
          <t>安徽</t>
        </is>
      </c>
      <c r="B13" s="73">
        <f>COUNTIF('舆情事实表'!$L$2:$L$1000,$A13)</f>
        <v/>
      </c>
      <c r="C13" s="73">
        <f>COUNTIFS('舆情事实表'!$L$2:$L$1000,$A13,'舆情事实表'!$Q$2:$Q$1000,"支持认可")</f>
        <v/>
      </c>
      <c r="D13" s="73">
        <f>COUNTIFS('舆情事实表'!$L$2:$L$1000,$A13,'舆情事实表'!$R$2:$R$1000,"咨询疑问")</f>
        <v/>
      </c>
      <c r="E13" s="73">
        <f>COUNTIFS('舆情事实表'!$L$2:$L$1000,$A13,'舆情事实表'!$R$2:$R$1000,"担忧影响")</f>
        <v/>
      </c>
      <c r="F13" s="73">
        <f>COUNTIFS('舆情事实表'!$L$2:$L$1000,$A13,'舆情事实表'!$Q$2:$Q$1000,"明确批评")</f>
        <v/>
      </c>
      <c r="G13" s="73">
        <f>COUNTIFS('舆情事实表'!$L$2:$L$1000,$A13,'舆情事实表'!$R$2:$R$1000,"参与建议")</f>
        <v/>
      </c>
      <c r="H13" s="73">
        <f>SUM(D13:F13)</f>
        <v/>
      </c>
    </row>
    <row r="14" ht="32" customHeight="1" s="23">
      <c r="A14" s="71" t="inlineStr">
        <is>
          <t>福建</t>
        </is>
      </c>
      <c r="B14" s="73">
        <f>COUNTIF('舆情事实表'!$L$2:$L$1000,$A14)</f>
        <v/>
      </c>
      <c r="C14" s="73">
        <f>COUNTIFS('舆情事实表'!$L$2:$L$1000,$A14,'舆情事实表'!$Q$2:$Q$1000,"支持认可")</f>
        <v/>
      </c>
      <c r="D14" s="73">
        <f>COUNTIFS('舆情事实表'!$L$2:$L$1000,$A14,'舆情事实表'!$R$2:$R$1000,"咨询疑问")</f>
        <v/>
      </c>
      <c r="E14" s="73">
        <f>COUNTIFS('舆情事实表'!$L$2:$L$1000,$A14,'舆情事实表'!$R$2:$R$1000,"担忧影响")</f>
        <v/>
      </c>
      <c r="F14" s="73">
        <f>COUNTIFS('舆情事实表'!$L$2:$L$1000,$A14,'舆情事实表'!$Q$2:$Q$1000,"明确批评")</f>
        <v/>
      </c>
      <c r="G14" s="73">
        <f>COUNTIFS('舆情事实表'!$L$2:$L$1000,$A14,'舆情事实表'!$R$2:$R$1000,"参与建议")</f>
        <v/>
      </c>
      <c r="H14" s="73">
        <f>SUM(D14:F14)</f>
        <v/>
      </c>
    </row>
    <row r="15" ht="32" customHeight="1" s="23">
      <c r="A15" s="71" t="inlineStr">
        <is>
          <t>江西</t>
        </is>
      </c>
      <c r="B15" s="73">
        <f>COUNTIF('舆情事实表'!$L$2:$L$1000,$A15)</f>
        <v/>
      </c>
      <c r="C15" s="73">
        <f>COUNTIFS('舆情事实表'!$L$2:$L$1000,$A15,'舆情事实表'!$Q$2:$Q$1000,"支持认可")</f>
        <v/>
      </c>
      <c r="D15" s="73">
        <f>COUNTIFS('舆情事实表'!$L$2:$L$1000,$A15,'舆情事实表'!$R$2:$R$1000,"咨询疑问")</f>
        <v/>
      </c>
      <c r="E15" s="73">
        <f>COUNTIFS('舆情事实表'!$L$2:$L$1000,$A15,'舆情事实表'!$R$2:$R$1000,"担忧影响")</f>
        <v/>
      </c>
      <c r="F15" s="73">
        <f>COUNTIFS('舆情事实表'!$L$2:$L$1000,$A15,'舆情事实表'!$Q$2:$Q$1000,"明确批评")</f>
        <v/>
      </c>
      <c r="G15" s="73">
        <f>COUNTIFS('舆情事实表'!$L$2:$L$1000,$A15,'舆情事实表'!$R$2:$R$1000,"参与建议")</f>
        <v/>
      </c>
      <c r="H15" s="73">
        <f>SUM(D15:F15)</f>
        <v/>
      </c>
    </row>
    <row r="16" ht="32" customHeight="1" s="23">
      <c r="A16" s="71" t="inlineStr">
        <is>
          <t>山东</t>
        </is>
      </c>
      <c r="B16" s="73">
        <f>COUNTIF('舆情事实表'!$L$2:$L$1000,$A16)</f>
        <v/>
      </c>
      <c r="C16" s="73">
        <f>COUNTIFS('舆情事实表'!$L$2:$L$1000,$A16,'舆情事实表'!$Q$2:$Q$1000,"支持认可")</f>
        <v/>
      </c>
      <c r="D16" s="73">
        <f>COUNTIFS('舆情事实表'!$L$2:$L$1000,$A16,'舆情事实表'!$R$2:$R$1000,"咨询疑问")</f>
        <v/>
      </c>
      <c r="E16" s="73">
        <f>COUNTIFS('舆情事实表'!$L$2:$L$1000,$A16,'舆情事实表'!$R$2:$R$1000,"担忧影响")</f>
        <v/>
      </c>
      <c r="F16" s="73">
        <f>COUNTIFS('舆情事实表'!$L$2:$L$1000,$A16,'舆情事实表'!$Q$2:$Q$1000,"明确批评")</f>
        <v/>
      </c>
      <c r="G16" s="73">
        <f>COUNTIFS('舆情事实表'!$L$2:$L$1000,$A16,'舆情事实表'!$R$2:$R$1000,"参与建议")</f>
        <v/>
      </c>
      <c r="H16" s="73">
        <f>SUM(D16:F16)</f>
        <v/>
      </c>
    </row>
    <row r="17" ht="32" customHeight="1" s="23">
      <c r="A17" s="71" t="inlineStr">
        <is>
          <t>河南</t>
        </is>
      </c>
      <c r="B17" s="73">
        <f>COUNTIF('舆情事实表'!$L$2:$L$1000,$A17)</f>
        <v/>
      </c>
      <c r="C17" s="73">
        <f>COUNTIFS('舆情事实表'!$L$2:$L$1000,$A17,'舆情事实表'!$Q$2:$Q$1000,"支持认可")</f>
        <v/>
      </c>
      <c r="D17" s="73">
        <f>COUNTIFS('舆情事实表'!$L$2:$L$1000,$A17,'舆情事实表'!$R$2:$R$1000,"咨询疑问")</f>
        <v/>
      </c>
      <c r="E17" s="73">
        <f>COUNTIFS('舆情事实表'!$L$2:$L$1000,$A17,'舆情事实表'!$R$2:$R$1000,"担忧影响")</f>
        <v/>
      </c>
      <c r="F17" s="73">
        <f>COUNTIFS('舆情事实表'!$L$2:$L$1000,$A17,'舆情事实表'!$Q$2:$Q$1000,"明确批评")</f>
        <v/>
      </c>
      <c r="G17" s="73">
        <f>COUNTIFS('舆情事实表'!$L$2:$L$1000,$A17,'舆情事实表'!$R$2:$R$1000,"参与建议")</f>
        <v/>
      </c>
      <c r="H17" s="73">
        <f>SUM(D17:F17)</f>
        <v/>
      </c>
    </row>
    <row r="18" ht="32" customHeight="1" s="23">
      <c r="A18" s="71" t="inlineStr">
        <is>
          <t>湖北</t>
        </is>
      </c>
      <c r="B18" s="73">
        <f>COUNTIF('舆情事实表'!$L$2:$L$1000,$A18)</f>
        <v/>
      </c>
      <c r="C18" s="73">
        <f>COUNTIFS('舆情事实表'!$L$2:$L$1000,$A18,'舆情事实表'!$Q$2:$Q$1000,"支持认可")</f>
        <v/>
      </c>
      <c r="D18" s="73">
        <f>COUNTIFS('舆情事实表'!$L$2:$L$1000,$A18,'舆情事实表'!$R$2:$R$1000,"咨询疑问")</f>
        <v/>
      </c>
      <c r="E18" s="73">
        <f>COUNTIFS('舆情事实表'!$L$2:$L$1000,$A18,'舆情事实表'!$R$2:$R$1000,"担忧影响")</f>
        <v/>
      </c>
      <c r="F18" s="73">
        <f>COUNTIFS('舆情事实表'!$L$2:$L$1000,$A18,'舆情事实表'!$Q$2:$Q$1000,"明确批评")</f>
        <v/>
      </c>
      <c r="G18" s="73">
        <f>COUNTIFS('舆情事实表'!$L$2:$L$1000,$A18,'舆情事实表'!$R$2:$R$1000,"参与建议")</f>
        <v/>
      </c>
      <c r="H18" s="73">
        <f>SUM(D18:F18)</f>
        <v/>
      </c>
    </row>
    <row r="19" ht="32" customHeight="1" s="23">
      <c r="A19" s="71" t="inlineStr">
        <is>
          <t>湖南</t>
        </is>
      </c>
      <c r="B19" s="73">
        <f>COUNTIF('舆情事实表'!$L$2:$L$1000,$A19)</f>
        <v/>
      </c>
      <c r="C19" s="73">
        <f>COUNTIFS('舆情事实表'!$L$2:$L$1000,$A19,'舆情事实表'!$Q$2:$Q$1000,"支持认可")</f>
        <v/>
      </c>
      <c r="D19" s="73">
        <f>COUNTIFS('舆情事实表'!$L$2:$L$1000,$A19,'舆情事实表'!$R$2:$R$1000,"咨询疑问")</f>
        <v/>
      </c>
      <c r="E19" s="73">
        <f>COUNTIFS('舆情事实表'!$L$2:$L$1000,$A19,'舆情事实表'!$R$2:$R$1000,"担忧影响")</f>
        <v/>
      </c>
      <c r="F19" s="73">
        <f>COUNTIFS('舆情事实表'!$L$2:$L$1000,$A19,'舆情事实表'!$Q$2:$Q$1000,"明确批评")</f>
        <v/>
      </c>
      <c r="G19" s="73">
        <f>COUNTIFS('舆情事实表'!$L$2:$L$1000,$A19,'舆情事实表'!$R$2:$R$1000,"参与建议")</f>
        <v/>
      </c>
      <c r="H19" s="73">
        <f>SUM(D19:F19)</f>
        <v/>
      </c>
    </row>
    <row r="20" ht="32" customHeight="1" s="23">
      <c r="A20" s="71" t="inlineStr">
        <is>
          <t>广东</t>
        </is>
      </c>
      <c r="B20" s="73">
        <f>COUNTIF('舆情事实表'!$L$2:$L$1000,$A20)</f>
        <v/>
      </c>
      <c r="C20" s="73">
        <f>COUNTIFS('舆情事实表'!$L$2:$L$1000,$A20,'舆情事实表'!$Q$2:$Q$1000,"支持认可")</f>
        <v/>
      </c>
      <c r="D20" s="73">
        <f>COUNTIFS('舆情事实表'!$L$2:$L$1000,$A20,'舆情事实表'!$R$2:$R$1000,"咨询疑问")</f>
        <v/>
      </c>
      <c r="E20" s="73">
        <f>COUNTIFS('舆情事实表'!$L$2:$L$1000,$A20,'舆情事实表'!$R$2:$R$1000,"担忧影响")</f>
        <v/>
      </c>
      <c r="F20" s="73">
        <f>COUNTIFS('舆情事实表'!$L$2:$L$1000,$A20,'舆情事实表'!$Q$2:$Q$1000,"明确批评")</f>
        <v/>
      </c>
      <c r="G20" s="73">
        <f>COUNTIFS('舆情事实表'!$L$2:$L$1000,$A20,'舆情事实表'!$R$2:$R$1000,"参与建议")</f>
        <v/>
      </c>
      <c r="H20" s="73">
        <f>SUM(D20:F20)</f>
        <v/>
      </c>
    </row>
    <row r="21" ht="32" customHeight="1" s="23">
      <c r="A21" s="71" t="inlineStr">
        <is>
          <t>广西</t>
        </is>
      </c>
      <c r="B21" s="73">
        <f>COUNTIF('舆情事实表'!$L$2:$L$1000,$A21)</f>
        <v/>
      </c>
      <c r="C21" s="73">
        <f>COUNTIFS('舆情事实表'!$L$2:$L$1000,$A21,'舆情事实表'!$Q$2:$Q$1000,"支持认可")</f>
        <v/>
      </c>
      <c r="D21" s="73">
        <f>COUNTIFS('舆情事实表'!$L$2:$L$1000,$A21,'舆情事实表'!$R$2:$R$1000,"咨询疑问")</f>
        <v/>
      </c>
      <c r="E21" s="73">
        <f>COUNTIFS('舆情事实表'!$L$2:$L$1000,$A21,'舆情事实表'!$R$2:$R$1000,"担忧影响")</f>
        <v/>
      </c>
      <c r="F21" s="73">
        <f>COUNTIFS('舆情事实表'!$L$2:$L$1000,$A21,'舆情事实表'!$Q$2:$Q$1000,"明确批评")</f>
        <v/>
      </c>
      <c r="G21" s="73">
        <f>COUNTIFS('舆情事实表'!$L$2:$L$1000,$A21,'舆情事实表'!$R$2:$R$1000,"参与建议")</f>
        <v/>
      </c>
      <c r="H21" s="73">
        <f>SUM(D21:F21)</f>
        <v/>
      </c>
    </row>
    <row r="22" ht="32" customHeight="1" s="23">
      <c r="A22" s="71" t="inlineStr">
        <is>
          <t>海南</t>
        </is>
      </c>
      <c r="B22" s="73">
        <f>COUNTIF('舆情事实表'!$L$2:$L$1000,$A22)</f>
        <v/>
      </c>
      <c r="C22" s="73">
        <f>COUNTIFS('舆情事实表'!$L$2:$L$1000,$A22,'舆情事实表'!$Q$2:$Q$1000,"支持认可")</f>
        <v/>
      </c>
      <c r="D22" s="73">
        <f>COUNTIFS('舆情事实表'!$L$2:$L$1000,$A22,'舆情事实表'!$R$2:$R$1000,"咨询疑问")</f>
        <v/>
      </c>
      <c r="E22" s="73">
        <f>COUNTIFS('舆情事实表'!$L$2:$L$1000,$A22,'舆情事实表'!$R$2:$R$1000,"担忧影响")</f>
        <v/>
      </c>
      <c r="F22" s="73">
        <f>COUNTIFS('舆情事实表'!$L$2:$L$1000,$A22,'舆情事实表'!$Q$2:$Q$1000,"明确批评")</f>
        <v/>
      </c>
      <c r="G22" s="73">
        <f>COUNTIFS('舆情事实表'!$L$2:$L$1000,$A22,'舆情事实表'!$R$2:$R$1000,"参与建议")</f>
        <v/>
      </c>
      <c r="H22" s="73">
        <f>SUM(D22:F22)</f>
        <v/>
      </c>
    </row>
    <row r="23" ht="32" customHeight="1" s="23">
      <c r="A23" s="71" t="inlineStr">
        <is>
          <t>重庆</t>
        </is>
      </c>
      <c r="B23" s="73">
        <f>COUNTIF('舆情事实表'!$L$2:$L$1000,$A23)</f>
        <v/>
      </c>
      <c r="C23" s="73">
        <f>COUNTIFS('舆情事实表'!$L$2:$L$1000,$A23,'舆情事实表'!$Q$2:$Q$1000,"支持认可")</f>
        <v/>
      </c>
      <c r="D23" s="73">
        <f>COUNTIFS('舆情事实表'!$L$2:$L$1000,$A23,'舆情事实表'!$R$2:$R$1000,"咨询疑问")</f>
        <v/>
      </c>
      <c r="E23" s="73">
        <f>COUNTIFS('舆情事实表'!$L$2:$L$1000,$A23,'舆情事实表'!$R$2:$R$1000,"担忧影响")</f>
        <v/>
      </c>
      <c r="F23" s="73">
        <f>COUNTIFS('舆情事实表'!$L$2:$L$1000,$A23,'舆情事实表'!$Q$2:$Q$1000,"明确批评")</f>
        <v/>
      </c>
      <c r="G23" s="73">
        <f>COUNTIFS('舆情事实表'!$L$2:$L$1000,$A23,'舆情事实表'!$R$2:$R$1000,"参与建议")</f>
        <v/>
      </c>
      <c r="H23" s="73">
        <f>SUM(D23:F23)</f>
        <v/>
      </c>
    </row>
    <row r="24" ht="32" customHeight="1" s="23">
      <c r="A24" s="71" t="inlineStr">
        <is>
          <t>四川</t>
        </is>
      </c>
      <c r="B24" s="73">
        <f>COUNTIF('舆情事实表'!$L$2:$L$1000,$A24)</f>
        <v/>
      </c>
      <c r="C24" s="73">
        <f>COUNTIFS('舆情事实表'!$L$2:$L$1000,$A24,'舆情事实表'!$Q$2:$Q$1000,"支持认可")</f>
        <v/>
      </c>
      <c r="D24" s="73">
        <f>COUNTIFS('舆情事实表'!$L$2:$L$1000,$A24,'舆情事实表'!$R$2:$R$1000,"咨询疑问")</f>
        <v/>
      </c>
      <c r="E24" s="73">
        <f>COUNTIFS('舆情事实表'!$L$2:$L$1000,$A24,'舆情事实表'!$R$2:$R$1000,"担忧影响")</f>
        <v/>
      </c>
      <c r="F24" s="73">
        <f>COUNTIFS('舆情事实表'!$L$2:$L$1000,$A24,'舆情事实表'!$Q$2:$Q$1000,"明确批评")</f>
        <v/>
      </c>
      <c r="G24" s="73">
        <f>COUNTIFS('舆情事实表'!$L$2:$L$1000,$A24,'舆情事实表'!$R$2:$R$1000,"参与建议")</f>
        <v/>
      </c>
      <c r="H24" s="73">
        <f>SUM(D24:F24)</f>
        <v/>
      </c>
    </row>
    <row r="25" ht="32" customHeight="1" s="23">
      <c r="A25" s="71" t="inlineStr">
        <is>
          <t>贵州</t>
        </is>
      </c>
      <c r="B25" s="73">
        <f>COUNTIF('舆情事实表'!$L$2:$L$1000,$A25)</f>
        <v/>
      </c>
      <c r="C25" s="73">
        <f>COUNTIFS('舆情事实表'!$L$2:$L$1000,$A25,'舆情事实表'!$Q$2:$Q$1000,"支持认可")</f>
        <v/>
      </c>
      <c r="D25" s="73">
        <f>COUNTIFS('舆情事实表'!$L$2:$L$1000,$A25,'舆情事实表'!$R$2:$R$1000,"咨询疑问")</f>
        <v/>
      </c>
      <c r="E25" s="73">
        <f>COUNTIFS('舆情事实表'!$L$2:$L$1000,$A25,'舆情事实表'!$R$2:$R$1000,"担忧影响")</f>
        <v/>
      </c>
      <c r="F25" s="73">
        <f>COUNTIFS('舆情事实表'!$L$2:$L$1000,$A25,'舆情事实表'!$Q$2:$Q$1000,"明确批评")</f>
        <v/>
      </c>
      <c r="G25" s="73">
        <f>COUNTIFS('舆情事实表'!$L$2:$L$1000,$A25,'舆情事实表'!$R$2:$R$1000,"参与建议")</f>
        <v/>
      </c>
      <c r="H25" s="73">
        <f>SUM(D25:F25)</f>
        <v/>
      </c>
    </row>
    <row r="26" ht="32" customHeight="1" s="23">
      <c r="A26" s="71" t="inlineStr">
        <is>
          <t>云南</t>
        </is>
      </c>
      <c r="B26" s="73">
        <f>COUNTIF('舆情事实表'!$L$2:$L$1000,$A26)</f>
        <v/>
      </c>
      <c r="C26" s="73">
        <f>COUNTIFS('舆情事实表'!$L$2:$L$1000,$A26,'舆情事实表'!$Q$2:$Q$1000,"支持认可")</f>
        <v/>
      </c>
      <c r="D26" s="73">
        <f>COUNTIFS('舆情事实表'!$L$2:$L$1000,$A26,'舆情事实表'!$R$2:$R$1000,"咨询疑问")</f>
        <v/>
      </c>
      <c r="E26" s="73">
        <f>COUNTIFS('舆情事实表'!$L$2:$L$1000,$A26,'舆情事实表'!$R$2:$R$1000,"担忧影响")</f>
        <v/>
      </c>
      <c r="F26" s="73">
        <f>COUNTIFS('舆情事实表'!$L$2:$L$1000,$A26,'舆情事实表'!$Q$2:$Q$1000,"明确批评")</f>
        <v/>
      </c>
      <c r="G26" s="73">
        <f>COUNTIFS('舆情事实表'!$L$2:$L$1000,$A26,'舆情事实表'!$R$2:$R$1000,"参与建议")</f>
        <v/>
      </c>
      <c r="H26" s="73">
        <f>SUM(D26:F26)</f>
        <v/>
      </c>
    </row>
    <row r="27" ht="32" customHeight="1" s="23">
      <c r="A27" s="71" t="inlineStr">
        <is>
          <t>西藏</t>
        </is>
      </c>
      <c r="B27" s="73">
        <f>COUNTIF('舆情事实表'!$L$2:$L$1000,$A27)</f>
        <v/>
      </c>
      <c r="C27" s="73">
        <f>COUNTIFS('舆情事实表'!$L$2:$L$1000,$A27,'舆情事实表'!$Q$2:$Q$1000,"支持认可")</f>
        <v/>
      </c>
      <c r="D27" s="73">
        <f>COUNTIFS('舆情事实表'!$L$2:$L$1000,$A27,'舆情事实表'!$R$2:$R$1000,"咨询疑问")</f>
        <v/>
      </c>
      <c r="E27" s="73">
        <f>COUNTIFS('舆情事实表'!$L$2:$L$1000,$A27,'舆情事实表'!$R$2:$R$1000,"担忧影响")</f>
        <v/>
      </c>
      <c r="F27" s="73">
        <f>COUNTIFS('舆情事实表'!$L$2:$L$1000,$A27,'舆情事实表'!$Q$2:$Q$1000,"明确批评")</f>
        <v/>
      </c>
      <c r="G27" s="73">
        <f>COUNTIFS('舆情事实表'!$L$2:$L$1000,$A27,'舆情事实表'!$R$2:$R$1000,"参与建议")</f>
        <v/>
      </c>
      <c r="H27" s="73">
        <f>SUM(D27:F27)</f>
        <v/>
      </c>
    </row>
    <row r="28" ht="32" customHeight="1" s="23">
      <c r="A28" s="71" t="inlineStr">
        <is>
          <t>陕西</t>
        </is>
      </c>
      <c r="B28" s="73">
        <f>COUNTIF('舆情事实表'!$L$2:$L$1000,$A28)</f>
        <v/>
      </c>
      <c r="C28" s="73">
        <f>COUNTIFS('舆情事实表'!$L$2:$L$1000,$A28,'舆情事实表'!$Q$2:$Q$1000,"支持认可")</f>
        <v/>
      </c>
      <c r="D28" s="73">
        <f>COUNTIFS('舆情事实表'!$L$2:$L$1000,$A28,'舆情事实表'!$R$2:$R$1000,"咨询疑问")</f>
        <v/>
      </c>
      <c r="E28" s="73">
        <f>COUNTIFS('舆情事实表'!$L$2:$L$1000,$A28,'舆情事实表'!$R$2:$R$1000,"担忧影响")</f>
        <v/>
      </c>
      <c r="F28" s="73">
        <f>COUNTIFS('舆情事实表'!$L$2:$L$1000,$A28,'舆情事实表'!$Q$2:$Q$1000,"明确批评")</f>
        <v/>
      </c>
      <c r="G28" s="73">
        <f>COUNTIFS('舆情事实表'!$L$2:$L$1000,$A28,'舆情事实表'!$R$2:$R$1000,"参与建议")</f>
        <v/>
      </c>
      <c r="H28" s="73">
        <f>SUM(D28:F28)</f>
        <v/>
      </c>
    </row>
    <row r="29" ht="32" customHeight="1" s="23">
      <c r="A29" s="71" t="inlineStr">
        <is>
          <t>甘肃</t>
        </is>
      </c>
      <c r="B29" s="73">
        <f>COUNTIF('舆情事实表'!$L$2:$L$1000,$A29)</f>
        <v/>
      </c>
      <c r="C29" s="73">
        <f>COUNTIFS('舆情事实表'!$L$2:$L$1000,$A29,'舆情事实表'!$Q$2:$Q$1000,"支持认可")</f>
        <v/>
      </c>
      <c r="D29" s="73">
        <f>COUNTIFS('舆情事实表'!$L$2:$L$1000,$A29,'舆情事实表'!$R$2:$R$1000,"咨询疑问")</f>
        <v/>
      </c>
      <c r="E29" s="73">
        <f>COUNTIFS('舆情事实表'!$L$2:$L$1000,$A29,'舆情事实表'!$R$2:$R$1000,"担忧影响")</f>
        <v/>
      </c>
      <c r="F29" s="73">
        <f>COUNTIFS('舆情事实表'!$L$2:$L$1000,$A29,'舆情事实表'!$Q$2:$Q$1000,"明确批评")</f>
        <v/>
      </c>
      <c r="G29" s="73">
        <f>COUNTIFS('舆情事实表'!$L$2:$L$1000,$A29,'舆情事实表'!$R$2:$R$1000,"参与建议")</f>
        <v/>
      </c>
      <c r="H29" s="73">
        <f>SUM(D29:F29)</f>
        <v/>
      </c>
    </row>
    <row r="30" ht="32" customHeight="1" s="23">
      <c r="A30" s="71" t="inlineStr">
        <is>
          <t>青海</t>
        </is>
      </c>
      <c r="B30" s="73">
        <f>COUNTIF('舆情事实表'!$L$2:$L$1000,$A30)</f>
        <v/>
      </c>
      <c r="C30" s="73">
        <f>COUNTIFS('舆情事实表'!$L$2:$L$1000,$A30,'舆情事实表'!$Q$2:$Q$1000,"支持认可")</f>
        <v/>
      </c>
      <c r="D30" s="73">
        <f>COUNTIFS('舆情事实表'!$L$2:$L$1000,$A30,'舆情事实表'!$R$2:$R$1000,"咨询疑问")</f>
        <v/>
      </c>
      <c r="E30" s="73">
        <f>COUNTIFS('舆情事实表'!$L$2:$L$1000,$A30,'舆情事实表'!$R$2:$R$1000,"担忧影响")</f>
        <v/>
      </c>
      <c r="F30" s="73">
        <f>COUNTIFS('舆情事实表'!$L$2:$L$1000,$A30,'舆情事实表'!$Q$2:$Q$1000,"明确批评")</f>
        <v/>
      </c>
      <c r="G30" s="73">
        <f>COUNTIFS('舆情事实表'!$L$2:$L$1000,$A30,'舆情事实表'!$R$2:$R$1000,"参与建议")</f>
        <v/>
      </c>
      <c r="H30" s="73">
        <f>SUM(D30:F30)</f>
        <v/>
      </c>
    </row>
    <row r="31" ht="32" customHeight="1" s="23">
      <c r="A31" s="71" t="inlineStr">
        <is>
          <t>宁夏</t>
        </is>
      </c>
      <c r="B31" s="73">
        <f>COUNTIF('舆情事实表'!$L$2:$L$1000,$A31)</f>
        <v/>
      </c>
      <c r="C31" s="73">
        <f>COUNTIFS('舆情事实表'!$L$2:$L$1000,$A31,'舆情事实表'!$Q$2:$Q$1000,"支持认可")</f>
        <v/>
      </c>
      <c r="D31" s="73">
        <f>COUNTIFS('舆情事实表'!$L$2:$L$1000,$A31,'舆情事实表'!$R$2:$R$1000,"咨询疑问")</f>
        <v/>
      </c>
      <c r="E31" s="73">
        <f>COUNTIFS('舆情事实表'!$L$2:$L$1000,$A31,'舆情事实表'!$R$2:$R$1000,"担忧影响")</f>
        <v/>
      </c>
      <c r="F31" s="73">
        <f>COUNTIFS('舆情事实表'!$L$2:$L$1000,$A31,'舆情事实表'!$Q$2:$Q$1000,"明确批评")</f>
        <v/>
      </c>
      <c r="G31" s="73">
        <f>COUNTIFS('舆情事实表'!$L$2:$L$1000,$A31,'舆情事实表'!$R$2:$R$1000,"参与建议")</f>
        <v/>
      </c>
      <c r="H31" s="73">
        <f>SUM(D31:F31)</f>
        <v/>
      </c>
    </row>
    <row r="32" ht="32" customHeight="1" s="23">
      <c r="A32" s="71" t="inlineStr">
        <is>
          <t>新疆</t>
        </is>
      </c>
      <c r="B32" s="73">
        <f>COUNTIF('舆情事实表'!$L$2:$L$1000,$A32)</f>
        <v/>
      </c>
      <c r="C32" s="73">
        <f>COUNTIFS('舆情事实表'!$L$2:$L$1000,$A32,'舆情事实表'!$Q$2:$Q$1000,"支持认可")</f>
        <v/>
      </c>
      <c r="D32" s="73">
        <f>COUNTIFS('舆情事实表'!$L$2:$L$1000,$A32,'舆情事实表'!$R$2:$R$1000,"咨询疑问")</f>
        <v/>
      </c>
      <c r="E32" s="73">
        <f>COUNTIFS('舆情事实表'!$L$2:$L$1000,$A32,'舆情事实表'!$R$2:$R$1000,"担忧影响")</f>
        <v/>
      </c>
      <c r="F32" s="73">
        <f>COUNTIFS('舆情事实表'!$L$2:$L$1000,$A32,'舆情事实表'!$Q$2:$Q$1000,"明确批评")</f>
        <v/>
      </c>
      <c r="G32" s="73">
        <f>COUNTIFS('舆情事实表'!$L$2:$L$1000,$A32,'舆情事实表'!$R$2:$R$1000,"参与建议")</f>
        <v/>
      </c>
      <c r="H32" s="73">
        <f>SUM(D32:F32)</f>
        <v/>
      </c>
    </row>
    <row r="33" ht="32" customHeight="1" s="23">
      <c r="A33" s="71" t="inlineStr">
        <is>
          <t>台湾</t>
        </is>
      </c>
      <c r="B33" s="73">
        <f>COUNTIF('舆情事实表'!$L$2:$L$1000,$A33)</f>
        <v/>
      </c>
      <c r="C33" s="73">
        <f>COUNTIFS('舆情事实表'!$L$2:$L$1000,$A33,'舆情事实表'!$Q$2:$Q$1000,"支持认可")</f>
        <v/>
      </c>
      <c r="D33" s="73">
        <f>COUNTIFS('舆情事实表'!$L$2:$L$1000,$A33,'舆情事实表'!$R$2:$R$1000,"咨询疑问")</f>
        <v/>
      </c>
      <c r="E33" s="73">
        <f>COUNTIFS('舆情事实表'!$L$2:$L$1000,$A33,'舆情事实表'!$R$2:$R$1000,"担忧影响")</f>
        <v/>
      </c>
      <c r="F33" s="73">
        <f>COUNTIFS('舆情事实表'!$L$2:$L$1000,$A33,'舆情事实表'!$Q$2:$Q$1000,"明确批评")</f>
        <v/>
      </c>
      <c r="G33" s="73">
        <f>COUNTIFS('舆情事实表'!$L$2:$L$1000,$A33,'舆情事实表'!$R$2:$R$1000,"参与建议")</f>
        <v/>
      </c>
      <c r="H33" s="73">
        <f>SUM(D33:F33)</f>
        <v/>
      </c>
    </row>
    <row r="34" ht="32" customHeight="1" s="23">
      <c r="A34" s="79" t="inlineStr">
        <is>
          <t>合计</t>
        </is>
      </c>
      <c r="B34" s="81">
        <f>SUM(B2:B33)</f>
        <v/>
      </c>
      <c r="C34" s="81">
        <f>SUM(C2:C33)</f>
        <v/>
      </c>
      <c r="D34" s="81">
        <f>SUM(D2:D33)</f>
        <v/>
      </c>
      <c r="E34" s="81">
        <f>SUM(E2:E33)</f>
        <v/>
      </c>
      <c r="F34" s="81">
        <f>SUM(F2:F33)</f>
        <v/>
      </c>
      <c r="G34" s="81">
        <f>SUM(G2:G33)</f>
        <v/>
      </c>
      <c r="H34" s="81">
        <f>SUM(H2:H33)</f>
        <v/>
      </c>
    </row>
  </sheetData>
  <conditionalFormatting sqref="A2:H9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23" min="1" max="1"/>
    <col width="11" customWidth="1" style="23" min="2" max="2"/>
    <col width="12" customWidth="1" style="23" min="3" max="3"/>
    <col width="12" customWidth="1" style="23" min="4" max="4"/>
    <col width="12" customWidth="1" style="23" min="5" max="5"/>
    <col width="12" customWidth="1" style="23" min="6" max="6"/>
    <col width="12" customWidth="1" style="23" min="7" max="7"/>
    <col width="13" customWidth="1" style="23" min="8" max="8"/>
  </cols>
  <sheetData>
    <row r="1" ht="34" customHeight="1" s="23">
      <c r="A1" s="78" t="inlineStr">
        <is>
          <t>省份</t>
        </is>
      </c>
      <c r="B1" s="78" t="inlineStr">
        <is>
          <t>总量</t>
        </is>
      </c>
      <c r="C1" s="78" t="inlineStr">
        <is>
          <t>支持认可</t>
        </is>
      </c>
      <c r="D1" s="78" t="inlineStr">
        <is>
          <t>咨询疑问</t>
        </is>
      </c>
      <c r="E1" s="78" t="inlineStr">
        <is>
          <t>担忧影响</t>
        </is>
      </c>
      <c r="F1" s="78" t="inlineStr">
        <is>
          <t>明确批评</t>
        </is>
      </c>
      <c r="G1" s="78" t="inlineStr">
        <is>
          <t>参与建议</t>
        </is>
      </c>
      <c r="H1" s="78" t="inlineStr">
        <is>
          <t>非支持合计</t>
        </is>
      </c>
    </row>
    <row r="2" ht="32" customHeight="1" s="23">
      <c r="A2" s="71" t="inlineStr">
        <is>
          <t>四川</t>
        </is>
      </c>
      <c r="B2" s="74">
        <f>COUNTIF('舆情事实表'!$L$2:$L$13,$A2)</f>
        <v/>
      </c>
      <c r="C2" s="74">
        <f>COUNTIFS('舆情事实表'!$L$2:$L$13,$A2,'舆情事实表'!$Q$2:$Q$13,"支持认可")</f>
        <v/>
      </c>
      <c r="D2" s="74">
        <f>COUNTIFS('舆情事实表'!$L$2:$L$13,$A2,'舆情事实表'!$R$2:$R$13,"咨询疑问")</f>
        <v/>
      </c>
      <c r="E2" s="74">
        <f>COUNTIFS('舆情事实表'!$L$2:$L$13,$A2,'舆情事实表'!$R$2:$R$13,"担忧影响")</f>
        <v/>
      </c>
      <c r="F2" s="74">
        <f>COUNTIFS('舆情事实表'!$L$2:$L$13,$A2,'舆情事实表'!$Q$2:$Q$13,"明确批评")</f>
        <v/>
      </c>
      <c r="G2" s="74">
        <f>COUNTIFS('舆情事实表'!$L$2:$L$13,$A2,'舆情事实表'!$R$2:$R$13,"参与建议")</f>
        <v/>
      </c>
      <c r="H2" s="74">
        <f>SUM(D2:F2)</f>
        <v/>
      </c>
    </row>
    <row r="3" ht="32" customHeight="1" s="23">
      <c r="A3" s="71" t="inlineStr">
        <is>
          <t>甘肃</t>
        </is>
      </c>
      <c r="B3" s="74">
        <f>COUNTIF('舆情事实表'!$L$2:$L$13,$A3)</f>
        <v/>
      </c>
      <c r="C3" s="74">
        <f>COUNTIFS('舆情事实表'!$L$2:$L$13,$A3,'舆情事实表'!$Q$2:$Q$13,"支持认可")</f>
        <v/>
      </c>
      <c r="D3" s="74">
        <f>COUNTIFS('舆情事实表'!$L$2:$L$13,$A3,'舆情事实表'!$R$2:$R$13,"咨询疑问")</f>
        <v/>
      </c>
      <c r="E3" s="74">
        <f>COUNTIFS('舆情事实表'!$L$2:$L$13,$A3,'舆情事实表'!$R$2:$R$13,"担忧影响")</f>
        <v/>
      </c>
      <c r="F3" s="74">
        <f>COUNTIFS('舆情事实表'!$L$2:$L$13,$A3,'舆情事实表'!$Q$2:$Q$13,"明确批评")</f>
        <v/>
      </c>
      <c r="G3" s="74">
        <f>COUNTIFS('舆情事实表'!$L$2:$L$13,$A3,'舆情事实表'!$R$2:$R$13,"参与建议")</f>
        <v/>
      </c>
      <c r="H3" s="74">
        <f>SUM(D3:F3)</f>
        <v/>
      </c>
    </row>
    <row r="4" ht="32" customHeight="1" s="23">
      <c r="A4" s="71" t="inlineStr">
        <is>
          <t>新疆</t>
        </is>
      </c>
      <c r="B4" s="74">
        <f>COUNTIF('舆情事实表'!$L$2:$L$13,$A4)</f>
        <v/>
      </c>
      <c r="C4" s="74">
        <f>COUNTIFS('舆情事实表'!$L$2:$L$13,$A4,'舆情事实表'!$Q$2:$Q$13,"支持认可")</f>
        <v/>
      </c>
      <c r="D4" s="74">
        <f>COUNTIFS('舆情事实表'!$L$2:$L$13,$A4,'舆情事实表'!$R$2:$R$13,"咨询疑问")</f>
        <v/>
      </c>
      <c r="E4" s="74">
        <f>COUNTIFS('舆情事实表'!$L$2:$L$13,$A4,'舆情事实表'!$R$2:$R$13,"担忧影响")</f>
        <v/>
      </c>
      <c r="F4" s="74">
        <f>COUNTIFS('舆情事实表'!$L$2:$L$13,$A4,'舆情事实表'!$Q$2:$Q$13,"明确批评")</f>
        <v/>
      </c>
      <c r="G4" s="74">
        <f>COUNTIFS('舆情事实表'!$L$2:$L$13,$A4,'舆情事实表'!$R$2:$R$13,"参与建议")</f>
        <v/>
      </c>
      <c r="H4" s="74">
        <f>SUM(D4:F4)</f>
        <v/>
      </c>
    </row>
    <row r="5" ht="32" customHeight="1" s="23">
      <c r="A5" s="71" t="inlineStr">
        <is>
          <t>云南</t>
        </is>
      </c>
      <c r="B5" s="74">
        <f>COUNTIF('舆情事实表'!$L$2:$L$13,$A5)</f>
        <v/>
      </c>
      <c r="C5" s="74">
        <f>COUNTIFS('舆情事实表'!$L$2:$L$13,$A5,'舆情事实表'!$Q$2:$Q$13,"支持认可")</f>
        <v/>
      </c>
      <c r="D5" s="74">
        <f>COUNTIFS('舆情事实表'!$L$2:$L$13,$A5,'舆情事实表'!$R$2:$R$13,"咨询疑问")</f>
        <v/>
      </c>
      <c r="E5" s="74">
        <f>COUNTIFS('舆情事实表'!$L$2:$L$13,$A5,'舆情事实表'!$R$2:$R$13,"担忧影响")</f>
        <v/>
      </c>
      <c r="F5" s="74">
        <f>COUNTIFS('舆情事实表'!$L$2:$L$13,$A5,'舆情事实表'!$Q$2:$Q$13,"明确批评")</f>
        <v/>
      </c>
      <c r="G5" s="74">
        <f>COUNTIFS('舆情事实表'!$L$2:$L$13,$A5,'舆情事实表'!$R$2:$R$13,"参与建议")</f>
        <v/>
      </c>
      <c r="H5" s="74">
        <f>SUM(D5:F5)</f>
        <v/>
      </c>
    </row>
    <row r="6" ht="32" customHeight="1" s="23">
      <c r="A6" s="71" t="inlineStr">
        <is>
          <t>北京</t>
        </is>
      </c>
      <c r="B6" s="74">
        <f>COUNTIF('舆情事实表'!$L$2:$L$13,$A6)</f>
        <v/>
      </c>
      <c r="C6" s="74">
        <f>COUNTIFS('舆情事实表'!$L$2:$L$13,$A6,'舆情事实表'!$Q$2:$Q$13,"支持认可")</f>
        <v/>
      </c>
      <c r="D6" s="74">
        <f>COUNTIFS('舆情事实表'!$L$2:$L$13,$A6,'舆情事实表'!$R$2:$R$13,"咨询疑问")</f>
        <v/>
      </c>
      <c r="E6" s="74">
        <f>COUNTIFS('舆情事实表'!$L$2:$L$13,$A6,'舆情事实表'!$R$2:$R$13,"担忧影响")</f>
        <v/>
      </c>
      <c r="F6" s="74">
        <f>COUNTIFS('舆情事实表'!$L$2:$L$13,$A6,'舆情事实表'!$Q$2:$Q$13,"明确批评")</f>
        <v/>
      </c>
      <c r="G6" s="74">
        <f>COUNTIFS('舆情事实表'!$L$2:$L$13,$A6,'舆情事实表'!$R$2:$R$13,"参与建议")</f>
        <v/>
      </c>
      <c r="H6" s="74">
        <f>SUM(D6:F6)</f>
        <v/>
      </c>
    </row>
    <row r="7" ht="32" customHeight="1" s="23">
      <c r="A7" s="71" t="inlineStr">
        <is>
          <t>内蒙古</t>
        </is>
      </c>
      <c r="B7" s="74">
        <f>COUNTIF('舆情事实表'!$L$2:$L$13,$A7)</f>
        <v/>
      </c>
      <c r="C7" s="74">
        <f>COUNTIFS('舆情事实表'!$L$2:$L$13,$A7,'舆情事实表'!$Q$2:$Q$13,"支持认可")</f>
        <v/>
      </c>
      <c r="D7" s="74">
        <f>COUNTIFS('舆情事实表'!$L$2:$L$13,$A7,'舆情事实表'!$R$2:$R$13,"咨询疑问")</f>
        <v/>
      </c>
      <c r="E7" s="74">
        <f>COUNTIFS('舆情事实表'!$L$2:$L$13,$A7,'舆情事实表'!$R$2:$R$13,"担忧影响")</f>
        <v/>
      </c>
      <c r="F7" s="74">
        <f>COUNTIFS('舆情事实表'!$L$2:$L$13,$A7,'舆情事实表'!$Q$2:$Q$13,"明确批评")</f>
        <v/>
      </c>
      <c r="G7" s="74">
        <f>COUNTIFS('舆情事实表'!$L$2:$L$13,$A7,'舆情事实表'!$R$2:$R$13,"参与建议")</f>
        <v/>
      </c>
      <c r="H7" s="74">
        <f>SUM(D7:F7)</f>
        <v/>
      </c>
    </row>
    <row r="8" ht="32" customHeight="1" s="23">
      <c r="A8" s="71" t="inlineStr">
        <is>
          <t>青海</t>
        </is>
      </c>
      <c r="B8" s="74">
        <f>COUNTIF('舆情事实表'!$L$2:$L$13,$A8)</f>
        <v/>
      </c>
      <c r="C8" s="74">
        <f>COUNTIFS('舆情事实表'!$L$2:$L$13,$A8,'舆情事实表'!$Q$2:$Q$13,"支持认可")</f>
        <v/>
      </c>
      <c r="D8" s="74">
        <f>COUNTIFS('舆情事实表'!$L$2:$L$13,$A8,'舆情事实表'!$R$2:$R$13,"咨询疑问")</f>
        <v/>
      </c>
      <c r="E8" s="74">
        <f>COUNTIFS('舆情事实表'!$L$2:$L$13,$A8,'舆情事实表'!$R$2:$R$13,"担忧影响")</f>
        <v/>
      </c>
      <c r="F8" s="74">
        <f>COUNTIFS('舆情事实表'!$L$2:$L$13,$A8,'舆情事实表'!$Q$2:$Q$13,"明确批评")</f>
        <v/>
      </c>
      <c r="G8" s="74">
        <f>COUNTIFS('舆情事实表'!$L$2:$L$13,$A8,'舆情事实表'!$R$2:$R$13,"参与建议")</f>
        <v/>
      </c>
      <c r="H8" s="74">
        <f>SUM(D8:F8)</f>
        <v/>
      </c>
    </row>
    <row r="9" ht="32" customHeight="1" s="23">
      <c r="A9" s="71" t="inlineStr">
        <is>
          <t>西藏</t>
        </is>
      </c>
      <c r="B9" s="74">
        <f>COUNTIF('舆情事实表'!$L$2:$L$13,$A9)</f>
        <v/>
      </c>
      <c r="C9" s="74">
        <f>COUNTIFS('舆情事实表'!$L$2:$L$13,$A9,'舆情事实表'!$Q$2:$Q$13,"支持认可")</f>
        <v/>
      </c>
      <c r="D9" s="74">
        <f>COUNTIFS('舆情事实表'!$L$2:$L$13,$A9,'舆情事实表'!$R$2:$R$13,"咨询疑问")</f>
        <v/>
      </c>
      <c r="E9" s="74">
        <f>COUNTIFS('舆情事实表'!$L$2:$L$13,$A9,'舆情事实表'!$R$2:$R$13,"担忧影响")</f>
        <v/>
      </c>
      <c r="F9" s="74">
        <f>COUNTIFS('舆情事实表'!$L$2:$L$13,$A9,'舆情事实表'!$Q$2:$Q$13,"明确批评")</f>
        <v/>
      </c>
      <c r="G9" s="74">
        <f>COUNTIFS('舆情事实表'!$L$2:$L$13,$A9,'舆情事实表'!$R$2:$R$13,"参与建议")</f>
        <v/>
      </c>
      <c r="H9" s="74">
        <f>SUM(D9:F9)</f>
        <v/>
      </c>
    </row>
    <row r="10" ht="32" customHeight="1" s="23">
      <c r="A10" s="71" t="inlineStr">
        <is>
          <t>广西</t>
        </is>
      </c>
      <c r="B10" s="74">
        <f>COUNTIF('舆情事实表'!$L$2:$L$13,$A10)</f>
        <v/>
      </c>
      <c r="C10" s="74">
        <f>COUNTIFS('舆情事实表'!$L$2:$L$13,$A10,'舆情事实表'!$Q$2:$Q$13,"支持认可")</f>
        <v/>
      </c>
      <c r="D10" s="74">
        <f>COUNTIFS('舆情事实表'!$L$2:$L$13,$A10,'舆情事实表'!$R$2:$R$13,"咨询疑问")</f>
        <v/>
      </c>
      <c r="E10" s="74">
        <f>COUNTIFS('舆情事实表'!$L$2:$L$13,$A10,'舆情事实表'!$R$2:$R$13,"担忧影响")</f>
        <v/>
      </c>
      <c r="F10" s="74">
        <f>COUNTIFS('舆情事实表'!$L$2:$L$13,$A10,'舆情事实表'!$Q$2:$Q$13,"明确批评")</f>
        <v/>
      </c>
      <c r="G10" s="74">
        <f>COUNTIFS('舆情事实表'!$L$2:$L$13,$A10,'舆情事实表'!$R$2:$R$13,"参与建议")</f>
        <v/>
      </c>
      <c r="H10" s="74">
        <f>SUM(D10:F10)</f>
        <v/>
      </c>
    </row>
    <row r="11" ht="32" customHeight="1" s="23">
      <c r="A11" s="71" t="inlineStr">
        <is>
          <t>宁夏</t>
        </is>
      </c>
      <c r="B11" s="74">
        <f>COUNTIF('舆情事实表'!$L$2:$L$13,$A11)</f>
        <v/>
      </c>
      <c r="C11" s="74">
        <f>COUNTIFS('舆情事实表'!$L$2:$L$13,$A11,'舆情事实表'!$Q$2:$Q$13,"支持认可")</f>
        <v/>
      </c>
      <c r="D11" s="74">
        <f>COUNTIFS('舆情事实表'!$L$2:$L$13,$A11,'舆情事实表'!$R$2:$R$13,"咨询疑问")</f>
        <v/>
      </c>
      <c r="E11" s="74">
        <f>COUNTIFS('舆情事实表'!$L$2:$L$13,$A11,'舆情事实表'!$R$2:$R$13,"担忧影响")</f>
        <v/>
      </c>
      <c r="F11" s="74">
        <f>COUNTIFS('舆情事实表'!$L$2:$L$13,$A11,'舆情事实表'!$Q$2:$Q$13,"明确批评")</f>
        <v/>
      </c>
      <c r="G11" s="74">
        <f>COUNTIFS('舆情事实表'!$L$2:$L$13,$A11,'舆情事实表'!$R$2:$R$13,"参与建议")</f>
        <v/>
      </c>
      <c r="H11" s="74">
        <f>SUM(D11:F11)</f>
        <v/>
      </c>
    </row>
    <row r="12" ht="32" customHeight="1" s="23">
      <c r="A12" s="79" t="inlineStr">
        <is>
          <t>合计</t>
        </is>
      </c>
      <c r="B12" s="80">
        <f>SUM(B2:B11)</f>
        <v/>
      </c>
      <c r="C12" s="80">
        <f>SUM(C2:C11)</f>
        <v/>
      </c>
      <c r="D12" s="80">
        <f>SUM(D2:D11)</f>
        <v/>
      </c>
      <c r="E12" s="80">
        <f>SUM(E2:E11)</f>
        <v/>
      </c>
      <c r="F12" s="80">
        <f>SUM(F2:F11)</f>
        <v/>
      </c>
      <c r="G12" s="80">
        <f>SUM(G2:G11)</f>
        <v/>
      </c>
      <c r="H12" s="80">
        <f>SUM(H2:H11)</f>
        <v/>
      </c>
    </row>
  </sheetData>
  <conditionalFormatting sqref="A2:H11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1" customWidth="1" style="23" min="2" max="2"/>
    <col width="18" customWidth="1" style="23" min="3" max="3"/>
  </cols>
  <sheetData>
    <row r="1" ht="34" customHeight="1" s="23">
      <c r="A1" s="78" t="inlineStr">
        <is>
          <t>语言</t>
        </is>
      </c>
      <c r="B1" s="78" t="inlineStr">
        <is>
          <t>数量</t>
        </is>
      </c>
      <c r="C1" s="78" t="inlineStr">
        <is>
          <t>是否少数民族语言</t>
        </is>
      </c>
    </row>
    <row r="2" ht="32" customHeight="1" s="23">
      <c r="A2" s="71" t="inlineStr">
        <is>
          <t>中文</t>
        </is>
      </c>
      <c r="B2" s="74">
        <f>COUNTIF('舆情事实表'!$O$2:$O$13,$A2)</f>
        <v/>
      </c>
      <c r="C2" s="73">
        <f>IF($A2="中文","否","是")</f>
        <v/>
      </c>
    </row>
    <row r="3" ht="32" customHeight="1" s="23">
      <c r="A3" s="71" t="inlineStr">
        <is>
          <t>彝语</t>
        </is>
      </c>
      <c r="B3" s="74">
        <f>COUNTIF('舆情事实表'!$O$2:$O$13,$A3)</f>
        <v/>
      </c>
      <c r="C3" s="73">
        <f>IF($A3="中文","否","是")</f>
        <v/>
      </c>
    </row>
    <row r="4" ht="32" customHeight="1" s="23">
      <c r="A4" s="71" t="inlineStr">
        <is>
          <t>藏语</t>
        </is>
      </c>
      <c r="B4" s="74">
        <f>COUNTIF('舆情事实表'!$O$2:$O$13,$A4)</f>
        <v/>
      </c>
      <c r="C4" s="73">
        <f>IF($A4="中文","否","是")</f>
        <v/>
      </c>
    </row>
    <row r="5" ht="32" customHeight="1" s="23">
      <c r="A5" s="79" t="inlineStr">
        <is>
          <t>合计</t>
        </is>
      </c>
      <c r="B5" s="80">
        <f>SUM(B2:B4)</f>
        <v/>
      </c>
      <c r="C5" s="81" t="inlineStr">
        <is>
          <t>—</t>
        </is>
      </c>
    </row>
  </sheetData>
  <conditionalFormatting sqref="A2:C4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3" min="1" max="1"/>
    <col width="11" customWidth="1" style="23" min="2" max="2"/>
    <col width="52" customWidth="1" style="23" min="3" max="3"/>
  </cols>
  <sheetData>
    <row r="1" ht="34" customHeight="1" s="23">
      <c r="A1" s="78" t="inlineStr">
        <is>
          <t>类别</t>
        </is>
      </c>
      <c r="B1" s="78" t="inlineStr">
        <is>
          <t>数量</t>
        </is>
      </c>
      <c r="C1" s="78" t="inlineStr">
        <is>
          <t>说明</t>
        </is>
      </c>
    </row>
    <row r="2" ht="40" customHeight="1" s="23">
      <c r="A2" s="71" t="inlineStr">
        <is>
          <t>咨询疑问</t>
        </is>
      </c>
      <c r="B2" s="74">
        <f>COUNTIF('舆情事实表'!$R$2:$R$13,$A2)</f>
        <v/>
      </c>
      <c r="C2" s="73" t="inlineStr">
        <is>
          <t>示例：总体态度为咨询/疑问的行</t>
        </is>
      </c>
    </row>
    <row r="3" ht="40" customHeight="1" s="23">
      <c r="A3" s="71" t="inlineStr">
        <is>
          <t>担忧影响</t>
        </is>
      </c>
      <c r="B3" s="74">
        <f>COUNTIF('舆情事实表'!$R$2:$R$13,$A3)</f>
        <v/>
      </c>
      <c r="C3" s="73" t="inlineStr">
        <is>
          <t>示例：担忧、影响类问题</t>
        </is>
      </c>
    </row>
    <row r="4" ht="40" customHeight="1" s="23">
      <c r="A4" s="71" t="inlineStr">
        <is>
          <t>明确批评</t>
        </is>
      </c>
      <c r="B4" s="74">
        <f>COUNTIF('舆情事实表'!$R$2:$R$13,$A4)</f>
        <v/>
      </c>
      <c r="C4" s="73" t="inlineStr">
        <is>
          <t>示例：按具体问题类别统计，可能并入歧视偏见等</t>
        </is>
      </c>
    </row>
    <row r="5" ht="40" customHeight="1" s="23">
      <c r="A5" s="71" t="inlineStr">
        <is>
          <t>歧视偏见</t>
        </is>
      </c>
      <c r="B5" s="74">
        <f>COUNTIF('舆情事实表'!$R$2:$R$13,$A5)</f>
        <v/>
      </c>
      <c r="C5" s="73" t="inlineStr">
        <is>
          <t>示例：歧视类问题</t>
        </is>
      </c>
    </row>
    <row r="6" ht="40" customHeight="1" s="23">
      <c r="A6" s="79" t="inlineStr">
        <is>
          <t>合计</t>
        </is>
      </c>
      <c r="B6" s="80">
        <f>SUM(B2:B5)</f>
        <v/>
      </c>
      <c r="C6" s="81" t="inlineStr">
        <is>
          <t>非支持/非肯定合计（按具体问题类别）</t>
        </is>
      </c>
    </row>
  </sheetData>
  <conditionalFormatting sqref="A2:C5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23" min="1" max="1"/>
    <col width="15" customWidth="1" style="23" min="2" max="2"/>
    <col width="17" customWidth="1" style="23" min="3" max="3"/>
    <col width="13" customWidth="1" style="23" min="4" max="4"/>
    <col width="52" customWidth="1" style="23" min="5" max="5"/>
  </cols>
  <sheetData>
    <row r="1" ht="34" customHeight="1" s="23">
      <c r="A1" s="78" t="inlineStr">
        <is>
          <t>类别</t>
        </is>
      </c>
      <c r="B1" s="78" t="inlineStr">
        <is>
          <t>层级</t>
        </is>
      </c>
      <c r="C1" s="78" t="inlineStr">
        <is>
          <t>平台组/地区</t>
        </is>
      </c>
      <c r="D1" s="78" t="inlineStr">
        <is>
          <t>数量</t>
        </is>
      </c>
      <c r="E1" s="78" t="inlineStr">
        <is>
          <t>说明</t>
        </is>
      </c>
    </row>
    <row r="2" ht="40" customHeight="1" s="23">
      <c r="A2" s="71" t="inlineStr">
        <is>
          <t>监测来源</t>
        </is>
      </c>
      <c r="B2" s="73" t="inlineStr">
        <is>
          <t>原平台组</t>
        </is>
      </c>
      <c r="C2" s="73" t="inlineStr">
        <is>
          <t>B站</t>
        </is>
      </c>
      <c r="D2" s="74" t="n">
        <v>1</v>
      </c>
      <c r="E2" s="73" t="inlineStr">
        <is>
          <t>自动统计：事实表去重账号数（无账号记录按平台计1）</t>
        </is>
      </c>
    </row>
    <row r="3" ht="40" customHeight="1" s="23">
      <c r="A3" s="71" t="inlineStr">
        <is>
          <t>查看信息</t>
        </is>
      </c>
      <c r="B3" s="73" t="inlineStr">
        <is>
          <t>原平台组</t>
        </is>
      </c>
      <c r="C3" s="73" t="inlineStr">
        <is>
          <t>B站</t>
        </is>
      </c>
      <c r="D3" s="74" t="n">
        <v>1</v>
      </c>
      <c r="E3" s="73" t="inlineStr">
        <is>
          <t>自动统计：事实表记录条数</t>
        </is>
      </c>
    </row>
    <row r="4" ht="40" customHeight="1" s="23">
      <c r="A4" s="71" t="inlineStr">
        <is>
          <t>监测来源</t>
        </is>
      </c>
      <c r="B4" s="73" t="inlineStr">
        <is>
          <t>原平台组</t>
        </is>
      </c>
      <c r="C4" s="73" t="inlineStr">
        <is>
          <t>今日头条</t>
        </is>
      </c>
      <c r="D4" s="74" t="n">
        <v>1</v>
      </c>
      <c r="E4" s="73" t="inlineStr">
        <is>
          <t>自动统计：事实表去重账号数（无账号记录按平台计1）</t>
        </is>
      </c>
    </row>
    <row r="5" ht="40" customHeight="1" s="23">
      <c r="A5" s="71" t="inlineStr">
        <is>
          <t>查看信息</t>
        </is>
      </c>
      <c r="B5" s="73" t="inlineStr">
        <is>
          <t>原平台组</t>
        </is>
      </c>
      <c r="C5" s="73" t="inlineStr">
        <is>
          <t>今日头条</t>
        </is>
      </c>
      <c r="D5" s="74" t="n">
        <v>1</v>
      </c>
      <c r="E5" s="73" t="inlineStr">
        <is>
          <t>自动统计：事实表记录条数</t>
        </is>
      </c>
    </row>
    <row r="6" ht="40" customHeight="1" s="23">
      <c r="A6" s="71" t="inlineStr">
        <is>
          <t>监测来源</t>
        </is>
      </c>
      <c r="B6" s="73" t="inlineStr">
        <is>
          <t>原平台组</t>
        </is>
      </c>
      <c r="C6" s="73" t="inlineStr">
        <is>
          <t>微信公众号</t>
        </is>
      </c>
      <c r="D6" s="74" t="n">
        <v>2</v>
      </c>
      <c r="E6" s="73" t="inlineStr">
        <is>
          <t>自动统计：事实表去重账号数（无账号记录按平台计1）</t>
        </is>
      </c>
    </row>
    <row r="7" ht="40" customHeight="1" s="23">
      <c r="A7" s="71" t="inlineStr">
        <is>
          <t>查看信息</t>
        </is>
      </c>
      <c r="B7" s="73" t="inlineStr">
        <is>
          <t>原平台组</t>
        </is>
      </c>
      <c r="C7" s="73" t="inlineStr">
        <is>
          <t>微信公众号</t>
        </is>
      </c>
      <c r="D7" s="74" t="n">
        <v>2</v>
      </c>
      <c r="E7" s="73" t="inlineStr">
        <is>
          <t>自动统计：事实表记录条数</t>
        </is>
      </c>
    </row>
    <row r="8" ht="40" customHeight="1" s="23">
      <c r="A8" s="71" t="inlineStr">
        <is>
          <t>监测来源</t>
        </is>
      </c>
      <c r="B8" s="73" t="inlineStr">
        <is>
          <t>原平台组</t>
        </is>
      </c>
      <c r="C8" s="73" t="inlineStr">
        <is>
          <t>微博</t>
        </is>
      </c>
      <c r="D8" s="74" t="n">
        <v>2</v>
      </c>
      <c r="E8" s="73" t="inlineStr">
        <is>
          <t>自动统计：事实表去重账号数（无账号记录按平台计1）</t>
        </is>
      </c>
    </row>
    <row r="9" ht="40" customHeight="1" s="23">
      <c r="A9" s="71" t="inlineStr">
        <is>
          <t>查看信息</t>
        </is>
      </c>
      <c r="B9" s="73" t="inlineStr">
        <is>
          <t>原平台组</t>
        </is>
      </c>
      <c r="C9" s="73" t="inlineStr">
        <is>
          <t>微博</t>
        </is>
      </c>
      <c r="D9" s="74" t="n">
        <v>2</v>
      </c>
      <c r="E9" s="73" t="inlineStr">
        <is>
          <t>自动统计：事实表记录条数</t>
        </is>
      </c>
    </row>
    <row r="10" ht="40" customHeight="1" s="23">
      <c r="A10" s="71" t="inlineStr">
        <is>
          <t>监测来源</t>
        </is>
      </c>
      <c r="B10" s="73" t="inlineStr">
        <is>
          <t>原平台组</t>
        </is>
      </c>
      <c r="C10" s="73" t="inlineStr">
        <is>
          <t>快手</t>
        </is>
      </c>
      <c r="D10" s="73" t="n">
        <v>3</v>
      </c>
      <c r="E10" s="73" t="inlineStr">
        <is>
          <t>自动统计：事实表去重账号数（无账号记录按平台计1）</t>
        </is>
      </c>
    </row>
    <row r="11" ht="40" customHeight="1" s="23">
      <c r="A11" s="71" t="inlineStr">
        <is>
          <t>查看信息</t>
        </is>
      </c>
      <c r="B11" s="73" t="inlineStr">
        <is>
          <t>原平台组</t>
        </is>
      </c>
      <c r="C11" s="73" t="inlineStr">
        <is>
          <t>快手</t>
        </is>
      </c>
      <c r="D11" s="73" t="n">
        <v>3</v>
      </c>
      <c r="E11" s="73" t="inlineStr">
        <is>
          <t>自动统计：事实表记录条数</t>
        </is>
      </c>
    </row>
    <row r="12" ht="40" customHeight="1" s="23">
      <c r="A12" s="71" t="inlineStr">
        <is>
          <t>监测来源</t>
        </is>
      </c>
      <c r="B12" s="73" t="inlineStr">
        <is>
          <t>原平台组</t>
        </is>
      </c>
      <c r="C12" s="73" t="inlineStr">
        <is>
          <t>抖音</t>
        </is>
      </c>
      <c r="D12" s="73" t="n">
        <v>2</v>
      </c>
      <c r="E12" s="73" t="inlineStr">
        <is>
          <t>自动统计：事实表去重账号数（无账号记录按平台计1）</t>
        </is>
      </c>
    </row>
    <row r="13" ht="40" customHeight="1" s="23">
      <c r="A13" s="71" t="inlineStr">
        <is>
          <t>查看信息</t>
        </is>
      </c>
      <c r="B13" s="73" t="inlineStr">
        <is>
          <t>原平台组</t>
        </is>
      </c>
      <c r="C13" s="73" t="inlineStr">
        <is>
          <t>抖音</t>
        </is>
      </c>
      <c r="D13" s="73" t="n">
        <v>2</v>
      </c>
      <c r="E13" s="73" t="inlineStr">
        <is>
          <t>自动统计：事实表记录条数</t>
        </is>
      </c>
    </row>
    <row r="14" ht="40" customHeight="1" s="23">
      <c r="A14" s="71" t="inlineStr">
        <is>
          <t>监测来源</t>
        </is>
      </c>
      <c r="B14" s="73" t="inlineStr">
        <is>
          <t>原平台组</t>
        </is>
      </c>
      <c r="C14" s="73" t="inlineStr">
        <is>
          <t>政务网站</t>
        </is>
      </c>
      <c r="D14" s="73" t="n">
        <v>1</v>
      </c>
      <c r="E14" s="73" t="inlineStr">
        <is>
          <t>自动统计：事实表去重账号数（无账号记录按平台计1）</t>
        </is>
      </c>
    </row>
    <row r="15" ht="40" customHeight="1" s="23">
      <c r="A15" s="71" t="inlineStr">
        <is>
          <t>查看信息</t>
        </is>
      </c>
      <c r="B15" s="73" t="inlineStr">
        <is>
          <t>原平台组</t>
        </is>
      </c>
      <c r="C15" s="73" t="inlineStr">
        <is>
          <t>政务网站</t>
        </is>
      </c>
      <c r="D15" s="73" t="n">
        <v>5</v>
      </c>
      <c r="E15" s="73" t="inlineStr">
        <is>
          <t>自动统计：事实表记录条数</t>
        </is>
      </c>
    </row>
    <row r="16" ht="40" customHeight="1" s="23">
      <c r="A16" s="79" t="inlineStr">
        <is>
          <t>监测来源</t>
        </is>
      </c>
      <c r="B16" s="81" t="inlineStr">
        <is>
          <t>原平台组</t>
        </is>
      </c>
      <c r="C16" s="81" t="inlineStr">
        <is>
          <t>知乎</t>
        </is>
      </c>
      <c r="D16" s="81" t="n">
        <v>1</v>
      </c>
      <c r="E16" s="81" t="inlineStr">
        <is>
          <t>自动统计：事实表去重账号数（无账号记录按平台计1）</t>
        </is>
      </c>
    </row>
    <row r="17" ht="40" customHeight="1" s="23">
      <c r="A17" s="79" t="inlineStr">
        <is>
          <t>查看信息</t>
        </is>
      </c>
      <c r="B17" s="81" t="inlineStr">
        <is>
          <t>原平台组</t>
        </is>
      </c>
      <c r="C17" s="81" t="inlineStr">
        <is>
          <t>知乎</t>
        </is>
      </c>
      <c r="D17" s="81" t="n">
        <v>1</v>
      </c>
      <c r="E17" s="81" t="inlineStr">
        <is>
          <t>自动统计：事实表记录条数</t>
        </is>
      </c>
    </row>
    <row r="18">
      <c r="A18" t="inlineStr">
        <is>
          <t>监测来源</t>
        </is>
      </c>
      <c r="B18" t="inlineStr">
        <is>
          <t>合计（自动）</t>
        </is>
      </c>
      <c r="C18" t="inlineStr">
        <is>
          <t>-</t>
        </is>
      </c>
      <c r="D18" t="n">
        <v>13</v>
      </c>
      <c r="E18" t="inlineStr">
        <is>
          <t>自动统计：按平台去重账号数合计</t>
        </is>
      </c>
    </row>
    <row r="19">
      <c r="A19" t="inlineStr">
        <is>
          <t>查看信息</t>
        </is>
      </c>
      <c r="B19" t="inlineStr">
        <is>
          <t>合计（自动）</t>
        </is>
      </c>
      <c r="C19" t="inlineStr">
        <is>
          <t>-</t>
        </is>
      </c>
      <c r="D19" t="n">
        <v>17</v>
      </c>
      <c r="E19" t="inlineStr">
        <is>
          <t>自动统计：事实表记录条数合计</t>
        </is>
      </c>
    </row>
  </sheetData>
  <conditionalFormatting sqref="A2:E9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23" min="1" max="1"/>
    <col width="19" customWidth="1" style="23" min="2" max="2"/>
    <col width="12" customWidth="1" style="23" min="3" max="3"/>
    <col width="15" customWidth="1" style="23" min="4" max="4"/>
    <col width="48" customWidth="1" style="23" min="5" max="5"/>
    <col width="11" customWidth="1" style="23" min="6" max="6"/>
    <col width="11" customWidth="1" style="23" min="7" max="7"/>
    <col width="11" customWidth="1" style="23" min="8" max="8"/>
    <col width="18" customWidth="1" style="23" min="9" max="9"/>
    <col width="32" customWidth="1" style="23" min="10" max="10"/>
  </cols>
  <sheetData>
    <row r="1" ht="34" customHeight="1" s="23">
      <c r="A1" s="78" t="inlineStr">
        <is>
          <t>排名</t>
        </is>
      </c>
      <c r="B1" s="78" t="inlineStr">
        <is>
          <t>唯一编号</t>
        </is>
      </c>
      <c r="C1" s="78" t="inlineStr">
        <is>
          <t>平台</t>
        </is>
      </c>
      <c r="D1" s="78" t="inlineStr">
        <is>
          <t>账号</t>
        </is>
      </c>
      <c r="E1" s="78" t="inlineStr">
        <is>
          <t>标题/摘要</t>
        </is>
      </c>
      <c r="F1" s="78" t="inlineStr">
        <is>
          <t>点赞量</t>
        </is>
      </c>
      <c r="G1" s="78" t="inlineStr">
        <is>
          <t>评论量</t>
        </is>
      </c>
      <c r="H1" s="78" t="inlineStr">
        <is>
          <t>转发量</t>
        </is>
      </c>
      <c r="I1" s="78" t="inlineStr">
        <is>
          <t>发布时间</t>
        </is>
      </c>
      <c r="J1" s="78" t="inlineStr">
        <is>
          <t>原始链接</t>
        </is>
      </c>
    </row>
    <row r="2" ht="44" customHeight="1" s="23">
      <c r="A2" s="71" t="n">
        <v>1</v>
      </c>
      <c r="B2" s="73" t="inlineStr">
        <is>
          <t>OQ-20260814-0001</t>
        </is>
      </c>
      <c r="C2" s="73">
        <f>VLOOKUP($B2,'舆情事实表'!$A$2:$X$13,4,FALSE)</f>
        <v/>
      </c>
      <c r="D2" s="73">
        <f>VLOOKUP($B2,'舆情事实表'!$A$2:$X$13,7,FALSE)</f>
        <v/>
      </c>
      <c r="E2" s="73">
        <f>LEFT(VLOOKUP($B2,'舆情事实表'!$A$2:$X$13,8,FALSE),24)</f>
        <v/>
      </c>
      <c r="F2" s="74">
        <f>VLOOKUP($B2,'舆情事实表'!$A$2:$X$13,19,FALSE)</f>
        <v/>
      </c>
      <c r="G2" s="74">
        <f>VLOOKUP($B2,'舆情事实表'!$A$2:$X$13,20,FALSE)</f>
        <v/>
      </c>
      <c r="H2" s="74">
        <f>VLOOKUP($B2,'舆情事实表'!$A$2:$X$13,21,FALSE)</f>
        <v/>
      </c>
      <c r="I2" s="72">
        <f>VLOOKUP($B2,'舆情事实表'!$A$2:$X$13,3,FALSE)</f>
        <v/>
      </c>
      <c r="J2" s="73">
        <f>VLOOKUP($B2,'舆情事实表'!$A$2:$X$13,9,FALSE)</f>
        <v/>
      </c>
    </row>
    <row r="3" ht="44" customHeight="1" s="23">
      <c r="A3" s="71" t="n">
        <v>2</v>
      </c>
      <c r="B3" s="73" t="inlineStr">
        <is>
          <t>OQ-20260814-0009</t>
        </is>
      </c>
      <c r="C3" s="73">
        <f>VLOOKUP($B3,'舆情事实表'!$A$2:$X$13,4,FALSE)</f>
        <v/>
      </c>
      <c r="D3" s="73">
        <f>VLOOKUP($B3,'舆情事实表'!$A$2:$X$13,7,FALSE)</f>
        <v/>
      </c>
      <c r="E3" s="73">
        <f>LEFT(VLOOKUP($B3,'舆情事实表'!$A$2:$X$13,8,FALSE),24)</f>
        <v/>
      </c>
      <c r="F3" s="74">
        <f>VLOOKUP($B3,'舆情事实表'!$A$2:$X$13,19,FALSE)</f>
        <v/>
      </c>
      <c r="G3" s="74">
        <f>VLOOKUP($B3,'舆情事实表'!$A$2:$X$13,20,FALSE)</f>
        <v/>
      </c>
      <c r="H3" s="74">
        <f>VLOOKUP($B3,'舆情事实表'!$A$2:$X$13,21,FALSE)</f>
        <v/>
      </c>
      <c r="I3" s="72">
        <f>VLOOKUP($B3,'舆情事实表'!$A$2:$X$13,3,FALSE)</f>
        <v/>
      </c>
      <c r="J3" s="73">
        <f>VLOOKUP($B3,'舆情事实表'!$A$2:$X$13,9,FALSE)</f>
        <v/>
      </c>
    </row>
    <row r="4" ht="44" customHeight="1" s="23">
      <c r="A4" s="71" t="n">
        <v>3</v>
      </c>
      <c r="B4" s="73" t="inlineStr">
        <is>
          <t>OQ-20260814-0006</t>
        </is>
      </c>
      <c r="C4" s="73">
        <f>VLOOKUP($B4,'舆情事实表'!$A$2:$X$13,4,FALSE)</f>
        <v/>
      </c>
      <c r="D4" s="73">
        <f>VLOOKUP($B4,'舆情事实表'!$A$2:$X$13,7,FALSE)</f>
        <v/>
      </c>
      <c r="E4" s="73">
        <f>LEFT(VLOOKUP($B4,'舆情事实表'!$A$2:$X$13,8,FALSE),24)</f>
        <v/>
      </c>
      <c r="F4" s="74">
        <f>VLOOKUP($B4,'舆情事实表'!$A$2:$X$13,19,FALSE)</f>
        <v/>
      </c>
      <c r="G4" s="74">
        <f>VLOOKUP($B4,'舆情事实表'!$A$2:$X$13,20,FALSE)</f>
        <v/>
      </c>
      <c r="H4" s="74">
        <f>VLOOKUP($B4,'舆情事实表'!$A$2:$X$13,21,FALSE)</f>
        <v/>
      </c>
      <c r="I4" s="72">
        <f>VLOOKUP($B4,'舆情事实表'!$A$2:$X$13,3,FALSE)</f>
        <v/>
      </c>
      <c r="J4" s="73">
        <f>VLOOKUP($B4,'舆情事实表'!$A$2:$X$13,9,FALSE)</f>
        <v/>
      </c>
    </row>
    <row r="5" ht="44" customHeight="1" s="23">
      <c r="A5" s="71" t="n">
        <v>4</v>
      </c>
      <c r="B5" s="73" t="inlineStr">
        <is>
          <t>OQ-20260814-0003</t>
        </is>
      </c>
      <c r="C5" s="73">
        <f>VLOOKUP($B5,'舆情事实表'!$A$2:$X$13,4,FALSE)</f>
        <v/>
      </c>
      <c r="D5" s="73">
        <f>VLOOKUP($B5,'舆情事实表'!$A$2:$X$13,7,FALSE)</f>
        <v/>
      </c>
      <c r="E5" s="73">
        <f>LEFT(VLOOKUP($B5,'舆情事实表'!$A$2:$X$13,8,FALSE),24)</f>
        <v/>
      </c>
      <c r="F5" s="74">
        <f>VLOOKUP($B5,'舆情事实表'!$A$2:$X$13,19,FALSE)</f>
        <v/>
      </c>
      <c r="G5" s="74">
        <f>VLOOKUP($B5,'舆情事实表'!$A$2:$X$13,20,FALSE)</f>
        <v/>
      </c>
      <c r="H5" s="74">
        <f>VLOOKUP($B5,'舆情事实表'!$A$2:$X$13,21,FALSE)</f>
        <v/>
      </c>
      <c r="I5" s="72">
        <f>VLOOKUP($B5,'舆情事实表'!$A$2:$X$13,3,FALSE)</f>
        <v/>
      </c>
      <c r="J5" s="73">
        <f>VLOOKUP($B5,'舆情事实表'!$A$2:$X$13,9,FALSE)</f>
        <v/>
      </c>
    </row>
    <row r="6" ht="44" customHeight="1" s="23">
      <c r="A6" s="71" t="n">
        <v>5</v>
      </c>
      <c r="B6" s="73" t="inlineStr">
        <is>
          <t>OQ-20260814-0012</t>
        </is>
      </c>
      <c r="C6" s="73">
        <f>VLOOKUP($B6,'舆情事实表'!$A$2:$X$13,4,FALSE)</f>
        <v/>
      </c>
      <c r="D6" s="73">
        <f>VLOOKUP($B6,'舆情事实表'!$A$2:$X$13,7,FALSE)</f>
        <v/>
      </c>
      <c r="E6" s="73">
        <f>LEFT(VLOOKUP($B6,'舆情事实表'!$A$2:$X$13,8,FALSE),24)</f>
        <v/>
      </c>
      <c r="F6" s="74">
        <f>VLOOKUP($B6,'舆情事实表'!$A$2:$X$13,19,FALSE)</f>
        <v/>
      </c>
      <c r="G6" s="74">
        <f>VLOOKUP($B6,'舆情事实表'!$A$2:$X$13,20,FALSE)</f>
        <v/>
      </c>
      <c r="H6" s="74">
        <f>VLOOKUP($B6,'舆情事实表'!$A$2:$X$13,21,FALSE)</f>
        <v/>
      </c>
      <c r="I6" s="72">
        <f>VLOOKUP($B6,'舆情事实表'!$A$2:$X$13,3,FALSE)</f>
        <v/>
      </c>
      <c r="J6" s="73">
        <f>VLOOKUP($B6,'舆情事实表'!$A$2:$X$13,9,FALSE)</f>
        <v/>
      </c>
    </row>
  </sheetData>
  <conditionalFormatting sqref="A2:J6">
    <cfRule type="expression" priority="1" dxfId="1">
      <formula>MOD(ROW(),2)=0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style="23" min="1" max="1"/>
    <col width="18" customWidth="1" style="23" min="2" max="2"/>
    <col width="11" customWidth="1" style="23" min="3" max="3"/>
    <col width="14" customWidth="1" style="23" min="4" max="4"/>
    <col width="48" customWidth="1" style="23" min="5" max="5"/>
    <col width="10" customWidth="1" style="23" min="6" max="6"/>
    <col width="10" customWidth="1" style="23" min="7" max="7"/>
    <col width="10" customWidth="1" style="23" min="8" max="8"/>
    <col width="11" customWidth="1" style="23" min="9" max="9"/>
    <col width="12" customWidth="1" style="23" min="10" max="10"/>
    <col width="40" customWidth="1" style="23" min="11" max="11"/>
  </cols>
  <sheetData>
    <row r="1" ht="34" customHeight="1" s="23">
      <c r="A1" s="78" t="inlineStr">
        <is>
          <t>唯一编号</t>
        </is>
      </c>
      <c r="B1" s="78" t="inlineStr">
        <is>
          <t>采集时间</t>
        </is>
      </c>
      <c r="C1" s="78" t="inlineStr">
        <is>
          <t>平台</t>
        </is>
      </c>
      <c r="D1" s="78" t="inlineStr">
        <is>
          <t>账号</t>
        </is>
      </c>
      <c r="E1" s="78" t="inlineStr">
        <is>
          <t>正文</t>
        </is>
      </c>
      <c r="F1" s="78" t="inlineStr">
        <is>
          <t>地区</t>
        </is>
      </c>
      <c r="G1" s="78" t="inlineStr">
        <is>
          <t>省份</t>
        </is>
      </c>
      <c r="H1" s="78" t="inlineStr">
        <is>
          <t>语言</t>
        </is>
      </c>
      <c r="I1" s="78" t="inlineStr">
        <is>
          <t>总体态度</t>
        </is>
      </c>
      <c r="J1" s="78" t="inlineStr">
        <is>
          <t>清洗状态</t>
        </is>
      </c>
      <c r="K1" s="78" t="inlineStr">
        <is>
          <t>未通过原因/待办</t>
        </is>
      </c>
    </row>
    <row r="2" ht="50" customHeight="1" s="23">
      <c r="A2" s="71" t="inlineStr">
        <is>
          <t>RAW-0001</t>
        </is>
      </c>
      <c r="B2" s="72" t="n">
        <v>46248.13888888889</v>
      </c>
      <c r="C2" s="73" t="inlineStr">
        <is>
          <t>抖音</t>
        </is>
      </c>
      <c r="D2" s="73" t="inlineStr">
        <is>
          <t>示例用户M</t>
        </is>
      </c>
      <c r="E2" s="73" t="inlineStr">
        <is>
          <t>请问促进法在新疆实施后怎么申请补贴？</t>
        </is>
      </c>
      <c r="F2" s="73" t="inlineStr">
        <is>
          <t>新疆</t>
        </is>
      </c>
      <c r="G2" s="73" t="str"/>
      <c r="H2" s="73" t="str"/>
      <c r="I2" s="73" t="inlineStr">
        <is>
          <t>咨询疑问</t>
        </is>
      </c>
      <c r="J2" s="73" t="inlineStr">
        <is>
          <t>待复核</t>
        </is>
      </c>
      <c r="K2" s="73" t="inlineStr">
        <is>
          <t>缺省份/城市/语言，补齐后再入库</t>
        </is>
      </c>
    </row>
    <row r="3" ht="50" customHeight="1" s="23">
      <c r="A3" s="71" t="inlineStr">
        <is>
          <t>RAW-0002</t>
        </is>
      </c>
      <c r="B3" s="72" t="n">
        <v>46248.14930555555</v>
      </c>
      <c r="C3" s="73" t="inlineStr">
        <is>
          <t>微博</t>
        </is>
      </c>
      <c r="D3" s="73" t="inlineStr">
        <is>
          <t>示例用户N</t>
        </is>
      </c>
      <c r="E3" s="73" t="inlineStr">
        <is>
          <t>今天天气不错，出去走走。</t>
        </is>
      </c>
      <c r="F3" s="73" t="str"/>
      <c r="G3" s="73" t="str"/>
      <c r="H3" s="73" t="inlineStr">
        <is>
          <t>中文</t>
        </is>
      </c>
      <c r="I3" s="73" t="inlineStr">
        <is>
          <t>无法判断</t>
        </is>
      </c>
      <c r="J3" s="73" t="inlineStr">
        <is>
          <t>待复核</t>
        </is>
      </c>
      <c r="K3" s="73" t="inlineStr">
        <is>
          <t>未命中民族相关关键词，需人工判断</t>
        </is>
      </c>
    </row>
  </sheetData>
  <conditionalFormatting sqref="J2:J10">
    <cfRule type="containsText" priority="1" operator="containsText" dxfId="0" text="待复核"/>
    <cfRule type="containsText" priority="3" operator="containsText" dxfId="10" text="待复核"/>
  </conditionalFormatting>
  <conditionalFormatting sqref="A2:K3">
    <cfRule type="expression" priority="2" dxfId="1">
      <formula>MOD(ROW(),2)=0</formula>
    </cfRule>
  </conditionalFormatting>
  <dataValidations count="1">
    <dataValidation sqref="J2:J10" showDropDown="0" showInputMessage="0" showErrorMessage="0" allowBlank="0" type="list">
      <formula1>"待复核,已入库,已排除"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2026-08-16T04:48:28Z</dcterms:created>
  <dcterms:modified xmlns:dcterms="http://purl.org/dc/terms/" xmlns:xsi="http://www.w3.org/2001/XMLSchema-instance" xsi:type="dcterms:W3CDTF">2026-08-16T14:06:41Z</dcterms:modified>
</cp:coreProperties>
</file>