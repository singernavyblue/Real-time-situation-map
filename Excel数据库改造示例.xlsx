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4640" activeTab="1"/>
  </bookViews>
  <sheets>
    <sheet name="说明" sheetId="1" r:id="rId1"/>
    <sheet name="舆情事实表" sheetId="2" r:id="rId2"/>
    <sheet name="平台维度表" sheetId="3" r:id="rId3"/>
    <sheet name="地区维度表" sheetId="4" r:id="rId4"/>
    <sheet name="省级维度表" sheetId="5" r:id="rId5"/>
    <sheet name="语言维度表" sheetId="6" r:id="rId6"/>
    <sheet name="非支持态度表" sheetId="7" r:id="rId7"/>
    <sheet name="监测来源与查看信息" sheetId="8" r:id="rId8"/>
    <sheet name="高热内容表" sheetId="9" r:id="rId9"/>
    <sheet name="待清洗区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<sst xmlns="http://schemas.openxmlformats.org/spreadsheetml/2006/main" count="423" uniqueCount="189">
  <si>
    <t>舆情数据「报表 → 数据库」原子化改造示例</t>
  </si>
  <si>
    <t>1. 本文件所有数据均为编造的示例数据，仅用于展示表格结构，不代表任何真实舆情。</t>
  </si>
  <si>
    <t>2. 核心原则：舆情事实表 = 一行一条不可再分的舆情事实；其余维度表全部用公式从事实表重算。</t>
  </si>
  <si>
    <t>3. 改造要点：去掉合并单元格、多行标题、汇总行混排；一列一属性；正文不含核验说明；每条记录有唯一编号用于去重。</t>
  </si>
  <si>
    <t>4. 字段与第二阶段统一字段规范一致：唯一编号、采集/发布时间、平台、具体来源、账号、正文、链接、地区/地区组/省份/城市/IP属地、语言、态度、问题类别、互动量、是否重点、是否计入、备注。</t>
  </si>
  <si>
    <t>5. 现有 16 个 Excel 的对应关系：</t>
  </si>
  <si>
    <t xml:space="preserve">   各平台「有效舆情明细 / 扁平化数据」→ 舆情事实表</t>
  </si>
  <si>
    <t xml:space="preserve">   「平台统计 / 公众意见汇总」→ 平台维度表（建议公式重算，不再手工填）</t>
  </si>
  <si>
    <t xml:space="preserve">   「地区统计 / 省级态度统计」→ 地区维度表、省级维度表</t>
  </si>
  <si>
    <t xml:space="preserve">   「语言统计」→ 语言维度表</t>
  </si>
  <si>
    <t xml:space="preserve">   「非支持态度统计 / 非支持来源与原话」→ 非支持态度表</t>
  </si>
  <si>
    <t xml:space="preserve">   「监测来源统计 / 查看信息统计」→ 监测来源与查看信息表</t>
  </si>
  <si>
    <t xml:space="preserve">   「高热内容榜 / 互动量」→ 高热内容表</t>
  </si>
  <si>
    <t>6. 待清洗区 = 各渠道原始数据先进这里，清洗/判题后写入事实表；缺字段或未命中关键词的行标记「待复核」。</t>
  </si>
  <si>
    <t>7. 改造完成后的对拍要求：用新表重算出的 data.js 与现有 data.js 数字完全一致（12,351 / 1,586 / 482 等），前端才不需要改动。</t>
  </si>
  <si>
    <t>唯一编号</t>
  </si>
  <si>
    <t>采集时间</t>
  </si>
  <si>
    <t>发布时间</t>
  </si>
  <si>
    <t>平台</t>
  </si>
  <si>
    <t>平台组</t>
  </si>
  <si>
    <t>具体来源</t>
  </si>
  <si>
    <t>账号</t>
  </si>
  <si>
    <t>正文</t>
  </si>
  <si>
    <t>原始链接</t>
  </si>
  <si>
    <t>地区</t>
  </si>
  <si>
    <t>地区组</t>
  </si>
  <si>
    <t>省份</t>
  </si>
  <si>
    <t>城市</t>
  </si>
  <si>
    <t>IP属地</t>
  </si>
  <si>
    <t>语言</t>
  </si>
  <si>
    <t>是否少数民族语言</t>
  </si>
  <si>
    <t>总体态度</t>
  </si>
  <si>
    <t>具体问题类别</t>
  </si>
  <si>
    <t>点赞量</t>
  </si>
  <si>
    <t>评论量</t>
  </si>
  <si>
    <t>转发量</t>
  </si>
  <si>
    <t>是否重点</t>
  </si>
  <si>
    <t>是否计入统计</t>
  </si>
  <si>
    <t>备注</t>
  </si>
  <si>
    <t>OQ-20260814-0001</t>
  </si>
  <si>
    <t>微博</t>
  </si>
  <si>
    <t>微博/热榜</t>
  </si>
  <si>
    <t>微博热榜·民族话题</t>
  </si>
  <si>
    <t>@示例用户A</t>
  </si>
  <si>
    <t>支持民族团结进步促进法，各民族要像石榴籽一样紧紧抱在一起。</t>
  </si>
  <si>
    <t>https://weibo.com/example/0001</t>
  </si>
  <si>
    <t>四川</t>
  </si>
  <si>
    <t>四川、甘肃民族地区</t>
  </si>
  <si>
    <t>成都</t>
  </si>
  <si>
    <t>中文</t>
  </si>
  <si>
    <t>否</t>
  </si>
  <si>
    <t>支持认可</t>
  </si>
  <si>
    <t>-</t>
  </si>
  <si>
    <t>是</t>
  </si>
  <si>
    <t>示例数据，可删除</t>
  </si>
  <si>
    <t>OQ-20260814-0002</t>
  </si>
  <si>
    <t>抖音</t>
  </si>
  <si>
    <t>抖音等视频平台</t>
  </si>
  <si>
    <t>抖音·普法视频评论区</t>
  </si>
  <si>
    <t>示例账号B</t>
  </si>
  <si>
    <t>请问促进法对少数民族学生升学、就业有什么具体保护措施？</t>
  </si>
  <si>
    <t>https://douyin.com/example/0002</t>
  </si>
  <si>
    <t>新疆</t>
  </si>
  <si>
    <t>乌鲁木齐</t>
  </si>
  <si>
    <t>咨询疑问</t>
  </si>
  <si>
    <t>示例数据</t>
  </si>
  <si>
    <t>OQ-20260814-0003</t>
  </si>
  <si>
    <t>快手</t>
  </si>
  <si>
    <t>彝语口播普法视频</t>
  </si>
  <si>
    <t>示例账号C</t>
  </si>
  <si>
    <t>（彝语）支持促进法，希望家乡越来越团结。</t>
  </si>
  <si>
    <t>https://kuaishou.com/example/0003</t>
  </si>
  <si>
    <t>云南</t>
  </si>
  <si>
    <t>云南东中部民族地区</t>
  </si>
  <si>
    <t>楚雄</t>
  </si>
  <si>
    <t>彝语</t>
  </si>
  <si>
    <t>OQ-20260814-0004</t>
  </si>
  <si>
    <t>微信公众号</t>
  </si>
  <si>
    <t>微信公众号/视频号</t>
  </si>
  <si>
    <t>本地融媒文章评论区</t>
  </si>
  <si>
    <t>示例公众号D</t>
  </si>
  <si>
    <t>希望执法不要走过场，真正保护少数民族就业权益。</t>
  </si>
  <si>
    <t>https://mp.weixin.qq.com/example/0004</t>
  </si>
  <si>
    <t>甘肃</t>
  </si>
  <si>
    <t>兰州</t>
  </si>
  <si>
    <t>担忧影响</t>
  </si>
  <si>
    <t>OQ-20260814-0005</t>
  </si>
  <si>
    <t>知乎</t>
  </si>
  <si>
    <t>知乎/B站/百度知道</t>
  </si>
  <si>
    <t>法律话题回答</t>
  </si>
  <si>
    <t>示例用户E</t>
  </si>
  <si>
    <t>促进法实施后如何界定“民族歧视”？建议尽快出台细则。</t>
  </si>
  <si>
    <t>https://zhihu.com/example/0005</t>
  </si>
  <si>
    <t>北京</t>
  </si>
  <si>
    <t>OQ-20260814-0006</t>
  </si>
  <si>
    <t>招聘信息评论区</t>
  </si>
  <si>
    <t>示例用户F</t>
  </si>
  <si>
    <t>反映某公司招聘写明“汉族优先”，已截图，请核实处理。</t>
  </si>
  <si>
    <t>https://kuaishou.com/example/0006</t>
  </si>
  <si>
    <t>内蒙古</t>
  </si>
  <si>
    <t>内蒙古、河北及东北</t>
  </si>
  <si>
    <t>呼和浩特</t>
  </si>
  <si>
    <t>明确批评</t>
  </si>
  <si>
    <t>歧视偏见</t>
  </si>
  <si>
    <t>OQ-20260814-0007</t>
  </si>
  <si>
    <t>B站</t>
  </si>
  <si>
    <t>普法视频弹幕区</t>
  </si>
  <si>
    <t>示例用户G</t>
  </si>
  <si>
    <t>支持，希望各民族像石榴籽一样团结。</t>
  </si>
  <si>
    <t>https://bilibili.com/example/0007</t>
  </si>
  <si>
    <t>青海</t>
  </si>
  <si>
    <t>青海、西藏</t>
  </si>
  <si>
    <t>西宁</t>
  </si>
  <si>
    <t>OQ-20260814-0008</t>
  </si>
  <si>
    <t>今日头条</t>
  </si>
  <si>
    <t>贴吧/头条/新闻评论</t>
  </si>
  <si>
    <t>新闻评论区</t>
  </si>
  <si>
    <t>示例用户H</t>
  </si>
  <si>
    <t>促进法很好，建议多开展双语普法宣传。</t>
  </si>
  <si>
    <t>https://toutiao.com/example/0008</t>
  </si>
  <si>
    <t>西藏</t>
  </si>
  <si>
    <t>拉萨</t>
  </si>
  <si>
    <t>藏语</t>
  </si>
  <si>
    <t>参与建议</t>
  </si>
  <si>
    <t>OQ-20260814-0009</t>
  </si>
  <si>
    <t>视频评论区</t>
  </si>
  <si>
    <t>示例用户I</t>
  </si>
  <si>
    <t>我们厂里招聘现在没那么多条条框框了，支持。</t>
  </si>
  <si>
    <t>https://douyin.com/example/0009</t>
  </si>
  <si>
    <t>凉山</t>
  </si>
  <si>
    <t>OQ-20260814-0010</t>
  </si>
  <si>
    <t>超话讨论</t>
  </si>
  <si>
    <t>示例用户J</t>
  </si>
  <si>
    <t>担心促进法在基层落实不到位，希望能有监督渠道。</t>
  </si>
  <si>
    <t>https://weibo.com/example/0010</t>
  </si>
  <si>
    <t>临夏</t>
  </si>
  <si>
    <t>OQ-20260814-0011</t>
  </si>
  <si>
    <t>评论区</t>
  </si>
  <si>
    <t>示例账号K</t>
  </si>
  <si>
    <t>请问促进法对少数民族传统节日有什么规定？</t>
  </si>
  <si>
    <t>https://mp.weixin.qq.com/example/0011</t>
  </si>
  <si>
    <t>广西</t>
  </si>
  <si>
    <t>南宁</t>
  </si>
  <si>
    <t>OQ-20260814-0012</t>
  </si>
  <si>
    <t>示例账号L</t>
  </si>
  <si>
    <t>反对就业歧视，支持促进法！</t>
  </si>
  <si>
    <t>https://kuaishou.com/example/0012</t>
  </si>
  <si>
    <t>宁夏</t>
  </si>
  <si>
    <t>宁夏、贵州、重庆、湖南、湖北、浙江</t>
  </si>
  <si>
    <t>银川</t>
  </si>
  <si>
    <t>总量</t>
  </si>
  <si>
    <t>非支持合计</t>
  </si>
  <si>
    <t>小红书/豆瓣等平台</t>
  </si>
  <si>
    <t>合计</t>
  </si>
  <si>
    <t>数量</t>
  </si>
  <si>
    <t>—</t>
  </si>
  <si>
    <t>类别</t>
  </si>
  <si>
    <t>说明</t>
  </si>
  <si>
    <t>示例：总体态度为咨询/疑问的行</t>
  </si>
  <si>
    <t>示例：担忧、影响类问题</t>
  </si>
  <si>
    <t>示例：按具体问题类别统计，可能并入歧视偏见等</t>
  </si>
  <si>
    <t>示例：歧视类问题</t>
  </si>
  <si>
    <t>非支持/非肯定合计（按具体问题类别）</t>
  </si>
  <si>
    <t>层级</t>
  </si>
  <si>
    <t>平台组/地区</t>
  </si>
  <si>
    <t>监测来源</t>
  </si>
  <si>
    <t>原平台组</t>
  </si>
  <si>
    <t>示例：监测对象数</t>
  </si>
  <si>
    <t>示例</t>
  </si>
  <si>
    <t>合计（示例）</t>
  </si>
  <si>
    <t>真实口径按去重后来源统计，禁止机械加总</t>
  </si>
  <si>
    <t>查看信息</t>
  </si>
  <si>
    <t>示例：文章/帖子/视频/评论混合工作量</t>
  </si>
  <si>
    <t>真实口径为查看信息项数，不等于去重信息数</t>
  </si>
  <si>
    <t>排名</t>
  </si>
  <si>
    <t>标题/摘要</t>
  </si>
  <si>
    <t>清洗状态</t>
  </si>
  <si>
    <t>未通过原因/待办</t>
  </si>
  <si>
    <t>RAW-0001</t>
  </si>
  <si>
    <t>示例用户M</t>
  </si>
  <si>
    <t>请问促进法在新疆实施后怎么申请补贴？</t>
  </si>
  <si>
    <t/>
  </si>
  <si>
    <t>待复核</t>
  </si>
  <si>
    <t>缺省份/城市/语言，补齐后再入库</t>
  </si>
  <si>
    <t>RAW-0002</t>
  </si>
  <si>
    <t>示例用户N</t>
  </si>
  <si>
    <t>今天天气不错，出去走走。</t>
  </si>
  <si>
    <t>无法判断</t>
  </si>
  <si>
    <t>未命中民族相关关键词，需人工判断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</si>
</sst>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4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name val="Carlito"/>
      <charset val="134"/>
    </font>
    <font>
      <b/>
      <sz val="15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8FA9BC"/>
      </left>
      <right style="thin">
        <color rgb="FF8FA9BC"/>
      </right>
      <top style="thin">
        <color rgb="FF8FA9BC"/>
      </top>
      <bottom style="thin">
        <color rgb="FF8FA9BC"/>
      </bottom>
      <diagonal/>
    </border>
    <border>
      <left style="thin">
        <color rgb="FFD5DEE6"/>
      </left>
      <right style="thin">
        <color rgb="FFD5DEE6"/>
      </right>
      <top style="thin">
        <color rgb="FFD5DEE6"/>
      </top>
      <bottom style="thin">
        <color rgb="FFD5DEE6"/>
      </bottom>
      <diagonal/>
    </border>
    <border>
      <left style="thin">
        <color rgb="FFB7C9D6"/>
      </left>
      <right style="thin">
        <color rgb="FFB7C9D6"/>
      </right>
      <top style="medium">
        <color rgb="FF8FA9BC"/>
      </top>
      <bottom style="thin">
        <color rgb="FFB7C9D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0" fillId="0" borderId="0"/>
  </cellStyleXfs>
  <cellXfs count="22">
    <xf numFmtId="0" fontId="0" fillId="0" borderId="0" xfId="49"/>
    <xf numFmtId="0" fontId="1" fillId="2" borderId="1" xfId="49" applyNumberFormat="1" applyFont="1" applyFill="1" applyBorder="1" applyAlignment="1">
      <alignment horizontal="center" vertical="center" wrapText="1"/>
    </xf>
    <xf numFmtId="0" fontId="0" fillId="0" borderId="2" xfId="49" applyNumberFormat="1" applyFont="1" applyFill="1" applyBorder="1" applyAlignment="1">
      <alignment vertical="center"/>
    </xf>
    <xf numFmtId="176" fontId="0" fillId="0" borderId="2" xfId="49" applyNumberFormat="1" applyFont="1" applyFill="1" applyBorder="1" applyAlignment="1">
      <alignment horizontal="center" vertical="center"/>
    </xf>
    <xf numFmtId="0" fontId="0" fillId="0" borderId="2" xfId="49" applyNumberFormat="1" applyFont="1" applyFill="1" applyBorder="1" applyAlignment="1">
      <alignment vertical="center" wrapText="1"/>
    </xf>
    <xf numFmtId="0" fontId="0" fillId="0" borderId="2" xfId="49" applyNumberFormat="1" applyFont="1" applyFill="1" applyBorder="1" applyAlignment="1">
      <alignment horizontal="center" vertical="center"/>
    </xf>
    <xf numFmtId="0" fontId="0" fillId="0" borderId="2" xfId="49" applyNumberFormat="1" applyFont="1" applyFill="1" applyBorder="1" applyAlignment="1">
      <alignment horizontal="left" vertical="center"/>
    </xf>
    <xf numFmtId="3" fontId="0" fillId="0" borderId="2" xfId="49" applyNumberFormat="1" applyFont="1" applyFill="1" applyBorder="1" applyAlignment="1">
      <alignment horizontal="right" vertical="center"/>
    </xf>
    <xf numFmtId="3" fontId="0" fillId="0" borderId="2" xfId="49" applyNumberFormat="1" applyFont="1" applyFill="1" applyBorder="1" applyAlignment="1">
      <alignment horizontal="left" vertical="center"/>
    </xf>
    <xf numFmtId="0" fontId="0" fillId="0" borderId="2" xfId="49" applyNumberFormat="1" applyFont="1" applyFill="1" applyBorder="1" applyAlignment="1">
      <alignment horizontal="left" vertical="center" wrapText="1"/>
    </xf>
    <xf numFmtId="0" fontId="2" fillId="3" borderId="2" xfId="49" applyNumberFormat="1" applyFont="1" applyFill="1" applyBorder="1" applyAlignment="1">
      <alignment horizontal="left" vertical="center"/>
    </xf>
    <xf numFmtId="3" fontId="2" fillId="3" borderId="2" xfId="49" applyNumberFormat="1" applyFont="1" applyFill="1" applyBorder="1" applyAlignment="1">
      <alignment horizontal="left" vertical="center"/>
    </xf>
    <xf numFmtId="0" fontId="2" fillId="3" borderId="2" xfId="49" applyNumberFormat="1" applyFont="1" applyFill="1" applyBorder="1" applyAlignment="1">
      <alignment horizontal="left" vertical="center" wrapText="1"/>
    </xf>
    <xf numFmtId="0" fontId="2" fillId="3" borderId="3" xfId="49" applyNumberFormat="1" applyFont="1" applyFill="1" applyBorder="1" applyAlignment="1">
      <alignment vertical="center"/>
    </xf>
    <xf numFmtId="3" fontId="2" fillId="3" borderId="3" xfId="49" applyNumberFormat="1" applyFont="1" applyFill="1" applyBorder="1" applyAlignment="1">
      <alignment horizontal="right" vertical="center"/>
    </xf>
    <xf numFmtId="0" fontId="2" fillId="3" borderId="3" xfId="49" applyNumberFormat="1" applyFont="1" applyFill="1" applyBorder="1" applyAlignment="1">
      <alignment vertical="center" wrapText="1"/>
    </xf>
    <xf numFmtId="0" fontId="2" fillId="3" borderId="3" xfId="49" applyNumberFormat="1" applyFont="1" applyFill="1" applyBorder="1" applyAlignment="1">
      <alignment horizontal="center" vertical="center"/>
    </xf>
    <xf numFmtId="176" fontId="0" fillId="0" borderId="2" xfId="49" applyNumberFormat="1" applyFont="1" applyFill="1" applyBorder="1" applyAlignment="1">
      <alignment horizontal="left" vertical="center"/>
    </xf>
    <xf numFmtId="0" fontId="3" fillId="2" borderId="0" xfId="49" applyNumberFormat="1" applyFont="1" applyFill="1" applyBorder="1" applyAlignment="1">
      <alignment horizontal="center" vertical="center"/>
    </xf>
    <xf numFmtId="0" fontId="0" fillId="0" borderId="0" xfId="49" applyNumberFormat="1" applyFont="1" applyFill="1" applyBorder="1" applyAlignment="1">
      <alignment vertical="center" wrapText="1"/>
    </xf>
    <xf numFmtId="0" fontId="2" fillId="3" borderId="0" xfId="49" applyNumberFormat="1" applyFont="1" applyFill="1" applyBorder="1" applyAlignment="1">
      <alignment vertical="center" wrapText="1"/>
    </xf>
    <xf numFmtId="0" fontId="0" fillId="0" borderId="0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0">
    <dxf>
      <fill>
        <patternFill patternType="solid">
          <bgColor rgb="FFEEF4FA"/>
        </patternFill>
      </fill>
    </dxf>
    <dxf>
      <font>
        <color rgb="FF7A5B00"/>
      </font>
      <fill>
        <patternFill patternType="solid">
          <bgColor rgb="FFFFF3CD"/>
        </patternFill>
      </fill>
    </dxf>
    <dxf>
      <font>
        <color rgb="FF7A5B00"/>
      </font>
      <fill>
        <patternFill patternType="solid">
          <bgColor rgb="FFFFF3CD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showGridLines="0" workbookViewId="0">
      <selection activeCell="A1" sqref="A1:D1"/>
    </sheetView>
  </sheetViews>
  <sheetFormatPr defaultColWidth="9" defaultRowHeight="16.8" outlineLevelCol="3"/>
  <cols>
    <col min="1" max="4" width="34" customWidth="1"/>
  </cols>
  <sheetData>
    <row r="1" ht="42" customHeight="1" spans="1:4">
      <c r="A1" s="18" t="s">
        <v>0</v>
      </c>
      <c r="B1" s="18"/>
      <c r="C1" s="18"/>
      <c r="D1" s="18"/>
    </row>
    <row r="3" ht="32" customHeight="1" spans="1:4">
      <c r="A3" s="19" t="s">
        <v>1</v>
      </c>
      <c r="B3" s="19"/>
      <c r="C3" s="19"/>
      <c r="D3" s="19"/>
    </row>
    <row r="4" ht="32" customHeight="1" spans="1:4">
      <c r="A4" s="19" t="s">
        <v>2</v>
      </c>
      <c r="B4" s="19"/>
      <c r="C4" s="19"/>
      <c r="D4" s="19"/>
    </row>
    <row r="5" ht="32" customHeight="1" spans="1:4">
      <c r="A5" s="19" t="s">
        <v>3</v>
      </c>
      <c r="B5" s="19"/>
      <c r="C5" s="19"/>
      <c r="D5" s="19"/>
    </row>
    <row r="6" ht="32" customHeight="1" spans="1:4">
      <c r="A6" s="19" t="s">
        <v>4</v>
      </c>
      <c r="B6" s="19"/>
      <c r="C6" s="19"/>
      <c r="D6" s="19"/>
    </row>
    <row r="7" ht="34" customHeight="1" spans="1:4">
      <c r="A7" s="20" t="s">
        <v>5</v>
      </c>
      <c r="B7" s="20"/>
      <c r="C7" s="20"/>
      <c r="D7" s="20"/>
    </row>
    <row r="8" ht="32" customHeight="1" spans="1:4">
      <c r="A8" s="19" t="s">
        <v>6</v>
      </c>
      <c r="B8" s="19"/>
      <c r="C8" s="19"/>
      <c r="D8" s="19"/>
    </row>
    <row r="9" ht="32" customHeight="1" spans="1:4">
      <c r="A9" s="19" t="s">
        <v>7</v>
      </c>
      <c r="B9" s="19"/>
      <c r="C9" s="19"/>
      <c r="D9" s="19"/>
    </row>
    <row r="10" ht="32" customHeight="1" spans="1:4">
      <c r="A10" s="19" t="s">
        <v>8</v>
      </c>
      <c r="B10" s="19"/>
      <c r="C10" s="19"/>
      <c r="D10" s="19"/>
    </row>
    <row r="11" ht="32" customHeight="1" spans="1:4">
      <c r="A11" s="19" t="s">
        <v>9</v>
      </c>
      <c r="B11" s="19"/>
      <c r="C11" s="19"/>
      <c r="D11" s="19"/>
    </row>
    <row r="12" ht="32" customHeight="1" spans="1:4">
      <c r="A12" s="19" t="s">
        <v>10</v>
      </c>
      <c r="B12" s="19"/>
      <c r="C12" s="19"/>
      <c r="D12" s="19"/>
    </row>
    <row r="13" ht="32" customHeight="1" spans="1:4">
      <c r="A13" s="19" t="s">
        <v>11</v>
      </c>
      <c r="B13" s="19"/>
      <c r="C13" s="19"/>
      <c r="D13" s="19"/>
    </row>
    <row r="14" ht="34" customHeight="1" spans="1:4">
      <c r="A14" s="19" t="s">
        <v>12</v>
      </c>
      <c r="B14" s="19"/>
      <c r="C14" s="19"/>
      <c r="D14" s="19"/>
    </row>
    <row r="15" ht="36" customHeight="1" spans="1:4">
      <c r="A15" s="19" t="s">
        <v>13</v>
      </c>
      <c r="B15" s="19"/>
      <c r="C15" s="19"/>
      <c r="D15" s="19"/>
    </row>
    <row r="16" ht="24" customHeight="1" spans="1:4">
      <c r="A16" s="21" t="s">
        <v>14</v>
      </c>
    </row>
  </sheetData>
  <mergeCells count="15">
    <mergeCell ref="A1:D1"/>
    <mergeCell ref="A3:D3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3"/>
  <sheetViews>
    <sheetView showGridLines="0" tabSelected="1" workbookViewId="0">
      <selection activeCell="A1" sqref="A1"/>
    </sheetView>
  </sheetViews>
  <sheetFormatPr defaultColWidth="9" defaultRowHeight="16.8"/>
  <cols>
    <col min="1" max="1" width="17" customWidth="1"/>
    <col min="2" max="3" width="18" customWidth="1"/>
    <col min="4" max="4" width="10" customWidth="1"/>
    <col min="5" max="6" width="17" customWidth="1"/>
    <col min="7" max="7" width="14" customWidth="1"/>
    <col min="8" max="8" width="52" customWidth="1"/>
    <col min="9" max="9" width="30" customWidth="1"/>
    <col min="10" max="10" width="8" customWidth="1"/>
    <col min="11" max="11" width="24" customWidth="1"/>
    <col min="12" max="12" width="8" customWidth="1"/>
    <col min="13" max="13" width="9" customWidth="1"/>
    <col min="14" max="15" width="8" customWidth="1"/>
    <col min="16" max="16" width="11" customWidth="1"/>
    <col min="17" max="17" width="10" customWidth="1"/>
    <col min="18" max="18" width="11" customWidth="1"/>
    <col min="19" max="22" width="9" customWidth="1"/>
    <col min="23" max="23" width="10" customWidth="1"/>
    <col min="24" max="24" width="22" customWidth="1"/>
  </cols>
  <sheetData>
    <row r="1" ht="34" customHeight="1" spans="1:24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</row>
    <row r="2" ht="46" customHeight="1" spans="1:24">
      <c r="A2" s="6" t="s">
        <v>39</v>
      </c>
      <c r="B2" s="17">
        <v>46248.084849537</v>
      </c>
      <c r="C2" s="17">
        <v>46248.0743055556</v>
      </c>
      <c r="D2" s="6" t="s">
        <v>40</v>
      </c>
      <c r="E2" s="6" t="s">
        <v>41</v>
      </c>
      <c r="F2" s="6" t="s">
        <v>42</v>
      </c>
      <c r="G2" s="6" t="s">
        <v>43</v>
      </c>
      <c r="H2" s="9" t="s">
        <v>44</v>
      </c>
      <c r="I2" s="9" t="s">
        <v>45</v>
      </c>
      <c r="J2" s="6" t="s">
        <v>46</v>
      </c>
      <c r="K2" s="6" t="s">
        <v>47</v>
      </c>
      <c r="L2" s="6" t="s">
        <v>46</v>
      </c>
      <c r="M2" s="6" t="s">
        <v>48</v>
      </c>
      <c r="N2" s="6" t="s">
        <v>46</v>
      </c>
      <c r="O2" s="6" t="s">
        <v>49</v>
      </c>
      <c r="P2" s="6" t="s">
        <v>50</v>
      </c>
      <c r="Q2" s="6" t="s">
        <v>51</v>
      </c>
      <c r="R2" s="6" t="s">
        <v>52</v>
      </c>
      <c r="S2" s="8">
        <v>328</v>
      </c>
      <c r="T2" s="8">
        <v>56</v>
      </c>
      <c r="U2" s="8">
        <v>12</v>
      </c>
      <c r="V2" s="6" t="s">
        <v>50</v>
      </c>
      <c r="W2" s="6" t="s">
        <v>53</v>
      </c>
      <c r="X2" s="9" t="s">
        <v>54</v>
      </c>
    </row>
    <row r="3" ht="46" customHeight="1" spans="1:24">
      <c r="A3" s="6" t="s">
        <v>55</v>
      </c>
      <c r="B3" s="17">
        <v>46248.0871875</v>
      </c>
      <c r="C3" s="17">
        <v>46248.0847222222</v>
      </c>
      <c r="D3" s="6" t="s">
        <v>56</v>
      </c>
      <c r="E3" s="6" t="s">
        <v>57</v>
      </c>
      <c r="F3" s="6" t="s">
        <v>58</v>
      </c>
      <c r="G3" s="6" t="s">
        <v>59</v>
      </c>
      <c r="H3" s="9" t="s">
        <v>60</v>
      </c>
      <c r="I3" s="9" t="s">
        <v>61</v>
      </c>
      <c r="J3" s="6" t="s">
        <v>62</v>
      </c>
      <c r="K3" s="6" t="s">
        <v>62</v>
      </c>
      <c r="L3" s="6" t="s">
        <v>62</v>
      </c>
      <c r="M3" s="6" t="s">
        <v>63</v>
      </c>
      <c r="N3" s="6" t="s">
        <v>62</v>
      </c>
      <c r="O3" s="6" t="s">
        <v>49</v>
      </c>
      <c r="P3" s="6" t="s">
        <v>50</v>
      </c>
      <c r="Q3" s="6" t="s">
        <v>64</v>
      </c>
      <c r="R3" s="6" t="s">
        <v>64</v>
      </c>
      <c r="S3" s="8">
        <v>12</v>
      </c>
      <c r="T3" s="8">
        <v>3</v>
      </c>
      <c r="U3" s="8">
        <v>0</v>
      </c>
      <c r="V3" s="6" t="s">
        <v>50</v>
      </c>
      <c r="W3" s="6" t="s">
        <v>53</v>
      </c>
      <c r="X3" s="9" t="s">
        <v>65</v>
      </c>
    </row>
    <row r="4" ht="46" customHeight="1" spans="1:24">
      <c r="A4" s="6" t="s">
        <v>66</v>
      </c>
      <c r="B4" s="17">
        <v>46248.0894097222</v>
      </c>
      <c r="C4" s="17">
        <v>46248.0625</v>
      </c>
      <c r="D4" s="6" t="s">
        <v>67</v>
      </c>
      <c r="E4" s="6" t="s">
        <v>67</v>
      </c>
      <c r="F4" s="6" t="s">
        <v>68</v>
      </c>
      <c r="G4" s="6" t="s">
        <v>69</v>
      </c>
      <c r="H4" s="9" t="s">
        <v>70</v>
      </c>
      <c r="I4" s="9" t="s">
        <v>71</v>
      </c>
      <c r="J4" s="6" t="s">
        <v>72</v>
      </c>
      <c r="K4" s="6" t="s">
        <v>73</v>
      </c>
      <c r="L4" s="6" t="s">
        <v>72</v>
      </c>
      <c r="M4" s="6" t="s">
        <v>74</v>
      </c>
      <c r="N4" s="6" t="s">
        <v>72</v>
      </c>
      <c r="O4" s="6" t="s">
        <v>75</v>
      </c>
      <c r="P4" s="6" t="s">
        <v>53</v>
      </c>
      <c r="Q4" s="6" t="s">
        <v>51</v>
      </c>
      <c r="R4" s="6" t="s">
        <v>52</v>
      </c>
      <c r="S4" s="8">
        <v>66</v>
      </c>
      <c r="T4" s="8">
        <v>8</v>
      </c>
      <c r="U4" s="8">
        <v>2</v>
      </c>
      <c r="V4" s="6" t="s">
        <v>50</v>
      </c>
      <c r="W4" s="6" t="s">
        <v>53</v>
      </c>
      <c r="X4" s="9" t="s">
        <v>65</v>
      </c>
    </row>
    <row r="5" ht="46" customHeight="1" spans="1:24">
      <c r="A5" s="6" t="s">
        <v>76</v>
      </c>
      <c r="B5" s="17">
        <v>46248.0912037037</v>
      </c>
      <c r="C5" s="17">
        <v>46248.0381944444</v>
      </c>
      <c r="D5" s="6" t="s">
        <v>77</v>
      </c>
      <c r="E5" s="6" t="s">
        <v>78</v>
      </c>
      <c r="F5" s="6" t="s">
        <v>79</v>
      </c>
      <c r="G5" s="6" t="s">
        <v>80</v>
      </c>
      <c r="H5" s="9" t="s">
        <v>81</v>
      </c>
      <c r="I5" s="9" t="s">
        <v>82</v>
      </c>
      <c r="J5" s="6" t="s">
        <v>83</v>
      </c>
      <c r="K5" s="6" t="s">
        <v>47</v>
      </c>
      <c r="L5" s="6" t="s">
        <v>83</v>
      </c>
      <c r="M5" s="6" t="s">
        <v>84</v>
      </c>
      <c r="N5" s="6" t="s">
        <v>83</v>
      </c>
      <c r="O5" s="6" t="s">
        <v>49</v>
      </c>
      <c r="P5" s="6" t="s">
        <v>50</v>
      </c>
      <c r="Q5" s="6" t="s">
        <v>85</v>
      </c>
      <c r="R5" s="6" t="s">
        <v>85</v>
      </c>
      <c r="S5" s="8">
        <v>5</v>
      </c>
      <c r="T5" s="8">
        <v>2</v>
      </c>
      <c r="U5" s="8">
        <v>0</v>
      </c>
      <c r="V5" s="6" t="s">
        <v>50</v>
      </c>
      <c r="W5" s="6" t="s">
        <v>53</v>
      </c>
      <c r="X5" s="9" t="s">
        <v>65</v>
      </c>
    </row>
    <row r="6" ht="46" customHeight="1" spans="1:24">
      <c r="A6" s="6" t="s">
        <v>86</v>
      </c>
      <c r="B6" s="17">
        <v>46248.0930787037</v>
      </c>
      <c r="C6" s="17">
        <v>46248.0902777778</v>
      </c>
      <c r="D6" s="6" t="s">
        <v>87</v>
      </c>
      <c r="E6" s="6" t="s">
        <v>88</v>
      </c>
      <c r="F6" s="6" t="s">
        <v>89</v>
      </c>
      <c r="G6" s="6" t="s">
        <v>90</v>
      </c>
      <c r="H6" s="9" t="s">
        <v>91</v>
      </c>
      <c r="I6" s="9" t="s">
        <v>92</v>
      </c>
      <c r="J6" s="6" t="s">
        <v>93</v>
      </c>
      <c r="K6" s="6" t="s">
        <v>93</v>
      </c>
      <c r="L6" s="6" t="s">
        <v>93</v>
      </c>
      <c r="M6" s="6" t="s">
        <v>93</v>
      </c>
      <c r="N6" s="6" t="s">
        <v>93</v>
      </c>
      <c r="O6" s="6" t="s">
        <v>49</v>
      </c>
      <c r="P6" s="6" t="s">
        <v>50</v>
      </c>
      <c r="Q6" s="6" t="s">
        <v>64</v>
      </c>
      <c r="R6" s="6" t="s">
        <v>64</v>
      </c>
      <c r="S6" s="8">
        <v>41</v>
      </c>
      <c r="T6" s="8">
        <v>9</v>
      </c>
      <c r="U6" s="8">
        <v>1</v>
      </c>
      <c r="V6" s="6" t="s">
        <v>50</v>
      </c>
      <c r="W6" s="6" t="s">
        <v>53</v>
      </c>
      <c r="X6" s="9" t="s">
        <v>65</v>
      </c>
    </row>
    <row r="7" ht="46" customHeight="1" spans="1:24">
      <c r="A7" s="6" t="s">
        <v>94</v>
      </c>
      <c r="B7" s="17">
        <v>46248.0957175926</v>
      </c>
      <c r="C7" s="17">
        <v>46248.05</v>
      </c>
      <c r="D7" s="6" t="s">
        <v>67</v>
      </c>
      <c r="E7" s="6" t="s">
        <v>67</v>
      </c>
      <c r="F7" s="6" t="s">
        <v>95</v>
      </c>
      <c r="G7" s="6" t="s">
        <v>96</v>
      </c>
      <c r="H7" s="9" t="s">
        <v>97</v>
      </c>
      <c r="I7" s="9" t="s">
        <v>98</v>
      </c>
      <c r="J7" s="6" t="s">
        <v>99</v>
      </c>
      <c r="K7" s="6" t="s">
        <v>100</v>
      </c>
      <c r="L7" s="6" t="s">
        <v>99</v>
      </c>
      <c r="M7" s="6" t="s">
        <v>101</v>
      </c>
      <c r="N7" s="6" t="s">
        <v>99</v>
      </c>
      <c r="O7" s="6" t="s">
        <v>49</v>
      </c>
      <c r="P7" s="6" t="s">
        <v>50</v>
      </c>
      <c r="Q7" s="6" t="s">
        <v>102</v>
      </c>
      <c r="R7" s="6" t="s">
        <v>103</v>
      </c>
      <c r="S7" s="8">
        <v>89</v>
      </c>
      <c r="T7" s="8">
        <v>33</v>
      </c>
      <c r="U7" s="8">
        <v>5</v>
      </c>
      <c r="V7" s="6" t="s">
        <v>53</v>
      </c>
      <c r="W7" s="6" t="s">
        <v>53</v>
      </c>
      <c r="X7" s="9" t="s">
        <v>65</v>
      </c>
    </row>
    <row r="8" ht="46" customHeight="1" spans="1:24">
      <c r="A8" s="6" t="s">
        <v>104</v>
      </c>
      <c r="B8" s="17">
        <v>46248.0973148148</v>
      </c>
      <c r="C8" s="17">
        <v>46248.0868055556</v>
      </c>
      <c r="D8" s="6" t="s">
        <v>105</v>
      </c>
      <c r="E8" s="6" t="s">
        <v>88</v>
      </c>
      <c r="F8" s="6" t="s">
        <v>106</v>
      </c>
      <c r="G8" s="6" t="s">
        <v>107</v>
      </c>
      <c r="H8" s="9" t="s">
        <v>108</v>
      </c>
      <c r="I8" s="9" t="s">
        <v>109</v>
      </c>
      <c r="J8" s="6" t="s">
        <v>110</v>
      </c>
      <c r="K8" s="6" t="s">
        <v>111</v>
      </c>
      <c r="L8" s="6" t="s">
        <v>110</v>
      </c>
      <c r="M8" s="6" t="s">
        <v>112</v>
      </c>
      <c r="N8" s="6" t="s">
        <v>110</v>
      </c>
      <c r="O8" s="6" t="s">
        <v>49</v>
      </c>
      <c r="P8" s="6" t="s">
        <v>50</v>
      </c>
      <c r="Q8" s="6" t="s">
        <v>51</v>
      </c>
      <c r="R8" s="6" t="s">
        <v>52</v>
      </c>
      <c r="S8" s="8">
        <v>7</v>
      </c>
      <c r="T8" s="8">
        <v>1</v>
      </c>
      <c r="U8" s="8">
        <v>0</v>
      </c>
      <c r="V8" s="6" t="s">
        <v>50</v>
      </c>
      <c r="W8" s="6" t="s">
        <v>53</v>
      </c>
      <c r="X8" s="9" t="s">
        <v>65</v>
      </c>
    </row>
    <row r="9" ht="46" customHeight="1" spans="1:24">
      <c r="A9" s="6" t="s">
        <v>113</v>
      </c>
      <c r="B9" s="17">
        <v>46248.0997800926</v>
      </c>
      <c r="C9" s="17">
        <v>46248.0819444444</v>
      </c>
      <c r="D9" s="6" t="s">
        <v>114</v>
      </c>
      <c r="E9" s="6" t="s">
        <v>115</v>
      </c>
      <c r="F9" s="6" t="s">
        <v>116</v>
      </c>
      <c r="G9" s="6" t="s">
        <v>117</v>
      </c>
      <c r="H9" s="9" t="s">
        <v>118</v>
      </c>
      <c r="I9" s="9" t="s">
        <v>119</v>
      </c>
      <c r="J9" s="6" t="s">
        <v>120</v>
      </c>
      <c r="K9" s="6" t="s">
        <v>111</v>
      </c>
      <c r="L9" s="6" t="s">
        <v>120</v>
      </c>
      <c r="M9" s="6" t="s">
        <v>121</v>
      </c>
      <c r="N9" s="6" t="s">
        <v>120</v>
      </c>
      <c r="O9" s="6" t="s">
        <v>122</v>
      </c>
      <c r="P9" s="6" t="s">
        <v>53</v>
      </c>
      <c r="Q9" s="6" t="s">
        <v>123</v>
      </c>
      <c r="R9" s="6" t="s">
        <v>123</v>
      </c>
      <c r="S9" s="8">
        <v>23</v>
      </c>
      <c r="T9" s="8">
        <v>4</v>
      </c>
      <c r="U9" s="8">
        <v>1</v>
      </c>
      <c r="V9" s="6" t="s">
        <v>50</v>
      </c>
      <c r="W9" s="6" t="s">
        <v>53</v>
      </c>
      <c r="X9" s="9" t="s">
        <v>65</v>
      </c>
    </row>
    <row r="10" ht="46" customHeight="1" spans="1:24">
      <c r="A10" s="6" t="s">
        <v>124</v>
      </c>
      <c r="B10" s="17">
        <v>46248.1016087963</v>
      </c>
      <c r="C10" s="17">
        <v>46248.0888888889</v>
      </c>
      <c r="D10" s="6" t="s">
        <v>56</v>
      </c>
      <c r="E10" s="6" t="s">
        <v>57</v>
      </c>
      <c r="F10" s="6" t="s">
        <v>125</v>
      </c>
      <c r="G10" s="6" t="s">
        <v>126</v>
      </c>
      <c r="H10" s="9" t="s">
        <v>127</v>
      </c>
      <c r="I10" s="9" t="s">
        <v>128</v>
      </c>
      <c r="J10" s="6" t="s">
        <v>46</v>
      </c>
      <c r="K10" s="6" t="s">
        <v>47</v>
      </c>
      <c r="L10" s="6" t="s">
        <v>46</v>
      </c>
      <c r="M10" s="6" t="s">
        <v>129</v>
      </c>
      <c r="N10" s="6" t="s">
        <v>46</v>
      </c>
      <c r="O10" s="6" t="s">
        <v>49</v>
      </c>
      <c r="P10" s="6" t="s">
        <v>50</v>
      </c>
      <c r="Q10" s="6" t="s">
        <v>51</v>
      </c>
      <c r="R10" s="6" t="s">
        <v>52</v>
      </c>
      <c r="S10" s="8">
        <v>152</v>
      </c>
      <c r="T10" s="8">
        <v>20</v>
      </c>
      <c r="U10" s="8">
        <v>3</v>
      </c>
      <c r="V10" s="6" t="s">
        <v>50</v>
      </c>
      <c r="W10" s="6" t="s">
        <v>53</v>
      </c>
      <c r="X10" s="9" t="s">
        <v>65</v>
      </c>
    </row>
    <row r="11" ht="46" customHeight="1" spans="1:24">
      <c r="A11" s="6" t="s">
        <v>130</v>
      </c>
      <c r="B11" s="17">
        <v>46248.1035300926</v>
      </c>
      <c r="C11" s="17">
        <v>46248.0840277778</v>
      </c>
      <c r="D11" s="6" t="s">
        <v>40</v>
      </c>
      <c r="E11" s="6" t="s">
        <v>41</v>
      </c>
      <c r="F11" s="6" t="s">
        <v>131</v>
      </c>
      <c r="G11" s="6" t="s">
        <v>132</v>
      </c>
      <c r="H11" s="9" t="s">
        <v>133</v>
      </c>
      <c r="I11" s="9" t="s">
        <v>134</v>
      </c>
      <c r="J11" s="6" t="s">
        <v>83</v>
      </c>
      <c r="K11" s="6" t="s">
        <v>47</v>
      </c>
      <c r="L11" s="6" t="s">
        <v>83</v>
      </c>
      <c r="M11" s="6" t="s">
        <v>135</v>
      </c>
      <c r="N11" s="6" t="s">
        <v>83</v>
      </c>
      <c r="O11" s="6" t="s">
        <v>49</v>
      </c>
      <c r="P11" s="6" t="s">
        <v>50</v>
      </c>
      <c r="Q11" s="6" t="s">
        <v>85</v>
      </c>
      <c r="R11" s="6" t="s">
        <v>85</v>
      </c>
      <c r="S11" s="8">
        <v>18</v>
      </c>
      <c r="T11" s="8">
        <v>7</v>
      </c>
      <c r="U11" s="8">
        <v>0</v>
      </c>
      <c r="V11" s="6" t="s">
        <v>50</v>
      </c>
      <c r="W11" s="6" t="s">
        <v>53</v>
      </c>
      <c r="X11" s="9" t="s">
        <v>65</v>
      </c>
    </row>
    <row r="12" ht="46" customHeight="1" spans="1:24">
      <c r="A12" s="6" t="s">
        <v>136</v>
      </c>
      <c r="B12" s="17">
        <v>46248.1058680556</v>
      </c>
      <c r="C12" s="17">
        <v>46248.09375</v>
      </c>
      <c r="D12" s="6" t="s">
        <v>77</v>
      </c>
      <c r="E12" s="6" t="s">
        <v>78</v>
      </c>
      <c r="F12" s="6" t="s">
        <v>137</v>
      </c>
      <c r="G12" s="6" t="s">
        <v>138</v>
      </c>
      <c r="H12" s="9" t="s">
        <v>139</v>
      </c>
      <c r="I12" s="9" t="s">
        <v>140</v>
      </c>
      <c r="J12" s="6" t="s">
        <v>141</v>
      </c>
      <c r="K12" s="6" t="s">
        <v>141</v>
      </c>
      <c r="L12" s="6" t="s">
        <v>141</v>
      </c>
      <c r="M12" s="6" t="s">
        <v>142</v>
      </c>
      <c r="N12" s="6" t="s">
        <v>141</v>
      </c>
      <c r="O12" s="6" t="s">
        <v>49</v>
      </c>
      <c r="P12" s="6" t="s">
        <v>50</v>
      </c>
      <c r="Q12" s="6" t="s">
        <v>64</v>
      </c>
      <c r="R12" s="6" t="s">
        <v>64</v>
      </c>
      <c r="S12" s="8">
        <v>3</v>
      </c>
      <c r="T12" s="8">
        <v>1</v>
      </c>
      <c r="U12" s="8">
        <v>0</v>
      </c>
      <c r="V12" s="6" t="s">
        <v>50</v>
      </c>
      <c r="W12" s="6" t="s">
        <v>53</v>
      </c>
      <c r="X12" s="9" t="s">
        <v>65</v>
      </c>
    </row>
    <row r="13" ht="46" customHeight="1" spans="1:24">
      <c r="A13" s="6" t="s">
        <v>143</v>
      </c>
      <c r="B13" s="17">
        <v>46248.1077777778</v>
      </c>
      <c r="C13" s="17">
        <v>46248.0972222222</v>
      </c>
      <c r="D13" s="6" t="s">
        <v>67</v>
      </c>
      <c r="E13" s="6" t="s">
        <v>67</v>
      </c>
      <c r="F13" s="6" t="s">
        <v>137</v>
      </c>
      <c r="G13" s="6" t="s">
        <v>144</v>
      </c>
      <c r="H13" s="9" t="s">
        <v>145</v>
      </c>
      <c r="I13" s="9" t="s">
        <v>146</v>
      </c>
      <c r="J13" s="6" t="s">
        <v>147</v>
      </c>
      <c r="K13" s="6" t="s">
        <v>148</v>
      </c>
      <c r="L13" s="6" t="s">
        <v>147</v>
      </c>
      <c r="M13" s="6" t="s">
        <v>149</v>
      </c>
      <c r="N13" s="6" t="s">
        <v>147</v>
      </c>
      <c r="O13" s="6" t="s">
        <v>49</v>
      </c>
      <c r="P13" s="6" t="s">
        <v>50</v>
      </c>
      <c r="Q13" s="6" t="s">
        <v>51</v>
      </c>
      <c r="R13" s="6" t="s">
        <v>52</v>
      </c>
      <c r="S13" s="8">
        <v>45</v>
      </c>
      <c r="T13" s="8">
        <v>6</v>
      </c>
      <c r="U13" s="8">
        <v>2</v>
      </c>
      <c r="V13" s="6" t="s">
        <v>50</v>
      </c>
      <c r="W13" s="6" t="s">
        <v>53</v>
      </c>
      <c r="X13" s="9" t="s">
        <v>65</v>
      </c>
    </row>
  </sheetData>
  <conditionalFormatting sqref="A2:X13">
    <cfRule type="expression" dxfId="0" priority="1">
      <formula>MOD(ROW(),2)=0</formula>
    </cfRule>
  </conditionalFormatting>
  <dataValidations count="1">
    <dataValidation type="list" sqref="V2:W13">
      <formula1>"是,否"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showGridLines="0" workbookViewId="0">
      <selection activeCell="A1" sqref="A1"/>
    </sheetView>
  </sheetViews>
  <sheetFormatPr defaultColWidth="9" defaultRowHeight="16.8" outlineLevelCol="7"/>
  <cols>
    <col min="1" max="1" width="26" customWidth="1"/>
    <col min="2" max="2" width="11" customWidth="1"/>
    <col min="3" max="7" width="12" customWidth="1"/>
    <col min="8" max="8" width="13" customWidth="1"/>
  </cols>
  <sheetData>
    <row r="1" ht="34" customHeight="1" spans="1:8">
      <c r="A1" s="1" t="s">
        <v>19</v>
      </c>
      <c r="B1" s="1" t="s">
        <v>150</v>
      </c>
      <c r="C1" s="1" t="s">
        <v>51</v>
      </c>
      <c r="D1" s="1" t="s">
        <v>64</v>
      </c>
      <c r="E1" s="1" t="s">
        <v>85</v>
      </c>
      <c r="F1" s="1" t="s">
        <v>102</v>
      </c>
      <c r="G1" s="1" t="s">
        <v>123</v>
      </c>
      <c r="H1" s="1" t="s">
        <v>151</v>
      </c>
    </row>
    <row r="2" ht="32" customHeight="1" spans="1:8">
      <c r="A2" s="6" t="s">
        <v>41</v>
      </c>
      <c r="B2" s="7">
        <f>COUNTIF(舆情事实表!$E$2:$E$13,$A2)</f>
        <v>2</v>
      </c>
      <c r="C2" s="7">
        <f>COUNTIFS(舆情事实表!$E$2:$E$13,$A2,舆情事实表!$Q$2:$Q$13,"支持认可")</f>
        <v>1</v>
      </c>
      <c r="D2" s="7">
        <f>COUNTIFS(舆情事实表!$E$2:$E$13,$A2,舆情事实表!$R$2:$R$13,"咨询疑问")</f>
        <v>0</v>
      </c>
      <c r="E2" s="7">
        <f>COUNTIFS(舆情事实表!$E$2:$E$13,$A2,舆情事实表!$R$2:$R$13,"担忧影响")</f>
        <v>1</v>
      </c>
      <c r="F2" s="7">
        <f>COUNTIFS(舆情事实表!$E$2:$E$13,$A2,舆情事实表!$Q$2:$Q$13,"明确批评")</f>
        <v>0</v>
      </c>
      <c r="G2" s="7">
        <f>COUNTIFS(舆情事实表!$E$2:$E$13,$A2,舆情事实表!$R$2:$R$13,"参与建议")</f>
        <v>0</v>
      </c>
      <c r="H2" s="7">
        <f t="shared" ref="H2:H8" si="0">SUM(D2:F2)</f>
        <v>1</v>
      </c>
    </row>
    <row r="3" ht="32" customHeight="1" spans="1:8">
      <c r="A3" s="6" t="s">
        <v>57</v>
      </c>
      <c r="B3" s="7">
        <f>COUNTIF(舆情事实表!$E$2:$E$13,$A3)</f>
        <v>2</v>
      </c>
      <c r="C3" s="7">
        <f>COUNTIFS(舆情事实表!$E$2:$E$13,$A3,舆情事实表!$Q$2:$Q$13,"支持认可")</f>
        <v>1</v>
      </c>
      <c r="D3" s="7">
        <f>COUNTIFS(舆情事实表!$E$2:$E$13,$A3,舆情事实表!$R$2:$R$13,"咨询疑问")</f>
        <v>1</v>
      </c>
      <c r="E3" s="7">
        <f>COUNTIFS(舆情事实表!$E$2:$E$13,$A3,舆情事实表!$R$2:$R$13,"担忧影响")</f>
        <v>0</v>
      </c>
      <c r="F3" s="7">
        <f>COUNTIFS(舆情事实表!$E$2:$E$13,$A3,舆情事实表!$Q$2:$Q$13,"明确批评")</f>
        <v>0</v>
      </c>
      <c r="G3" s="7">
        <f>COUNTIFS(舆情事实表!$E$2:$E$13,$A3,舆情事实表!$R$2:$R$13,"参与建议")</f>
        <v>0</v>
      </c>
      <c r="H3" s="7">
        <f t="shared" si="0"/>
        <v>1</v>
      </c>
    </row>
    <row r="4" ht="32" customHeight="1" spans="1:8">
      <c r="A4" s="6" t="s">
        <v>67</v>
      </c>
      <c r="B4" s="7">
        <f>COUNTIF(舆情事实表!$E$2:$E$13,$A4)</f>
        <v>3</v>
      </c>
      <c r="C4" s="7">
        <f>COUNTIFS(舆情事实表!$E$2:$E$13,$A4,舆情事实表!$Q$2:$Q$13,"支持认可")</f>
        <v>2</v>
      </c>
      <c r="D4" s="7">
        <f>COUNTIFS(舆情事实表!$E$2:$E$13,$A4,舆情事实表!$R$2:$R$13,"咨询疑问")</f>
        <v>0</v>
      </c>
      <c r="E4" s="7">
        <f>COUNTIFS(舆情事实表!$E$2:$E$13,$A4,舆情事实表!$R$2:$R$13,"担忧影响")</f>
        <v>0</v>
      </c>
      <c r="F4" s="7">
        <f>COUNTIFS(舆情事实表!$E$2:$E$13,$A4,舆情事实表!$Q$2:$Q$13,"明确批评")</f>
        <v>1</v>
      </c>
      <c r="G4" s="7">
        <f>COUNTIFS(舆情事实表!$E$2:$E$13,$A4,舆情事实表!$R$2:$R$13,"参与建议")</f>
        <v>0</v>
      </c>
      <c r="H4" s="7">
        <f t="shared" si="0"/>
        <v>1</v>
      </c>
    </row>
    <row r="5" ht="32" customHeight="1" spans="1:8">
      <c r="A5" s="6" t="s">
        <v>152</v>
      </c>
      <c r="B5" s="7">
        <f>COUNTIF(舆情事实表!$E$2:$E$13,$A5)</f>
        <v>0</v>
      </c>
      <c r="C5" s="7">
        <f>COUNTIFS(舆情事实表!$E$2:$E$13,$A5,舆情事实表!$Q$2:$Q$13,"支持认可")</f>
        <v>0</v>
      </c>
      <c r="D5" s="7">
        <f>COUNTIFS(舆情事实表!$E$2:$E$13,$A5,舆情事实表!$R$2:$R$13,"咨询疑问")</f>
        <v>0</v>
      </c>
      <c r="E5" s="7">
        <f>COUNTIFS(舆情事实表!$E$2:$E$13,$A5,舆情事实表!$R$2:$R$13,"担忧影响")</f>
        <v>0</v>
      </c>
      <c r="F5" s="7">
        <f>COUNTIFS(舆情事实表!$E$2:$E$13,$A5,舆情事实表!$Q$2:$Q$13,"明确批评")</f>
        <v>0</v>
      </c>
      <c r="G5" s="7">
        <f>COUNTIFS(舆情事实表!$E$2:$E$13,$A5,舆情事实表!$R$2:$R$13,"参与建议")</f>
        <v>0</v>
      </c>
      <c r="H5" s="7">
        <f t="shared" si="0"/>
        <v>0</v>
      </c>
    </row>
    <row r="6" ht="32" customHeight="1" spans="1:8">
      <c r="A6" s="6" t="s">
        <v>88</v>
      </c>
      <c r="B6" s="7">
        <f>COUNTIF(舆情事实表!$E$2:$E$13,$A6)</f>
        <v>2</v>
      </c>
      <c r="C6" s="7">
        <f>COUNTIFS(舆情事实表!$E$2:$E$13,$A6,舆情事实表!$Q$2:$Q$13,"支持认可")</f>
        <v>1</v>
      </c>
      <c r="D6" s="7">
        <f>COUNTIFS(舆情事实表!$E$2:$E$13,$A6,舆情事实表!$R$2:$R$13,"咨询疑问")</f>
        <v>1</v>
      </c>
      <c r="E6" s="7">
        <f>COUNTIFS(舆情事实表!$E$2:$E$13,$A6,舆情事实表!$R$2:$R$13,"担忧影响")</f>
        <v>0</v>
      </c>
      <c r="F6" s="7">
        <f>COUNTIFS(舆情事实表!$E$2:$E$13,$A6,舆情事实表!$Q$2:$Q$13,"明确批评")</f>
        <v>0</v>
      </c>
      <c r="G6" s="7">
        <f>COUNTIFS(舆情事实表!$E$2:$E$13,$A6,舆情事实表!$R$2:$R$13,"参与建议")</f>
        <v>0</v>
      </c>
      <c r="H6" s="7">
        <f t="shared" si="0"/>
        <v>1</v>
      </c>
    </row>
    <row r="7" ht="32" customHeight="1" spans="1:8">
      <c r="A7" s="6" t="s">
        <v>115</v>
      </c>
      <c r="B7" s="7">
        <f>COUNTIF(舆情事实表!$E$2:$E$13,$A7)</f>
        <v>1</v>
      </c>
      <c r="C7" s="7">
        <f>COUNTIFS(舆情事实表!$E$2:$E$13,$A7,舆情事实表!$Q$2:$Q$13,"支持认可")</f>
        <v>0</v>
      </c>
      <c r="D7" s="7">
        <f>COUNTIFS(舆情事实表!$E$2:$E$13,$A7,舆情事实表!$R$2:$R$13,"咨询疑问")</f>
        <v>0</v>
      </c>
      <c r="E7" s="7">
        <f>COUNTIFS(舆情事实表!$E$2:$E$13,$A7,舆情事实表!$R$2:$R$13,"担忧影响")</f>
        <v>0</v>
      </c>
      <c r="F7" s="7">
        <f>COUNTIFS(舆情事实表!$E$2:$E$13,$A7,舆情事实表!$Q$2:$Q$13,"明确批评")</f>
        <v>0</v>
      </c>
      <c r="G7" s="7">
        <f>COUNTIFS(舆情事实表!$E$2:$E$13,$A7,舆情事实表!$R$2:$R$13,"参与建议")</f>
        <v>1</v>
      </c>
      <c r="H7" s="7">
        <f t="shared" si="0"/>
        <v>0</v>
      </c>
    </row>
    <row r="8" ht="32" customHeight="1" spans="1:8">
      <c r="A8" s="6" t="s">
        <v>78</v>
      </c>
      <c r="B8" s="7">
        <f>COUNTIF(舆情事实表!$E$2:$E$13,$A8)</f>
        <v>2</v>
      </c>
      <c r="C8" s="7">
        <f>COUNTIFS(舆情事实表!$E$2:$E$13,$A8,舆情事实表!$Q$2:$Q$13,"支持认可")</f>
        <v>0</v>
      </c>
      <c r="D8" s="7">
        <f>COUNTIFS(舆情事实表!$E$2:$E$13,$A8,舆情事实表!$R$2:$R$13,"咨询疑问")</f>
        <v>1</v>
      </c>
      <c r="E8" s="7">
        <f>COUNTIFS(舆情事实表!$E$2:$E$13,$A8,舆情事实表!$R$2:$R$13,"担忧影响")</f>
        <v>1</v>
      </c>
      <c r="F8" s="7">
        <f>COUNTIFS(舆情事实表!$E$2:$E$13,$A8,舆情事实表!$Q$2:$Q$13,"明确批评")</f>
        <v>0</v>
      </c>
      <c r="G8" s="7">
        <f>COUNTIFS(舆情事实表!$E$2:$E$13,$A8,舆情事实表!$R$2:$R$13,"参与建议")</f>
        <v>0</v>
      </c>
      <c r="H8" s="7">
        <f t="shared" si="0"/>
        <v>2</v>
      </c>
    </row>
    <row r="9" ht="30" customHeight="1" spans="1:8">
      <c r="A9" s="13" t="s">
        <v>153</v>
      </c>
      <c r="B9" s="14">
        <f t="shared" ref="B9:H9" si="1">SUM(B2:B8)</f>
        <v>12</v>
      </c>
      <c r="C9" s="14">
        <f t="shared" si="1"/>
        <v>5</v>
      </c>
      <c r="D9" s="14">
        <f t="shared" si="1"/>
        <v>3</v>
      </c>
      <c r="E9" s="14">
        <f t="shared" si="1"/>
        <v>2</v>
      </c>
      <c r="F9" s="14">
        <f t="shared" si="1"/>
        <v>1</v>
      </c>
      <c r="G9" s="14">
        <f t="shared" si="1"/>
        <v>1</v>
      </c>
      <c r="H9" s="14">
        <f t="shared" si="1"/>
        <v>6</v>
      </c>
    </row>
  </sheetData>
  <conditionalFormatting sqref="A2:H8">
    <cfRule type="expression" dxfId="0" priority="1">
      <formula>MOD(ROW(),2)=0</formula>
    </cfRule>
  </conditionalFormatting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showGridLines="0" workbookViewId="0">
      <selection activeCell="A1" sqref="A1"/>
    </sheetView>
  </sheetViews>
  <sheetFormatPr defaultColWidth="9" defaultRowHeight="16.8" outlineLevelCol="7"/>
  <cols>
    <col min="1" max="1" width="34" customWidth="1"/>
    <col min="2" max="2" width="11" customWidth="1"/>
    <col min="3" max="7" width="12" customWidth="1"/>
    <col min="8" max="8" width="13" customWidth="1"/>
  </cols>
  <sheetData>
    <row r="1" ht="34" customHeight="1" spans="1:8">
      <c r="A1" s="1" t="s">
        <v>25</v>
      </c>
      <c r="B1" s="1" t="s">
        <v>150</v>
      </c>
      <c r="C1" s="1" t="s">
        <v>51</v>
      </c>
      <c r="D1" s="1" t="s">
        <v>64</v>
      </c>
      <c r="E1" s="1" t="s">
        <v>85</v>
      </c>
      <c r="F1" s="1" t="s">
        <v>102</v>
      </c>
      <c r="G1" s="1" t="s">
        <v>123</v>
      </c>
      <c r="H1" s="1" t="s">
        <v>151</v>
      </c>
    </row>
    <row r="2" ht="32" customHeight="1" spans="1:8">
      <c r="A2" s="6" t="s">
        <v>47</v>
      </c>
      <c r="B2" s="7">
        <f>COUNTIF(舆情事实表!$K$2:$K$13,$A2)</f>
        <v>4</v>
      </c>
      <c r="C2" s="7">
        <f>COUNTIFS(舆情事实表!$K$2:$K$13,$A2,舆情事实表!$Q$2:$Q$13,"支持认可")</f>
        <v>2</v>
      </c>
      <c r="D2" s="7">
        <f>COUNTIFS(舆情事实表!$K$2:$K$13,$A2,舆情事实表!$R$2:$R$13,"咨询疑问")</f>
        <v>0</v>
      </c>
      <c r="E2" s="7">
        <f>COUNTIFS(舆情事实表!$K$2:$K$13,$A2,舆情事实表!$R$2:$R$13,"担忧影响")</f>
        <v>2</v>
      </c>
      <c r="F2" s="7">
        <f>COUNTIFS(舆情事实表!$K$2:$K$13,$A2,舆情事实表!$Q$2:$Q$13,"明确批评")</f>
        <v>0</v>
      </c>
      <c r="G2" s="7">
        <f>COUNTIFS(舆情事实表!$K$2:$K$13,$A2,舆情事实表!$R$2:$R$13,"参与建议")</f>
        <v>0</v>
      </c>
      <c r="H2" s="7">
        <f t="shared" ref="H2:H9" si="0">SUM(D2:F2)</f>
        <v>2</v>
      </c>
    </row>
    <row r="3" ht="32" customHeight="1" spans="1:8">
      <c r="A3" s="6" t="s">
        <v>62</v>
      </c>
      <c r="B3" s="7">
        <f>COUNTIF(舆情事实表!$K$2:$K$13,$A3)</f>
        <v>1</v>
      </c>
      <c r="C3" s="7">
        <f>COUNTIFS(舆情事实表!$K$2:$K$13,$A3,舆情事实表!$Q$2:$Q$13,"支持认可")</f>
        <v>0</v>
      </c>
      <c r="D3" s="7">
        <f>COUNTIFS(舆情事实表!$K$2:$K$13,$A3,舆情事实表!$R$2:$R$13,"咨询疑问")</f>
        <v>1</v>
      </c>
      <c r="E3" s="7">
        <f>COUNTIFS(舆情事实表!$K$2:$K$13,$A3,舆情事实表!$R$2:$R$13,"担忧影响")</f>
        <v>0</v>
      </c>
      <c r="F3" s="7">
        <f>COUNTIFS(舆情事实表!$K$2:$K$13,$A3,舆情事实表!$Q$2:$Q$13,"明确批评")</f>
        <v>0</v>
      </c>
      <c r="G3" s="7">
        <f>COUNTIFS(舆情事实表!$K$2:$K$13,$A3,舆情事实表!$R$2:$R$13,"参与建议")</f>
        <v>0</v>
      </c>
      <c r="H3" s="7">
        <f t="shared" si="0"/>
        <v>1</v>
      </c>
    </row>
    <row r="4" ht="32" customHeight="1" spans="1:8">
      <c r="A4" s="6" t="s">
        <v>73</v>
      </c>
      <c r="B4" s="7">
        <f>COUNTIF(舆情事实表!$K$2:$K$13,$A4)</f>
        <v>1</v>
      </c>
      <c r="C4" s="7">
        <f>COUNTIFS(舆情事实表!$K$2:$K$13,$A4,舆情事实表!$Q$2:$Q$13,"支持认可")</f>
        <v>1</v>
      </c>
      <c r="D4" s="7">
        <f>COUNTIFS(舆情事实表!$K$2:$K$13,$A4,舆情事实表!$R$2:$R$13,"咨询疑问")</f>
        <v>0</v>
      </c>
      <c r="E4" s="7">
        <f>COUNTIFS(舆情事实表!$K$2:$K$13,$A4,舆情事实表!$R$2:$R$13,"担忧影响")</f>
        <v>0</v>
      </c>
      <c r="F4" s="7">
        <f>COUNTIFS(舆情事实表!$K$2:$K$13,$A4,舆情事实表!$Q$2:$Q$13,"明确批评")</f>
        <v>0</v>
      </c>
      <c r="G4" s="7">
        <f>COUNTIFS(舆情事实表!$K$2:$K$13,$A4,舆情事实表!$R$2:$R$13,"参与建议")</f>
        <v>0</v>
      </c>
      <c r="H4" s="7">
        <f t="shared" si="0"/>
        <v>0</v>
      </c>
    </row>
    <row r="5" ht="32" customHeight="1" spans="1:8">
      <c r="A5" s="6" t="s">
        <v>100</v>
      </c>
      <c r="B5" s="7">
        <f>COUNTIF(舆情事实表!$K$2:$K$13,$A5)</f>
        <v>1</v>
      </c>
      <c r="C5" s="7">
        <f>COUNTIFS(舆情事实表!$K$2:$K$13,$A5,舆情事实表!$Q$2:$Q$13,"支持认可")</f>
        <v>0</v>
      </c>
      <c r="D5" s="7">
        <f>COUNTIFS(舆情事实表!$K$2:$K$13,$A5,舆情事实表!$R$2:$R$13,"咨询疑问")</f>
        <v>0</v>
      </c>
      <c r="E5" s="7">
        <f>COUNTIFS(舆情事实表!$K$2:$K$13,$A5,舆情事实表!$R$2:$R$13,"担忧影响")</f>
        <v>0</v>
      </c>
      <c r="F5" s="7">
        <f>COUNTIFS(舆情事实表!$K$2:$K$13,$A5,舆情事实表!$Q$2:$Q$13,"明确批评")</f>
        <v>1</v>
      </c>
      <c r="G5" s="7">
        <f>COUNTIFS(舆情事实表!$K$2:$K$13,$A5,舆情事实表!$R$2:$R$13,"参与建议")</f>
        <v>0</v>
      </c>
      <c r="H5" s="7">
        <f t="shared" si="0"/>
        <v>1</v>
      </c>
    </row>
    <row r="6" ht="32" customHeight="1" spans="1:8">
      <c r="A6" s="6" t="s">
        <v>111</v>
      </c>
      <c r="B6" s="7">
        <f>COUNTIF(舆情事实表!$K$2:$K$13,$A6)</f>
        <v>2</v>
      </c>
      <c r="C6" s="7">
        <f>COUNTIFS(舆情事实表!$K$2:$K$13,$A6,舆情事实表!$Q$2:$Q$13,"支持认可")</f>
        <v>1</v>
      </c>
      <c r="D6" s="7">
        <f>COUNTIFS(舆情事实表!$K$2:$K$13,$A6,舆情事实表!$R$2:$R$13,"咨询疑问")</f>
        <v>0</v>
      </c>
      <c r="E6" s="7">
        <f>COUNTIFS(舆情事实表!$K$2:$K$13,$A6,舆情事实表!$R$2:$R$13,"担忧影响")</f>
        <v>0</v>
      </c>
      <c r="F6" s="7">
        <f>COUNTIFS(舆情事实表!$K$2:$K$13,$A6,舆情事实表!$Q$2:$Q$13,"明确批评")</f>
        <v>0</v>
      </c>
      <c r="G6" s="7">
        <f>COUNTIFS(舆情事实表!$K$2:$K$13,$A6,舆情事实表!$R$2:$R$13,"参与建议")</f>
        <v>1</v>
      </c>
      <c r="H6" s="7">
        <f t="shared" si="0"/>
        <v>0</v>
      </c>
    </row>
    <row r="7" ht="32" customHeight="1" spans="1:8">
      <c r="A7" s="6" t="s">
        <v>93</v>
      </c>
      <c r="B7" s="7">
        <f>COUNTIF(舆情事实表!$K$2:$K$13,$A7)</f>
        <v>1</v>
      </c>
      <c r="C7" s="7">
        <f>COUNTIFS(舆情事实表!$K$2:$K$13,$A7,舆情事实表!$Q$2:$Q$13,"支持认可")</f>
        <v>0</v>
      </c>
      <c r="D7" s="7">
        <f>COUNTIFS(舆情事实表!$K$2:$K$13,$A7,舆情事实表!$R$2:$R$13,"咨询疑问")</f>
        <v>1</v>
      </c>
      <c r="E7" s="7">
        <f>COUNTIFS(舆情事实表!$K$2:$K$13,$A7,舆情事实表!$R$2:$R$13,"担忧影响")</f>
        <v>0</v>
      </c>
      <c r="F7" s="7">
        <f>COUNTIFS(舆情事实表!$K$2:$K$13,$A7,舆情事实表!$Q$2:$Q$13,"明确批评")</f>
        <v>0</v>
      </c>
      <c r="G7" s="7">
        <f>COUNTIFS(舆情事实表!$K$2:$K$13,$A7,舆情事实表!$R$2:$R$13,"参与建议")</f>
        <v>0</v>
      </c>
      <c r="H7" s="7">
        <f t="shared" si="0"/>
        <v>1</v>
      </c>
    </row>
    <row r="8" ht="32" customHeight="1" spans="1:8">
      <c r="A8" s="6" t="s">
        <v>141</v>
      </c>
      <c r="B8" s="7">
        <f>COUNTIF(舆情事实表!$K$2:$K$13,$A8)</f>
        <v>1</v>
      </c>
      <c r="C8" s="7">
        <f>COUNTIFS(舆情事实表!$K$2:$K$13,$A8,舆情事实表!$Q$2:$Q$13,"支持认可")</f>
        <v>0</v>
      </c>
      <c r="D8" s="7">
        <f>COUNTIFS(舆情事实表!$K$2:$K$13,$A8,舆情事实表!$R$2:$R$13,"咨询疑问")</f>
        <v>1</v>
      </c>
      <c r="E8" s="7">
        <f>COUNTIFS(舆情事实表!$K$2:$K$13,$A8,舆情事实表!$R$2:$R$13,"担忧影响")</f>
        <v>0</v>
      </c>
      <c r="F8" s="7">
        <f>COUNTIFS(舆情事实表!$K$2:$K$13,$A8,舆情事实表!$Q$2:$Q$13,"明确批评")</f>
        <v>0</v>
      </c>
      <c r="G8" s="7">
        <f>COUNTIFS(舆情事实表!$K$2:$K$13,$A8,舆情事实表!$R$2:$R$13,"参与建议")</f>
        <v>0</v>
      </c>
      <c r="H8" s="7">
        <f t="shared" si="0"/>
        <v>1</v>
      </c>
    </row>
    <row r="9" ht="32" customHeight="1" spans="1:8">
      <c r="A9" s="6" t="s">
        <v>148</v>
      </c>
      <c r="B9" s="7">
        <f>COUNTIF(舆情事实表!$K$2:$K$13,$A9)</f>
        <v>1</v>
      </c>
      <c r="C9" s="7">
        <f>COUNTIFS(舆情事实表!$K$2:$K$13,$A9,舆情事实表!$Q$2:$Q$13,"支持认可")</f>
        <v>1</v>
      </c>
      <c r="D9" s="7">
        <f>COUNTIFS(舆情事实表!$K$2:$K$13,$A9,舆情事实表!$R$2:$R$13,"咨询疑问")</f>
        <v>0</v>
      </c>
      <c r="E9" s="7">
        <f>COUNTIFS(舆情事实表!$K$2:$K$13,$A9,舆情事实表!$R$2:$R$13,"担忧影响")</f>
        <v>0</v>
      </c>
      <c r="F9" s="7">
        <f>COUNTIFS(舆情事实表!$K$2:$K$13,$A9,舆情事实表!$Q$2:$Q$13,"明确批评")</f>
        <v>0</v>
      </c>
      <c r="G9" s="7">
        <f>COUNTIFS(舆情事实表!$K$2:$K$13,$A9,舆情事实表!$R$2:$R$13,"参与建议")</f>
        <v>0</v>
      </c>
      <c r="H9" s="7">
        <f t="shared" si="0"/>
        <v>0</v>
      </c>
    </row>
    <row r="10" ht="30" customHeight="1" spans="1:8">
      <c r="A10" s="13" t="s">
        <v>153</v>
      </c>
      <c r="B10" s="14">
        <f t="shared" ref="B10:H10" si="1">SUM(B2:B9)</f>
        <v>12</v>
      </c>
      <c r="C10" s="14">
        <f t="shared" si="1"/>
        <v>5</v>
      </c>
      <c r="D10" s="14">
        <f t="shared" si="1"/>
        <v>3</v>
      </c>
      <c r="E10" s="14">
        <f t="shared" si="1"/>
        <v>2</v>
      </c>
      <c r="F10" s="14">
        <f t="shared" si="1"/>
        <v>1</v>
      </c>
      <c r="G10" s="14">
        <f t="shared" si="1"/>
        <v>1</v>
      </c>
      <c r="H10" s="14">
        <f t="shared" si="1"/>
        <v>6</v>
      </c>
    </row>
  </sheetData>
  <conditionalFormatting sqref="A2:H9">
    <cfRule type="expression" dxfId="0" priority="1">
      <formula>MOD(ROW(),2)=0</formula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showGridLines="0" workbookViewId="0">
      <selection activeCell="A1" sqref="A1"/>
    </sheetView>
  </sheetViews>
  <sheetFormatPr defaultColWidth="9" defaultRowHeight="16.8" outlineLevelCol="7"/>
  <cols>
    <col min="1" max="1" width="12" customWidth="1"/>
    <col min="2" max="2" width="11" customWidth="1"/>
    <col min="3" max="7" width="12" customWidth="1"/>
    <col min="8" max="8" width="13" customWidth="1"/>
  </cols>
  <sheetData>
    <row r="1" ht="34" customHeight="1" spans="1:8">
      <c r="A1" s="1" t="s">
        <v>26</v>
      </c>
      <c r="B1" s="1" t="s">
        <v>150</v>
      </c>
      <c r="C1" s="1" t="s">
        <v>51</v>
      </c>
      <c r="D1" s="1" t="s">
        <v>64</v>
      </c>
      <c r="E1" s="1" t="s">
        <v>85</v>
      </c>
      <c r="F1" s="1" t="s">
        <v>102</v>
      </c>
      <c r="G1" s="1" t="s">
        <v>123</v>
      </c>
      <c r="H1" s="1" t="s">
        <v>151</v>
      </c>
    </row>
    <row r="2" ht="32" customHeight="1" spans="1:8">
      <c r="A2" s="6" t="s">
        <v>46</v>
      </c>
      <c r="B2" s="7">
        <f>COUNTIF(舆情事实表!$L$2:$L$13,$A2)</f>
        <v>2</v>
      </c>
      <c r="C2" s="7">
        <f>COUNTIFS(舆情事实表!$L$2:$L$13,$A2,舆情事实表!$Q$2:$Q$13,"支持认可")</f>
        <v>2</v>
      </c>
      <c r="D2" s="7">
        <f>COUNTIFS(舆情事实表!$L$2:$L$13,$A2,舆情事实表!$R$2:$R$13,"咨询疑问")</f>
        <v>0</v>
      </c>
      <c r="E2" s="7">
        <f>COUNTIFS(舆情事实表!$L$2:$L$13,$A2,舆情事实表!$R$2:$R$13,"担忧影响")</f>
        <v>0</v>
      </c>
      <c r="F2" s="7">
        <f>COUNTIFS(舆情事实表!$L$2:$L$13,$A2,舆情事实表!$Q$2:$Q$13,"明确批评")</f>
        <v>0</v>
      </c>
      <c r="G2" s="7">
        <f>COUNTIFS(舆情事实表!$L$2:$L$13,$A2,舆情事实表!$R$2:$R$13,"参与建议")</f>
        <v>0</v>
      </c>
      <c r="H2" s="7">
        <f t="shared" ref="H2:H11" si="0">SUM(D2:F2)</f>
        <v>0</v>
      </c>
    </row>
    <row r="3" ht="32" customHeight="1" spans="1:8">
      <c r="A3" s="6" t="s">
        <v>83</v>
      </c>
      <c r="B3" s="7">
        <f>COUNTIF(舆情事实表!$L$2:$L$13,$A3)</f>
        <v>2</v>
      </c>
      <c r="C3" s="7">
        <f>COUNTIFS(舆情事实表!$L$2:$L$13,$A3,舆情事实表!$Q$2:$Q$13,"支持认可")</f>
        <v>0</v>
      </c>
      <c r="D3" s="7">
        <f>COUNTIFS(舆情事实表!$L$2:$L$13,$A3,舆情事实表!$R$2:$R$13,"咨询疑问")</f>
        <v>0</v>
      </c>
      <c r="E3" s="7">
        <f>COUNTIFS(舆情事实表!$L$2:$L$13,$A3,舆情事实表!$R$2:$R$13,"担忧影响")</f>
        <v>2</v>
      </c>
      <c r="F3" s="7">
        <f>COUNTIFS(舆情事实表!$L$2:$L$13,$A3,舆情事实表!$Q$2:$Q$13,"明确批评")</f>
        <v>0</v>
      </c>
      <c r="G3" s="7">
        <f>COUNTIFS(舆情事实表!$L$2:$L$13,$A3,舆情事实表!$R$2:$R$13,"参与建议")</f>
        <v>0</v>
      </c>
      <c r="H3" s="7">
        <f t="shared" si="0"/>
        <v>2</v>
      </c>
    </row>
    <row r="4" ht="32" customHeight="1" spans="1:8">
      <c r="A4" s="6" t="s">
        <v>62</v>
      </c>
      <c r="B4" s="7">
        <f>COUNTIF(舆情事实表!$L$2:$L$13,$A4)</f>
        <v>1</v>
      </c>
      <c r="C4" s="7">
        <f>COUNTIFS(舆情事实表!$L$2:$L$13,$A4,舆情事实表!$Q$2:$Q$13,"支持认可")</f>
        <v>0</v>
      </c>
      <c r="D4" s="7">
        <f>COUNTIFS(舆情事实表!$L$2:$L$13,$A4,舆情事实表!$R$2:$R$13,"咨询疑问")</f>
        <v>1</v>
      </c>
      <c r="E4" s="7">
        <f>COUNTIFS(舆情事实表!$L$2:$L$13,$A4,舆情事实表!$R$2:$R$13,"担忧影响")</f>
        <v>0</v>
      </c>
      <c r="F4" s="7">
        <f>COUNTIFS(舆情事实表!$L$2:$L$13,$A4,舆情事实表!$Q$2:$Q$13,"明确批评")</f>
        <v>0</v>
      </c>
      <c r="G4" s="7">
        <f>COUNTIFS(舆情事实表!$L$2:$L$13,$A4,舆情事实表!$R$2:$R$13,"参与建议")</f>
        <v>0</v>
      </c>
      <c r="H4" s="7">
        <f t="shared" si="0"/>
        <v>1</v>
      </c>
    </row>
    <row r="5" ht="32" customHeight="1" spans="1:8">
      <c r="A5" s="6" t="s">
        <v>72</v>
      </c>
      <c r="B5" s="7">
        <f>COUNTIF(舆情事实表!$L$2:$L$13,$A5)</f>
        <v>1</v>
      </c>
      <c r="C5" s="7">
        <f>COUNTIFS(舆情事实表!$L$2:$L$13,$A5,舆情事实表!$Q$2:$Q$13,"支持认可")</f>
        <v>1</v>
      </c>
      <c r="D5" s="7">
        <f>COUNTIFS(舆情事实表!$L$2:$L$13,$A5,舆情事实表!$R$2:$R$13,"咨询疑问")</f>
        <v>0</v>
      </c>
      <c r="E5" s="7">
        <f>COUNTIFS(舆情事实表!$L$2:$L$13,$A5,舆情事实表!$R$2:$R$13,"担忧影响")</f>
        <v>0</v>
      </c>
      <c r="F5" s="7">
        <f>COUNTIFS(舆情事实表!$L$2:$L$13,$A5,舆情事实表!$Q$2:$Q$13,"明确批评")</f>
        <v>0</v>
      </c>
      <c r="G5" s="7">
        <f>COUNTIFS(舆情事实表!$L$2:$L$13,$A5,舆情事实表!$R$2:$R$13,"参与建议")</f>
        <v>0</v>
      </c>
      <c r="H5" s="7">
        <f t="shared" si="0"/>
        <v>0</v>
      </c>
    </row>
    <row r="6" ht="32" customHeight="1" spans="1:8">
      <c r="A6" s="6" t="s">
        <v>93</v>
      </c>
      <c r="B6" s="7">
        <f>COUNTIF(舆情事实表!$L$2:$L$13,$A6)</f>
        <v>1</v>
      </c>
      <c r="C6" s="7">
        <f>COUNTIFS(舆情事实表!$L$2:$L$13,$A6,舆情事实表!$Q$2:$Q$13,"支持认可")</f>
        <v>0</v>
      </c>
      <c r="D6" s="7">
        <f>COUNTIFS(舆情事实表!$L$2:$L$13,$A6,舆情事实表!$R$2:$R$13,"咨询疑问")</f>
        <v>1</v>
      </c>
      <c r="E6" s="7">
        <f>COUNTIFS(舆情事实表!$L$2:$L$13,$A6,舆情事实表!$R$2:$R$13,"担忧影响")</f>
        <v>0</v>
      </c>
      <c r="F6" s="7">
        <f>COUNTIFS(舆情事实表!$L$2:$L$13,$A6,舆情事实表!$Q$2:$Q$13,"明确批评")</f>
        <v>0</v>
      </c>
      <c r="G6" s="7">
        <f>COUNTIFS(舆情事实表!$L$2:$L$13,$A6,舆情事实表!$R$2:$R$13,"参与建议")</f>
        <v>0</v>
      </c>
      <c r="H6" s="7">
        <f t="shared" si="0"/>
        <v>1</v>
      </c>
    </row>
    <row r="7" ht="32" customHeight="1" spans="1:8">
      <c r="A7" s="6" t="s">
        <v>99</v>
      </c>
      <c r="B7" s="7">
        <f>COUNTIF(舆情事实表!$L$2:$L$13,$A7)</f>
        <v>1</v>
      </c>
      <c r="C7" s="7">
        <f>COUNTIFS(舆情事实表!$L$2:$L$13,$A7,舆情事实表!$Q$2:$Q$13,"支持认可")</f>
        <v>0</v>
      </c>
      <c r="D7" s="7">
        <f>COUNTIFS(舆情事实表!$L$2:$L$13,$A7,舆情事实表!$R$2:$R$13,"咨询疑问")</f>
        <v>0</v>
      </c>
      <c r="E7" s="7">
        <f>COUNTIFS(舆情事实表!$L$2:$L$13,$A7,舆情事实表!$R$2:$R$13,"担忧影响")</f>
        <v>0</v>
      </c>
      <c r="F7" s="7">
        <f>COUNTIFS(舆情事实表!$L$2:$L$13,$A7,舆情事实表!$Q$2:$Q$13,"明确批评")</f>
        <v>1</v>
      </c>
      <c r="G7" s="7">
        <f>COUNTIFS(舆情事实表!$L$2:$L$13,$A7,舆情事实表!$R$2:$R$13,"参与建议")</f>
        <v>0</v>
      </c>
      <c r="H7" s="7">
        <f t="shared" si="0"/>
        <v>1</v>
      </c>
    </row>
    <row r="8" ht="32" customHeight="1" spans="1:8">
      <c r="A8" s="6" t="s">
        <v>110</v>
      </c>
      <c r="B8" s="7">
        <f>COUNTIF(舆情事实表!$L$2:$L$13,$A8)</f>
        <v>1</v>
      </c>
      <c r="C8" s="7">
        <f>COUNTIFS(舆情事实表!$L$2:$L$13,$A8,舆情事实表!$Q$2:$Q$13,"支持认可")</f>
        <v>1</v>
      </c>
      <c r="D8" s="7">
        <f>COUNTIFS(舆情事实表!$L$2:$L$13,$A8,舆情事实表!$R$2:$R$13,"咨询疑问")</f>
        <v>0</v>
      </c>
      <c r="E8" s="7">
        <f>COUNTIFS(舆情事实表!$L$2:$L$13,$A8,舆情事实表!$R$2:$R$13,"担忧影响")</f>
        <v>0</v>
      </c>
      <c r="F8" s="7">
        <f>COUNTIFS(舆情事实表!$L$2:$L$13,$A8,舆情事实表!$Q$2:$Q$13,"明确批评")</f>
        <v>0</v>
      </c>
      <c r="G8" s="7">
        <f>COUNTIFS(舆情事实表!$L$2:$L$13,$A8,舆情事实表!$R$2:$R$13,"参与建议")</f>
        <v>0</v>
      </c>
      <c r="H8" s="7">
        <f t="shared" si="0"/>
        <v>0</v>
      </c>
    </row>
    <row r="9" ht="32" customHeight="1" spans="1:8">
      <c r="A9" s="6" t="s">
        <v>120</v>
      </c>
      <c r="B9" s="7">
        <f>COUNTIF(舆情事实表!$L$2:$L$13,$A9)</f>
        <v>1</v>
      </c>
      <c r="C9" s="7">
        <f>COUNTIFS(舆情事实表!$L$2:$L$13,$A9,舆情事实表!$Q$2:$Q$13,"支持认可")</f>
        <v>0</v>
      </c>
      <c r="D9" s="7">
        <f>COUNTIFS(舆情事实表!$L$2:$L$13,$A9,舆情事实表!$R$2:$R$13,"咨询疑问")</f>
        <v>0</v>
      </c>
      <c r="E9" s="7">
        <f>COUNTIFS(舆情事实表!$L$2:$L$13,$A9,舆情事实表!$R$2:$R$13,"担忧影响")</f>
        <v>0</v>
      </c>
      <c r="F9" s="7">
        <f>COUNTIFS(舆情事实表!$L$2:$L$13,$A9,舆情事实表!$Q$2:$Q$13,"明确批评")</f>
        <v>0</v>
      </c>
      <c r="G9" s="7">
        <f>COUNTIFS(舆情事实表!$L$2:$L$13,$A9,舆情事实表!$R$2:$R$13,"参与建议")</f>
        <v>1</v>
      </c>
      <c r="H9" s="7">
        <f t="shared" si="0"/>
        <v>0</v>
      </c>
    </row>
    <row r="10" ht="32" customHeight="1" spans="1:8">
      <c r="A10" s="6" t="s">
        <v>141</v>
      </c>
      <c r="B10" s="7">
        <f>COUNTIF(舆情事实表!$L$2:$L$13,$A10)</f>
        <v>1</v>
      </c>
      <c r="C10" s="7">
        <f>COUNTIFS(舆情事实表!$L$2:$L$13,$A10,舆情事实表!$Q$2:$Q$13,"支持认可")</f>
        <v>0</v>
      </c>
      <c r="D10" s="7">
        <f>COUNTIFS(舆情事实表!$L$2:$L$13,$A10,舆情事实表!$R$2:$R$13,"咨询疑问")</f>
        <v>1</v>
      </c>
      <c r="E10" s="7">
        <f>COUNTIFS(舆情事实表!$L$2:$L$13,$A10,舆情事实表!$R$2:$R$13,"担忧影响")</f>
        <v>0</v>
      </c>
      <c r="F10" s="7">
        <f>COUNTIFS(舆情事实表!$L$2:$L$13,$A10,舆情事实表!$Q$2:$Q$13,"明确批评")</f>
        <v>0</v>
      </c>
      <c r="G10" s="7">
        <f>COUNTIFS(舆情事实表!$L$2:$L$13,$A10,舆情事实表!$R$2:$R$13,"参与建议")</f>
        <v>0</v>
      </c>
      <c r="H10" s="7">
        <f t="shared" si="0"/>
        <v>1</v>
      </c>
    </row>
    <row r="11" ht="32" customHeight="1" spans="1:8">
      <c r="A11" s="6" t="s">
        <v>147</v>
      </c>
      <c r="B11" s="7">
        <f>COUNTIF(舆情事实表!$L$2:$L$13,$A11)</f>
        <v>1</v>
      </c>
      <c r="C11" s="7">
        <f>COUNTIFS(舆情事实表!$L$2:$L$13,$A11,舆情事实表!$Q$2:$Q$13,"支持认可")</f>
        <v>1</v>
      </c>
      <c r="D11" s="7">
        <f>COUNTIFS(舆情事实表!$L$2:$L$13,$A11,舆情事实表!$R$2:$R$13,"咨询疑问")</f>
        <v>0</v>
      </c>
      <c r="E11" s="7">
        <f>COUNTIFS(舆情事实表!$L$2:$L$13,$A11,舆情事实表!$R$2:$R$13,"担忧影响")</f>
        <v>0</v>
      </c>
      <c r="F11" s="7">
        <f>COUNTIFS(舆情事实表!$L$2:$L$13,$A11,舆情事实表!$Q$2:$Q$13,"明确批评")</f>
        <v>0</v>
      </c>
      <c r="G11" s="7">
        <f>COUNTIFS(舆情事实表!$L$2:$L$13,$A11,舆情事实表!$R$2:$R$13,"参与建议")</f>
        <v>0</v>
      </c>
      <c r="H11" s="7">
        <f t="shared" si="0"/>
        <v>0</v>
      </c>
    </row>
    <row r="12" ht="30" customHeight="1" spans="1:8">
      <c r="A12" s="13" t="s">
        <v>153</v>
      </c>
      <c r="B12" s="14">
        <f t="shared" ref="B12:H12" si="1">SUM(B2:B11)</f>
        <v>12</v>
      </c>
      <c r="C12" s="14">
        <f t="shared" si="1"/>
        <v>5</v>
      </c>
      <c r="D12" s="14">
        <f t="shared" si="1"/>
        <v>3</v>
      </c>
      <c r="E12" s="14">
        <f t="shared" si="1"/>
        <v>2</v>
      </c>
      <c r="F12" s="14">
        <f t="shared" si="1"/>
        <v>1</v>
      </c>
      <c r="G12" s="14">
        <f t="shared" si="1"/>
        <v>1</v>
      </c>
      <c r="H12" s="14">
        <f t="shared" si="1"/>
        <v>6</v>
      </c>
    </row>
  </sheetData>
  <conditionalFormatting sqref="A2:H11">
    <cfRule type="expression" dxfId="0" priority="1">
      <formula>MOD(ROW(),2)=0</formula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showGridLines="0" workbookViewId="0">
      <selection activeCell="A1" sqref="A1"/>
    </sheetView>
  </sheetViews>
  <sheetFormatPr defaultColWidth="9" defaultRowHeight="16.8" outlineLevelRow="4" outlineLevelCol="2"/>
  <cols>
    <col min="1" max="1" width="14" customWidth="1"/>
    <col min="2" max="2" width="11" customWidth="1"/>
    <col min="3" max="3" width="18" customWidth="1"/>
  </cols>
  <sheetData>
    <row r="1" ht="34" customHeight="1" spans="1:3">
      <c r="A1" s="1" t="s">
        <v>29</v>
      </c>
      <c r="B1" s="1" t="s">
        <v>154</v>
      </c>
      <c r="C1" s="1" t="s">
        <v>30</v>
      </c>
    </row>
    <row r="2" ht="32" customHeight="1" spans="1:3">
      <c r="A2" s="6" t="s">
        <v>49</v>
      </c>
      <c r="B2" s="7">
        <f>COUNTIF(舆情事实表!$O$2:$O$13,$A2)</f>
        <v>10</v>
      </c>
      <c r="C2" s="5" t="str">
        <f>IF($A2="中文","否","是")</f>
        <v>否</v>
      </c>
    </row>
    <row r="3" ht="32" customHeight="1" spans="1:3">
      <c r="A3" s="6" t="s">
        <v>75</v>
      </c>
      <c r="B3" s="7">
        <f>COUNTIF(舆情事实表!$O$2:$O$13,$A3)</f>
        <v>1</v>
      </c>
      <c r="C3" s="5" t="str">
        <f>IF($A3="中文","否","是")</f>
        <v>是</v>
      </c>
    </row>
    <row r="4" ht="32" customHeight="1" spans="1:3">
      <c r="A4" s="6" t="s">
        <v>122</v>
      </c>
      <c r="B4" s="7">
        <f>COUNTIF(舆情事实表!$O$2:$O$13,$A4)</f>
        <v>1</v>
      </c>
      <c r="C4" s="5" t="str">
        <f>IF($A4="中文","否","是")</f>
        <v>是</v>
      </c>
    </row>
    <row r="5" ht="30" customHeight="1" spans="1:3">
      <c r="A5" s="13" t="s">
        <v>153</v>
      </c>
      <c r="B5" s="14">
        <f>SUM(B2:B4)</f>
        <v>12</v>
      </c>
      <c r="C5" s="16" t="s">
        <v>155</v>
      </c>
    </row>
  </sheetData>
  <conditionalFormatting sqref="A2:C4">
    <cfRule type="expression" dxfId="0" priority="1">
      <formula>MOD(ROW(),2)=0</formula>
    </cfRule>
  </conditionalFormatting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showGridLines="0" workbookViewId="0">
      <selection activeCell="A1" sqref="A1"/>
    </sheetView>
  </sheetViews>
  <sheetFormatPr defaultColWidth="9" defaultRowHeight="16.8" outlineLevelRow="5" outlineLevelCol="2"/>
  <cols>
    <col min="1" max="1" width="15" customWidth="1"/>
    <col min="2" max="2" width="11" customWidth="1"/>
    <col min="3" max="3" width="52" customWidth="1"/>
  </cols>
  <sheetData>
    <row r="1" ht="34" customHeight="1" spans="1:3">
      <c r="A1" s="1" t="s">
        <v>156</v>
      </c>
      <c r="B1" s="1" t="s">
        <v>154</v>
      </c>
      <c r="C1" s="1" t="s">
        <v>157</v>
      </c>
    </row>
    <row r="2" ht="40" customHeight="1" spans="1:3">
      <c r="A2" s="6" t="s">
        <v>64</v>
      </c>
      <c r="B2" s="7">
        <f>COUNTIF(舆情事实表!$R$2:$R$13,$A2)</f>
        <v>3</v>
      </c>
      <c r="C2" s="4" t="s">
        <v>158</v>
      </c>
    </row>
    <row r="3" ht="40" customHeight="1" spans="1:3">
      <c r="A3" s="6" t="s">
        <v>85</v>
      </c>
      <c r="B3" s="7">
        <f>COUNTIF(舆情事实表!$R$2:$R$13,$A3)</f>
        <v>2</v>
      </c>
      <c r="C3" s="4" t="s">
        <v>159</v>
      </c>
    </row>
    <row r="4" ht="40" customHeight="1" spans="1:3">
      <c r="A4" s="6" t="s">
        <v>102</v>
      </c>
      <c r="B4" s="7">
        <f>COUNTIF(舆情事实表!$R$2:$R$13,$A4)</f>
        <v>0</v>
      </c>
      <c r="C4" s="4" t="s">
        <v>160</v>
      </c>
    </row>
    <row r="5" ht="40" customHeight="1" spans="1:3">
      <c r="A5" s="6" t="s">
        <v>103</v>
      </c>
      <c r="B5" s="7">
        <f>COUNTIF(舆情事实表!$R$2:$R$13,$A5)</f>
        <v>1</v>
      </c>
      <c r="C5" s="4" t="s">
        <v>161</v>
      </c>
    </row>
    <row r="6" ht="30" customHeight="1" spans="1:3">
      <c r="A6" s="13" t="s">
        <v>153</v>
      </c>
      <c r="B6" s="14">
        <f>SUM(B2:B5)</f>
        <v>6</v>
      </c>
      <c r="C6" s="15" t="s">
        <v>162</v>
      </c>
    </row>
  </sheetData>
  <conditionalFormatting sqref="A2:C5">
    <cfRule type="expression" dxfId="0" priority="1">
      <formula>MOD(ROW(),2)=0</formula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showGridLines="0" workbookViewId="0">
      <selection activeCell="A1" sqref="A1"/>
    </sheetView>
  </sheetViews>
  <sheetFormatPr defaultColWidth="9" defaultRowHeight="16.8" outlineLevelCol="4"/>
  <cols>
    <col min="1" max="2" width="15" customWidth="1"/>
    <col min="3" max="3" width="17" customWidth="1"/>
    <col min="4" max="4" width="13" customWidth="1"/>
    <col min="5" max="5" width="52" customWidth="1"/>
  </cols>
  <sheetData>
    <row r="1" ht="34" customHeight="1" spans="1:5">
      <c r="A1" s="1" t="s">
        <v>156</v>
      </c>
      <c r="B1" s="1" t="s">
        <v>163</v>
      </c>
      <c r="C1" s="1" t="s">
        <v>164</v>
      </c>
      <c r="D1" s="1" t="s">
        <v>154</v>
      </c>
      <c r="E1" s="1" t="s">
        <v>157</v>
      </c>
    </row>
    <row r="2" ht="40" customHeight="1" spans="1:5">
      <c r="A2" s="6" t="s">
        <v>165</v>
      </c>
      <c r="B2" s="6" t="s">
        <v>166</v>
      </c>
      <c r="C2" s="6" t="s">
        <v>40</v>
      </c>
      <c r="D2" s="8">
        <v>8</v>
      </c>
      <c r="E2" s="9" t="s">
        <v>167</v>
      </c>
    </row>
    <row r="3" ht="40" customHeight="1" spans="1:5">
      <c r="A3" s="6" t="s">
        <v>165</v>
      </c>
      <c r="B3" s="6" t="s">
        <v>166</v>
      </c>
      <c r="C3" s="6" t="s">
        <v>56</v>
      </c>
      <c r="D3" s="8">
        <v>6</v>
      </c>
      <c r="E3" s="9" t="s">
        <v>168</v>
      </c>
    </row>
    <row r="4" ht="40" customHeight="1" spans="1:5">
      <c r="A4" s="6" t="s">
        <v>165</v>
      </c>
      <c r="B4" s="6" t="s">
        <v>166</v>
      </c>
      <c r="C4" s="6" t="s">
        <v>67</v>
      </c>
      <c r="D4" s="8">
        <v>5</v>
      </c>
      <c r="E4" s="9" t="s">
        <v>168</v>
      </c>
    </row>
    <row r="5" ht="40" customHeight="1" spans="1:5">
      <c r="A5" s="10" t="s">
        <v>165</v>
      </c>
      <c r="B5" s="10" t="s">
        <v>169</v>
      </c>
      <c r="C5" s="10" t="s">
        <v>52</v>
      </c>
      <c r="D5" s="11">
        <v>19</v>
      </c>
      <c r="E5" s="12" t="s">
        <v>170</v>
      </c>
    </row>
    <row r="6" ht="40" customHeight="1" spans="1:5">
      <c r="A6" s="6" t="s">
        <v>171</v>
      </c>
      <c r="B6" s="6" t="s">
        <v>166</v>
      </c>
      <c r="C6" s="6" t="s">
        <v>40</v>
      </c>
      <c r="D6" s="8">
        <v>312</v>
      </c>
      <c r="E6" s="9" t="s">
        <v>172</v>
      </c>
    </row>
    <row r="7" ht="40" customHeight="1" spans="1:5">
      <c r="A7" s="6" t="s">
        <v>171</v>
      </c>
      <c r="B7" s="6" t="s">
        <v>166</v>
      </c>
      <c r="C7" s="6" t="s">
        <v>56</v>
      </c>
      <c r="D7" s="8">
        <v>480</v>
      </c>
      <c r="E7" s="9" t="s">
        <v>168</v>
      </c>
    </row>
    <row r="8" ht="40" customHeight="1" spans="1:5">
      <c r="A8" s="6" t="s">
        <v>171</v>
      </c>
      <c r="B8" s="6" t="s">
        <v>166</v>
      </c>
      <c r="C8" s="6" t="s">
        <v>67</v>
      </c>
      <c r="D8" s="8">
        <v>260</v>
      </c>
      <c r="E8" s="9" t="s">
        <v>168</v>
      </c>
    </row>
    <row r="9" ht="40" customHeight="1" spans="1:5">
      <c r="A9" s="10" t="s">
        <v>171</v>
      </c>
      <c r="B9" s="10" t="s">
        <v>169</v>
      </c>
      <c r="C9" s="10" t="s">
        <v>52</v>
      </c>
      <c r="D9" s="11">
        <v>1052</v>
      </c>
      <c r="E9" s="12" t="s">
        <v>173</v>
      </c>
    </row>
  </sheetData>
  <conditionalFormatting sqref="A2:E9">
    <cfRule type="expression" dxfId="0" priority="1">
      <formula>MOD(ROW(),2)=0</formula>
    </cfRule>
  </conditionalFormatting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showGridLines="0" workbookViewId="0">
      <selection activeCell="A1" sqref="A1"/>
    </sheetView>
  </sheetViews>
  <sheetFormatPr defaultColWidth="9" defaultRowHeight="16.8" outlineLevelRow="5"/>
  <cols>
    <col min="1" max="1" width="8" customWidth="1"/>
    <col min="2" max="2" width="19" customWidth="1"/>
    <col min="3" max="3" width="12" customWidth="1"/>
    <col min="4" max="4" width="15" customWidth="1"/>
    <col min="5" max="5" width="48" customWidth="1"/>
    <col min="6" max="8" width="11" customWidth="1"/>
    <col min="9" max="9" width="18" customWidth="1"/>
    <col min="10" max="10" width="32" customWidth="1"/>
  </cols>
  <sheetData>
    <row r="1" ht="34" customHeight="1" spans="1:10">
      <c r="A1" s="1" t="s">
        <v>174</v>
      </c>
      <c r="B1" s="1" t="s">
        <v>15</v>
      </c>
      <c r="C1" s="1" t="s">
        <v>18</v>
      </c>
      <c r="D1" s="1" t="s">
        <v>21</v>
      </c>
      <c r="E1" s="1" t="s">
        <v>175</v>
      </c>
      <c r="F1" s="1" t="s">
        <v>33</v>
      </c>
      <c r="G1" s="1" t="s">
        <v>34</v>
      </c>
      <c r="H1" s="1" t="s">
        <v>35</v>
      </c>
      <c r="I1" s="1" t="s">
        <v>17</v>
      </c>
      <c r="J1" s="1" t="s">
        <v>23</v>
      </c>
    </row>
    <row r="2" ht="44" customHeight="1" spans="1:10">
      <c r="A2" s="5">
        <v>1</v>
      </c>
      <c r="B2" s="6" t="s">
        <v>39</v>
      </c>
      <c r="C2" s="2" t="str">
        <f>VLOOKUP($B2,舆情事实表!$A$2:$X$13,4,FALSE)</f>
        <v>微博</v>
      </c>
      <c r="D2" s="2" t="str">
        <f>VLOOKUP($B2,舆情事实表!$A$2:$X$13,7,FALSE)</f>
        <v>@示例用户A</v>
      </c>
      <c r="E2" s="4" t="str">
        <f>LEFT(VLOOKUP($B2,舆情事实表!$A$2:$X$13,8,FALSE),24)</f>
        <v>支持民族团结进步促进法，各民族要像石榴籽一样紧紧</v>
      </c>
      <c r="F2" s="7">
        <f>VLOOKUP($B2,舆情事实表!$A$2:$X$13,19,FALSE)</f>
        <v>328</v>
      </c>
      <c r="G2" s="7">
        <f>VLOOKUP($B2,舆情事实表!$A$2:$X$13,20,FALSE)</f>
        <v>56</v>
      </c>
      <c r="H2" s="7">
        <f>VLOOKUP($B2,舆情事实表!$A$2:$X$13,21,FALSE)</f>
        <v>12</v>
      </c>
      <c r="I2" s="3">
        <f>VLOOKUP($B2,舆情事实表!$A$2:$X$13,3,FALSE)</f>
        <v>46248.0743055556</v>
      </c>
      <c r="J2" s="4" t="str">
        <f>VLOOKUP($B2,舆情事实表!$A$2:$X$13,9,FALSE)</f>
        <v>https://weibo.com/example/0001</v>
      </c>
    </row>
    <row r="3" ht="44" customHeight="1" spans="1:10">
      <c r="A3" s="5">
        <v>2</v>
      </c>
      <c r="B3" s="6" t="s">
        <v>124</v>
      </c>
      <c r="C3" s="2" t="str">
        <f>VLOOKUP($B3,舆情事实表!$A$2:$X$13,4,FALSE)</f>
        <v>抖音</v>
      </c>
      <c r="D3" s="2" t="str">
        <f>VLOOKUP($B3,舆情事实表!$A$2:$X$13,7,FALSE)</f>
        <v>示例用户I</v>
      </c>
      <c r="E3" s="4" t="str">
        <f>LEFT(VLOOKUP($B3,舆情事实表!$A$2:$X$13,8,FALSE),24)</f>
        <v>我们厂里招聘现在没那么多条条框框了，支持。</v>
      </c>
      <c r="F3" s="7">
        <f>VLOOKUP($B3,舆情事实表!$A$2:$X$13,19,FALSE)</f>
        <v>152</v>
      </c>
      <c r="G3" s="7">
        <f>VLOOKUP($B3,舆情事实表!$A$2:$X$13,20,FALSE)</f>
        <v>20</v>
      </c>
      <c r="H3" s="7">
        <f>VLOOKUP($B3,舆情事实表!$A$2:$X$13,21,FALSE)</f>
        <v>3</v>
      </c>
      <c r="I3" s="3">
        <f>VLOOKUP($B3,舆情事实表!$A$2:$X$13,3,FALSE)</f>
        <v>46248.0888888889</v>
      </c>
      <c r="J3" s="4" t="str">
        <f>VLOOKUP($B3,舆情事实表!$A$2:$X$13,9,FALSE)</f>
        <v>https://douyin.com/example/0009</v>
      </c>
    </row>
    <row r="4" ht="44" customHeight="1" spans="1:10">
      <c r="A4" s="5">
        <v>3</v>
      </c>
      <c r="B4" s="6" t="s">
        <v>94</v>
      </c>
      <c r="C4" s="2" t="str">
        <f>VLOOKUP($B4,舆情事实表!$A$2:$X$13,4,FALSE)</f>
        <v>快手</v>
      </c>
      <c r="D4" s="2" t="str">
        <f>VLOOKUP($B4,舆情事实表!$A$2:$X$13,7,FALSE)</f>
        <v>示例用户F</v>
      </c>
      <c r="E4" s="4" t="str">
        <f>LEFT(VLOOKUP($B4,舆情事实表!$A$2:$X$13,8,FALSE),24)</f>
        <v>反映某公司招聘写明“汉族优先”，已截图，请核实处</v>
      </c>
      <c r="F4" s="7">
        <f>VLOOKUP($B4,舆情事实表!$A$2:$X$13,19,FALSE)</f>
        <v>89</v>
      </c>
      <c r="G4" s="7">
        <f>VLOOKUP($B4,舆情事实表!$A$2:$X$13,20,FALSE)</f>
        <v>33</v>
      </c>
      <c r="H4" s="7">
        <f>VLOOKUP($B4,舆情事实表!$A$2:$X$13,21,FALSE)</f>
        <v>5</v>
      </c>
      <c r="I4" s="3">
        <f>VLOOKUP($B4,舆情事实表!$A$2:$X$13,3,FALSE)</f>
        <v>46248.05</v>
      </c>
      <c r="J4" s="4" t="str">
        <f>VLOOKUP($B4,舆情事实表!$A$2:$X$13,9,FALSE)</f>
        <v>https://kuaishou.com/example/0006</v>
      </c>
    </row>
    <row r="5" ht="44" customHeight="1" spans="1:10">
      <c r="A5" s="5">
        <v>4</v>
      </c>
      <c r="B5" s="6" t="s">
        <v>66</v>
      </c>
      <c r="C5" s="2" t="str">
        <f>VLOOKUP($B5,舆情事实表!$A$2:$X$13,4,FALSE)</f>
        <v>快手</v>
      </c>
      <c r="D5" s="2" t="str">
        <f>VLOOKUP($B5,舆情事实表!$A$2:$X$13,7,FALSE)</f>
        <v>示例账号C</v>
      </c>
      <c r="E5" s="4" t="str">
        <f>LEFT(VLOOKUP($B5,舆情事实表!$A$2:$X$13,8,FALSE),24)</f>
        <v>（彝语）支持促进法，希望家乡越来越团结。</v>
      </c>
      <c r="F5" s="7">
        <f>VLOOKUP($B5,舆情事实表!$A$2:$X$13,19,FALSE)</f>
        <v>66</v>
      </c>
      <c r="G5" s="7">
        <f>VLOOKUP($B5,舆情事实表!$A$2:$X$13,20,FALSE)</f>
        <v>8</v>
      </c>
      <c r="H5" s="7">
        <f>VLOOKUP($B5,舆情事实表!$A$2:$X$13,21,FALSE)</f>
        <v>2</v>
      </c>
      <c r="I5" s="3">
        <f>VLOOKUP($B5,舆情事实表!$A$2:$X$13,3,FALSE)</f>
        <v>46248.0625</v>
      </c>
      <c r="J5" s="4" t="str">
        <f>VLOOKUP($B5,舆情事实表!$A$2:$X$13,9,FALSE)</f>
        <v>https://kuaishou.com/example/0003</v>
      </c>
    </row>
    <row r="6" ht="44" customHeight="1" spans="1:10">
      <c r="A6" s="5">
        <v>5</v>
      </c>
      <c r="B6" s="6" t="s">
        <v>143</v>
      </c>
      <c r="C6" s="2" t="str">
        <f>VLOOKUP($B6,舆情事实表!$A$2:$X$13,4,FALSE)</f>
        <v>快手</v>
      </c>
      <c r="D6" s="2" t="str">
        <f>VLOOKUP($B6,舆情事实表!$A$2:$X$13,7,FALSE)</f>
        <v>示例账号L</v>
      </c>
      <c r="E6" s="4" t="str">
        <f>LEFT(VLOOKUP($B6,舆情事实表!$A$2:$X$13,8,FALSE),24)</f>
        <v>反对就业歧视，支持促进法！</v>
      </c>
      <c r="F6" s="7">
        <f>VLOOKUP($B6,舆情事实表!$A$2:$X$13,19,FALSE)</f>
        <v>45</v>
      </c>
      <c r="G6" s="7">
        <f>VLOOKUP($B6,舆情事实表!$A$2:$X$13,20,FALSE)</f>
        <v>6</v>
      </c>
      <c r="H6" s="7">
        <f>VLOOKUP($B6,舆情事实表!$A$2:$X$13,21,FALSE)</f>
        <v>2</v>
      </c>
      <c r="I6" s="3">
        <f>VLOOKUP($B6,舆情事实表!$A$2:$X$13,3,FALSE)</f>
        <v>46248.0972222222</v>
      </c>
      <c r="J6" s="4" t="str">
        <f>VLOOKUP($B6,舆情事实表!$A$2:$X$13,9,FALSE)</f>
        <v>https://kuaishou.com/example/0012</v>
      </c>
    </row>
  </sheetData>
  <conditionalFormatting sqref="A2:J6">
    <cfRule type="expression" dxfId="0" priority="1">
      <formula>MOD(ROW(),2)=0</formula>
    </cfRule>
  </conditionalFormatting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showGridLines="0" workbookViewId="0">
      <selection activeCell="A1" sqref="A1"/>
    </sheetView>
  </sheetViews>
  <sheetFormatPr defaultColWidth="9" defaultRowHeight="16.8" outlineLevelRow="2"/>
  <cols>
    <col min="1" max="1" width="14" customWidth="1"/>
    <col min="2" max="2" width="18" customWidth="1"/>
    <col min="3" max="3" width="11" customWidth="1"/>
    <col min="4" max="4" width="14" customWidth="1"/>
    <col min="5" max="5" width="48" customWidth="1"/>
    <col min="6" max="8" width="10" customWidth="1"/>
    <col min="9" max="9" width="11" customWidth="1"/>
    <col min="10" max="10" width="12" customWidth="1"/>
    <col min="11" max="11" width="40" customWidth="1"/>
  </cols>
  <sheetData>
    <row r="1" ht="34" customHeight="1" spans="1:11">
      <c r="A1" s="1" t="s">
        <v>15</v>
      </c>
      <c r="B1" s="1" t="s">
        <v>16</v>
      </c>
      <c r="C1" s="1" t="s">
        <v>18</v>
      </c>
      <c r="D1" s="1" t="s">
        <v>21</v>
      </c>
      <c r="E1" s="1" t="s">
        <v>22</v>
      </c>
      <c r="F1" s="1" t="s">
        <v>24</v>
      </c>
      <c r="G1" s="1" t="s">
        <v>26</v>
      </c>
      <c r="H1" s="1" t="s">
        <v>29</v>
      </c>
      <c r="I1" s="1" t="s">
        <v>31</v>
      </c>
      <c r="J1" s="1" t="s">
        <v>176</v>
      </c>
      <c r="K1" s="1" t="s">
        <v>177</v>
      </c>
    </row>
    <row r="2" ht="50" customHeight="1" spans="1:11">
      <c r="A2" s="2" t="s">
        <v>178</v>
      </c>
      <c r="B2" s="3">
        <v>46248.1388888889</v>
      </c>
      <c r="C2" s="2" t="s">
        <v>56</v>
      </c>
      <c r="D2" s="2" t="s">
        <v>179</v>
      </c>
      <c r="E2" s="4" t="s">
        <v>180</v>
      </c>
      <c r="F2" s="2" t="s">
        <v>62</v>
      </c>
      <c r="G2" s="2" t="s">
        <v>181</v>
      </c>
      <c r="H2" s="2" t="s">
        <v>181</v>
      </c>
      <c r="I2" s="2" t="s">
        <v>64</v>
      </c>
      <c r="J2" s="2" t="s">
        <v>182</v>
      </c>
      <c r="K2" s="4" t="s">
        <v>183</v>
      </c>
    </row>
    <row r="3" ht="50" customHeight="1" spans="1:11">
      <c r="A3" s="2" t="s">
        <v>184</v>
      </c>
      <c r="B3" s="3">
        <v>46248.1493055556</v>
      </c>
      <c r="C3" s="2" t="s">
        <v>40</v>
      </c>
      <c r="D3" s="2" t="s">
        <v>185</v>
      </c>
      <c r="E3" s="4" t="s">
        <v>186</v>
      </c>
      <c r="F3" s="2" t="s">
        <v>181</v>
      </c>
      <c r="G3" s="2" t="s">
        <v>181</v>
      </c>
      <c r="H3" s="2" t="s">
        <v>49</v>
      </c>
      <c r="I3" s="2" t="s">
        <v>187</v>
      </c>
      <c r="J3" s="2" t="s">
        <v>182</v>
      </c>
      <c r="K3" s="4" t="s">
        <v>188</v>
      </c>
    </row>
  </sheetData>
  <conditionalFormatting sqref="J2:J10">
    <cfRule type="containsText" dxfId="1" priority="1" operator="between" text="待复核">
      <formula>NOT(ISERROR(SEARCH("待复核",J2)))</formula>
    </cfRule>
    <cfRule type="containsText" dxfId="2" priority="3" operator="between" text="待复核">
      <formula>NOT(ISERROR(SEARCH("待复核",J2)))</formula>
    </cfRule>
  </conditionalFormatting>
  <conditionalFormatting sqref="A2:K3">
    <cfRule type="expression" dxfId="0" priority="2">
      <formula>MOD(ROW(),2)=0</formula>
    </cfRule>
  </conditionalFormatting>
  <dataValidations count="1">
    <dataValidation type="list" sqref="J2:J10">
      <formula1>"待复核,已入库,已排除"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说明</vt:lpstr>
      <vt:lpstr>舆情事实表</vt:lpstr>
      <vt:lpstr>平台维度表</vt:lpstr>
      <vt:lpstr>地区维度表</vt:lpstr>
      <vt:lpstr>省级维度表</vt:lpstr>
      <vt:lpstr>语言维度表</vt:lpstr>
      <vt:lpstr>非支持态度表</vt:lpstr>
      <vt:lpstr>监测来源与查看信息</vt:lpstr>
      <vt:lpstr>高热内容表</vt:lpstr>
      <vt:lpstr>待清洗区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ヽ路过锦年的安凉</cp:lastModifiedBy>
  <dcterms:created xsi:type="dcterms:W3CDTF">2026-08-14T18:37:16Z</dcterms:created>
  <dcterms:modified xsi:type="dcterms:W3CDTF">2026-08-14T18:37:54Z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FA85B364997BBE8602F07E6AA83CC59A_43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