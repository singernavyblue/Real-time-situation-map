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Documents\xwechat_files\wxid_vnv3i3f7vgj022_9e98\msg\file\2026-08\"/>
    </mc:Choice>
  </mc:AlternateContent>
  <bookViews>
    <workbookView windowWidth="25600" windowHeight="12080"/>
  </bookViews>
  <sheets>
    <sheet name="说明与结论" sheetId="1" r:id="rId1"/>
    <sheet name="有效舆情明细" sheetId="2" r:id="rId2"/>
    <sheet name="公众意见汇总" sheetId="3" r:id="rId3"/>
    <sheet name="官方实施信息" sheetId="4" r:id="rId4"/>
    <sheet name="排除记录" sheetId="5" r:id="rId5"/>
    <sheet name="人工补查入口" sheetId="6" r:id="rId6"/>
    <sheet name="检索日志" sheetId="7" r:id="rId7"/>
    <sheet name="扁平化数据" sheetId="8" r:id="rId8"/>
    <sheet name="议题标签" sheetId="9" r:id="rId9"/>
    <sheet name="核验依据" sheetId="10" r:id="rId10"/>
    <sheet name="检测来源与查看信息" sheetId="11" r:id="rId11"/>
    <sheet name="有效相关信息数" sheetId="12" r:id="rId12"/>
    <sheet name="非支持态度复核" sheetId="13" r:id="rId13"/>
    <sheet name="少数民族语言复核" sheetId="14"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<sst xmlns="http://schemas.openxmlformats.org/spreadsheetml/2006/main" count="1398" uniqueCount="488">
  <si>
    <t>新疆《民族团结进步促进法》历史舆情回溯（一次性）</t>
  </si>
  <si>
    <t>研究窗口</t>
  </si>
  <si>
    <t>2026-07-01 00:00—2026-08-05 23:59（北京时间）</t>
  </si>
  <si>
    <t>最终复核完成</t>
  </si>
  <si>
    <t>2026-08-07（对固定历史窗口进行补充核验，不扩大监测截止时间）</t>
  </si>
  <si>
    <t>有效明细条目</t>
  </si>
  <si>
    <t>有效公众意见</t>
  </si>
  <si>
    <t>官方实施信息</t>
  </si>
  <si>
    <t>维吾尔文有效条目</t>
  </si>
  <si>
    <t>公开投诉/维权</t>
  </si>
  <si>
    <t>公开政府答复/辟谣</t>
  </si>
  <si>
    <t>补充</t>
  </si>
  <si>
    <t>核心结论</t>
  </si>
  <si>
    <t>1）固定监测窗口内共保留5条全国性平台直接相关线索：知乎2条、B站3条。另整理官方实施信息14条。
2）按严格公众意见证据口径，知乎2条虽与本法直接相关，但现有工作簿未保存作者性质或公众评论原话，因此不计入公众意见；B站3条以UP主视频标题/主题作为公开原始表达计入公众意见。
3）最终公众意见3条：支持认可1条，中性信息2条；未检出可确认的咨询、担忧、明确批评、投诉维权、实施问题或公平争议。未检出不等于现实中不存在。
4）原始候选记录33条中，大量知乎/百度知道记录因发布日期早于2026年7月1日被排除；官方普法号内容不作为公众意见。最终样本很小，且3条公众意见均来自全国性B站平台，不能用于推断新疆地区公众总体态度。
5）5条有效相关线索的原始语言均为普通话；未核验到满足时间、关联和原始链接要求的少数民族语言公众意见。</t>
  </si>
  <si>
    <t>重要边界说明</t>
  </si>
  <si>
    <t>本报告为一次性历史回溯，统计窗口固定为2026年7月1日00:00至8月5日23:59（北京时间）。8月7日仅用于复核和修正既有记录，不纳入8月6日以后新增内容。互动量无法核实时留空；未保存原始公众表达的记录不进入公众意见统计。</t>
  </si>
  <si>
    <t>列1</t>
  </si>
  <si>
    <t>发布日期</t>
  </si>
  <si>
    <t>采集来源</t>
  </si>
  <si>
    <t>平台或网站</t>
  </si>
  <si>
    <t>账号或栏目名称</t>
  </si>
  <si>
    <t>来源类型</t>
  </si>
  <si>
    <t>涉及地区</t>
  </si>
  <si>
    <t>行政层级</t>
  </si>
  <si>
    <t>原始语言</t>
  </si>
  <si>
    <t>中文翻译</t>
  </si>
  <si>
    <t>标题或话题</t>
  </si>
  <si>
    <t>原文证据摘录</t>
  </si>
  <si>
    <t>客观摘要</t>
  </si>
  <si>
    <t>原始链接</t>
  </si>
  <si>
    <t>关联度</t>
  </si>
  <si>
    <t>意见类型</t>
  </si>
  <si>
    <t>具体议题</t>
  </si>
  <si>
    <t>点赞量</t>
  </si>
  <si>
    <t>评论量</t>
  </si>
  <si>
    <t>转发量</t>
  </si>
  <si>
    <t>是否重复</t>
  </si>
  <si>
    <t>是否待核实</t>
  </si>
  <si>
    <t>人工复核说明</t>
  </si>
  <si>
    <t>其他转载平台</t>
  </si>
  <si>
    <t>是否计入公众统计</t>
  </si>
  <si>
    <t>网络检索</t>
  </si>
  <si>
    <t>知乎</t>
  </si>
  <si>
    <t>知乎问答/专栏</t>
  </si>
  <si>
    <t>媒体评论/平台转载</t>
  </si>
  <si>
    <t>全国</t>
  </si>
  <si>
    <t>普通话</t>
  </si>
  <si>
    <t>无</t>
  </si>
  <si>
    <t>民族团结进步促进法的实施，让石榴花开更艳 青春同心绽放 ｜《中国妇女》评论</t>
  </si>
  <si>
    <t>文章标题明确涉及《民族团结进步促进法》的实施，但现有工作簿未保存知乎用户评论原话。</t>
  </si>
  <si>
    <t>与本法实施直接相关；但标题显示为《中国妇女》评论，现有证据不足以把它作为网民原创公众意见。</t>
  </si>
  <si>
    <t>https://zhuanlan.zhihu.com/p/2067608355355505291</t>
  </si>
  <si>
    <t>A类</t>
  </si>
  <si>
    <t>中性信息</t>
  </si>
  <si>
    <t>法律条款解读与争议讨论</t>
  </si>
  <si>
    <t>-</t>
  </si>
  <si>
    <t>否</t>
  </si>
  <si>
    <t>最终复核：保留为本法相关媒体评论线索；因未保存公众原话，且来源性质偏媒体评论，不计入公众意见统计。</t>
  </si>
  <si>
    <t>自媒体/专栏（作者性质未记录）</t>
  </si>
  <si>
    <t>一部中国法律落地！美欧反应激烈，境外黑手知道大事不妙了？</t>
  </si>
  <si>
    <t>文章标题为“一部中国法律落地！美欧反应激烈，境外黑手知道大事不妙了？”，但现有工作簿未保存作者身份或评论区公众原话。</t>
  </si>
  <si>
    <t>与本法实施及国际舆论直接相关；现有证据能证明话题相关，但不足以稳定确认其为可计数的个人原创公众意见。</t>
  </si>
  <si>
    <t>https://zhuanlan.zhihu.com/p/2056903490518230049</t>
  </si>
  <si>
    <t>最终复核：按严格证据口径暂不计入公众意见；保留为本法相关自媒体/专栏线索，不再要求学生补查。</t>
  </si>
  <si>
    <t>哔哩哔哩</t>
  </si>
  <si>
    <t>哔哩哔哩视频/评论</t>
  </si>
  <si>
    <t>公众意见/视频</t>
  </si>
  <si>
    <t>【Fy光夜】反对“皇汉”极端民族主义者曲解《民族团结进步促进法》，筑牢中华民族共同体意识</t>
  </si>
  <si>
    <t>UP主视频标题明确写出“反对‘皇汉’极端民族主义者曲解《民族团结进步促进法》，筑牢中华民族共同体意识”。</t>
  </si>
  <si>
    <t>UP主公开表达反对曲解本法并支持共同体意识建设，属于明确正向立场。</t>
  </si>
  <si>
    <t>https://www.bilibili.com/video/BV15PuP6bEeM/</t>
  </si>
  <si>
    <t>支持认可</t>
  </si>
  <si>
    <t>法律宣贯与施行解读</t>
  </si>
  <si>
    <t>最终复核：以UP主视频标题作为原始公开观点证据；不把未摘录的弹幕/评论纳入判断。</t>
  </si>
  <si>
    <t>是</t>
  </si>
  <si>
    <t>一起看民族团结进步促进法</t>
  </si>
  <si>
    <t>UP主视频标题为“一起看民族团结进步促进法”。</t>
  </si>
  <si>
    <t>视频主题直接介绍本法，但标题本身未表达明确支持或反对，按中性信息处理。</t>
  </si>
  <si>
    <t>https://www.bilibili.com/video/BV1oiKm6yEq2/</t>
  </si>
  <si>
    <t>最终复核：相关性明确，但没有直接支持性措辞，改为中性信息。</t>
  </si>
  <si>
    <t>哔哩哔哩视频/热评</t>
  </si>
  <si>
    <t>民族团结法7月1日正式实施，对外国人有效</t>
  </si>
  <si>
    <t>UP主视频标题为“民族团结法7月1日正式实施，对外国人有效”。</t>
  </si>
  <si>
    <t>视频围绕施行时间和适用范围进行个人解读，标题未表达明确支持或反对，按中性信息处理。</t>
  </si>
  <si>
    <t>https://www.bilibili.com/video/BV1137P6AEbg/</t>
  </si>
  <si>
    <t>法律解读与宣贯</t>
  </si>
  <si>
    <t>最终复核：属于法律适用范围解读，没有直接支持性措辞，改为中性信息。</t>
  </si>
  <si>
    <t>公众意见汇总（不含官方会议和媒体稿）</t>
  </si>
  <si>
    <t>统计项</t>
  </si>
  <si>
    <t>数量</t>
  </si>
  <si>
    <t>有效公众意见总数</t>
  </si>
  <si>
    <t>支持认可数量</t>
  </si>
  <si>
    <t>咨询疑问数量</t>
  </si>
  <si>
    <t>担忧影响数量</t>
  </si>
  <si>
    <t>明确批评数量</t>
  </si>
  <si>
    <t>投诉维权数量</t>
  </si>
  <si>
    <t>实施问题数量</t>
  </si>
  <si>
    <t>公平争议数量</t>
  </si>
  <si>
    <t>中性信息数量</t>
  </si>
  <si>
    <t>样本说明</t>
  </si>
  <si>
    <t>严格按Y列=“是”统计。两条知乎保留为本法相关线索但不计公众意见；三条B站以UP主视频标题/主题作为原始公开表达，不使用未摘录评论作证据。</t>
  </si>
  <si>
    <t>主要争议或关注问题（按有效明细关键词出现次数）</t>
  </si>
  <si>
    <t>问题</t>
  </si>
  <si>
    <t>出现次数</t>
  </si>
  <si>
    <t>代表来源</t>
  </si>
  <si>
    <t>说明</t>
  </si>
  <si>
    <t>明确支持本法/反对曲解</t>
  </si>
  <si>
    <t>UP主标题明确表达支持性立场</t>
  </si>
  <si>
    <t>法律介绍与适用范围解读</t>
  </si>
  <si>
    <t>相关性明确，但未出现直接支持或反对措辞，归为中性信息</t>
  </si>
  <si>
    <t>限制：未检出的意见类别不能解释为现实中不存在；公开平台访问限制会系统性压低评论、弹幕、投诉和负面意见的可见度。</t>
  </si>
  <si>
    <t>地区</t>
  </si>
  <si>
    <t>发布部门</t>
  </si>
  <si>
    <t>文件或活动名称</t>
  </si>
  <si>
    <t>主要实施内容</t>
  </si>
  <si>
    <t>是否包含意见征集、群众留言或公开答复</t>
  </si>
  <si>
    <t>新疆全区</t>
  </si>
  <si>
    <t>自治区党委/相关部门</t>
  </si>
  <si>
    <t>新时代新疆干部大讲堂专题辅导讲座</t>
  </si>
  <si>
    <t>自治区、地县及兵团设置会场，开展法律专题辅导。</t>
  </si>
  <si>
    <t>https://xjrb.ts.cn/xjrb/20260704/259878.html</t>
  </si>
  <si>
    <t>自治区党委、自治区人民政府、自治区民委</t>
  </si>
  <si>
    <t>自治区民委调研座谈</t>
  </si>
  <si>
    <t>部署法规政策衔接、宣传培训、依法保障权益和督促落实。</t>
  </si>
  <si>
    <t>https://xjrb.ts.cn/xjrb/20260717/260409.html</t>
  </si>
  <si>
    <t>自治区人民政府</t>
  </si>
  <si>
    <t>政府常务会议法治专题讲座</t>
  </si>
  <si>
    <t>要求全员学习并推动法律进乡村、社区、学校、企业、社会组织和宗教活动场所。</t>
  </si>
  <si>
    <t>https://xjrb.ts.cn/xjrb/20260724/260693.html</t>
  </si>
  <si>
    <t>喀什地区</t>
  </si>
  <si>
    <t>自治区民族事务委员会</t>
  </si>
  <si>
    <t>银发团赴喀什调研宣讲</t>
  </si>
  <si>
    <t>调研基层实施问题，在英吉沙县面向200余名村民宣讲。</t>
  </si>
  <si>
    <t>https://mwzjswj.xinjiang.gov.cn/xjmzw/zwdt/202607/51a08a4323e547a78e87fb1cc6f9a3e8.shtml</t>
  </si>
  <si>
    <t>含基层座谈和答疑描述；未公开逐条留言/答复</t>
  </si>
  <si>
    <t>伊犁州霍城县</t>
  </si>
  <si>
    <t>霍城县司法局</t>
  </si>
  <si>
    <t>民族团结进步促进法知识竞赛</t>
  </si>
  <si>
    <t>企业、返乡大学生和村民代表参加竞赛与互动。</t>
  </si>
  <si>
    <t>https://sft.xinjiang.gov.cn/xjsft/gzyw/202607/74f473e1a60f4f31a3a409c8814c31ce.shtml</t>
  </si>
  <si>
    <t>巴州和硕县</t>
  </si>
  <si>
    <t>和硕县司法局</t>
  </si>
  <si>
    <t>乡村常态化普法</t>
  </si>
  <si>
    <t>结合案例讲解该法及乡村振兴、妇女权益等法律。</t>
  </si>
  <si>
    <t>自治区人大常委会</t>
  </si>
  <si>
    <t>学习贯彻实施座谈会</t>
  </si>
  <si>
    <t>提出制定地方性法规、衔接配套和监督实施。</t>
  </si>
  <si>
    <t>https://xjrb.ts.cn/xjrb/20260731/261020.html</t>
  </si>
  <si>
    <t>昌吉州</t>
  </si>
  <si>
    <t>昌吉州党委统战部</t>
  </si>
  <si>
    <t>以法为基聚合力 以宣润心促团结</t>
  </si>
  <si>
    <t>纳入干部学习，组织24场基层巡回宣讲，覆盖3000余人次。</t>
  </si>
  <si>
    <t>https://www.xjtzb.gov.cn/static/content/tzdt/2026-07-06/1524830701252517888.html</t>
  </si>
  <si>
    <t>伊犁州</t>
  </si>
  <si>
    <t>伊犁州政府网/伊犁零距离</t>
  </si>
  <si>
    <t>一图读懂法律</t>
  </si>
  <si>
    <t>政府网站发布长图解读。</t>
  </si>
  <si>
    <t>https://www.xjyl.gov.cn/xjylz/c112850/202607/2115c367ca904641ba8778338e612b77.shtml</t>
  </si>
  <si>
    <t>伊犁州人大常委会</t>
  </si>
  <si>
    <t>专题宣讲会</t>
  </si>
  <si>
    <t>面向人大系统开展法律宣讲。</t>
  </si>
  <si>
    <t>https://www.ylxw.com.cn/shizhengxinwen/2026-07-29/1330092.html</t>
  </si>
  <si>
    <t>含笼统参会反馈；非公开留言</t>
  </si>
  <si>
    <t>巴州</t>
  </si>
  <si>
    <t>巴州党委常委会</t>
  </si>
  <si>
    <t>学习宣传贯彻部署</t>
  </si>
  <si>
    <t>将该法学习宣传贯彻纳入自治州工作部署。</t>
  </si>
  <si>
    <t>https://www.xjbz.gov.cn/xjbz/jrbz/202607/6be59ac3612b4c4eba3db9f02375a6b1.shtml</t>
  </si>
  <si>
    <t>克州</t>
  </si>
  <si>
    <t>克州人民政府</t>
  </si>
  <si>
    <t>政府常务会议</t>
  </si>
  <si>
    <t>提出抓好法律贯彻实施，正文未展开具体配套措施。</t>
  </si>
  <si>
    <t>https://www.xjkz.gov.cn/xjkz/c101706/202607/c954268617744c23a93fd42562250ec7.shtml</t>
  </si>
  <si>
    <t>博州</t>
  </si>
  <si>
    <t>博州相关部门/博尔塔拉融媒体中心</t>
  </si>
  <si>
    <t>第二十一期铸牢大讲堂</t>
  </si>
  <si>
    <t>近700人参加，讲解条文和实施重点问题。</t>
  </si>
  <si>
    <t>https://www.xj.chinanews.com.cn/dizhou/2026-08-03/detail-ihfhytzk9162491.shtml</t>
  </si>
  <si>
    <t>含两名具名学员引语；非公开留言/答复</t>
  </si>
  <si>
    <t>巴里坤哈萨克自治县</t>
  </si>
  <si>
    <t>重庆市相关部门、新疆相关单位</t>
  </si>
  <si>
    <t>渝疆各族青少年交流活动</t>
  </si>
  <si>
    <t>7月2日在巴里坤启动，以青少年交流作为落实该法的实践。</t>
  </si>
  <si>
    <t>https://www.neac.gov.cn/seac/xwzx/202607/1192655.shtml</t>
  </si>
  <si>
    <t>含参与青少年集体表态；非公开留言</t>
  </si>
  <si>
    <t>序号</t>
  </si>
  <si>
    <t>发布日期/状态</t>
  </si>
  <si>
    <t>标题或线索</t>
  </si>
  <si>
    <t>排除原因</t>
  </si>
  <si>
    <t>2026-03-10 </t>
  </si>
  <si>
    <t>最高人民法院工作报告（全文）</t>
  </si>
  <si>
    <t>https://zhuanlan.zhihu.com/p/2014641321655181357</t>
  </si>
  <si>
    <t>日期不符</t>
  </si>
  <si>
    <t xml:space="preserve"> 2026-03-08</t>
  </si>
  <si>
    <t>应勇在安徽代表团审议三部法律案</t>
  </si>
  <si>
    <t>https://zhuanlan.zhihu.com/p/2014036129788229072</t>
  </si>
  <si>
    <t>十四届全国人大四次会议在京开幕 习近平等在主席台就座</t>
  </si>
  <si>
    <t>https://zhuanlan.zhihu.com/p/2013166950256247966</t>
  </si>
  <si>
    <r>
      <rPr>
        <sz val="11"/>
        <color rgb="FF173042"/>
        <rFont val="宋体"/>
        <charset val="134"/>
      </rPr>
      <t>每经</t>
    </r>
    <r>
      <rPr>
        <sz val="11"/>
        <color rgb="FF173042"/>
        <rFont val="Times New Roman"/>
        <charset val="134"/>
      </rPr>
      <t>17</t>
    </r>
    <r>
      <rPr>
        <sz val="11"/>
        <color rgb="FF173042"/>
        <rFont val="宋体"/>
        <charset val="134"/>
      </rPr>
      <t>点丨外交部回应厄齐尔涉疆言论：欢迎他到新疆走一走看一看；全国人大常委会将审议证券法修订草案；海关总署：支持澳门产业多元发展、融入国家发展大局</t>
    </r>
  </si>
  <si>
    <t>https://zhuanlan.zhihu.com/p/97664807</t>
  </si>
  <si>
    <t> 2021-02-04</t>
  </si>
  <si>
    <t>关于涉疆问题的谎言与事实真相</t>
  </si>
  <si>
    <t>https://zhuanlan.zhihu.com/p/349350547</t>
  </si>
  <si>
    <t>如何看待「男子因观看下载涉暴恐音视频被拘留 15 天」？</t>
  </si>
  <si>
    <t>https://www.zhihu.com/question/44480542/answer/1902305650454803960</t>
  </si>
  <si>
    <t>【新闻评论】立足司法本职 推进民族团结</t>
  </si>
  <si>
    <t>https://zhuanlan.zhihu.com/p/89143255</t>
  </si>
  <si>
    <t>2022-03-05 </t>
  </si>
  <si>
    <t>专家、委员解读政协报告：凝聚共识、团结一心共筑民族复兴梦</t>
  </si>
  <si>
    <t>https://zhuanlan.zhihu.com/p/476442544</t>
  </si>
  <si>
    <t>人民日报任仲平文章：徙木立信焕发新活力 干净干事创造新伟业——写在全党深入贯彻中央八项规定精神学习教育开展之际</t>
  </si>
  <si>
    <t>https://zhuanlan.zhihu.com/p/1888541144339689525</t>
  </si>
  <si>
    <t>中华人民共和国宪法（全文）</t>
  </si>
  <si>
    <t>https://zhuanlan.zhihu.com/p/89155367</t>
  </si>
  <si>
    <t> 2023-12-20 </t>
  </si>
  <si>
    <t>重磅文章｜俞建华：深入践行习近平法治思想 全面提升海关法治建设水平</t>
  </si>
  <si>
    <t>https://zhuanlan.zhihu.com/p/673193500</t>
  </si>
  <si>
    <t>中央政法工作会议召开！今年政法工作重点抓这7件大事</t>
  </si>
  <si>
    <t>https://zhuanlan.zhihu.com/p/343200034</t>
  </si>
  <si>
    <t> 2026-03-02</t>
  </si>
  <si>
    <t>政治建军专刊淬火要论丨律令如山壮军威</t>
  </si>
  <si>
    <t>https://zhuanlan.zhihu.com/p/2011830379749852009</t>
  </si>
  <si>
    <t> 2020-07-02</t>
  </si>
  <si>
    <t>外交部澄清37个涉华人权谬论</t>
  </si>
  <si>
    <t>https://zhuanlan.zhihu.com/p/153246184</t>
  </si>
  <si>
    <t> 2021-07-14</t>
  </si>
  <si>
    <t>国新办发表《新疆各民族平等权利的保障》白皮书（全文）</t>
  </si>
  <si>
    <t>https://zhuanlan.zhihu.com/p/389551616</t>
  </si>
  <si>
    <t>2025-11-13 </t>
  </si>
  <si>
    <t>检察机关依法履职推动社会主义核心价值观融入法治建设典型案例</t>
  </si>
  <si>
    <t>https://zhuanlan.zhihu.com/p/1972289736396771764</t>
  </si>
  <si>
    <t>如何更好的应对网络暴力？</t>
  </si>
  <si>
    <t>https://www.zhihu.com/question/547754166/answer/3211882622</t>
  </si>
  <si>
    <t> 2021-03-24 </t>
  </si>
  <si>
    <t>碰瓷新疆棉花？H&amp;M已“查无此店”</t>
  </si>
  <si>
    <t>https://zhuanlan.zhihu.com/p/360249528</t>
  </si>
  <si>
    <t>信息量巨大！不愧是王毅的记者会！</t>
  </si>
  <si>
    <t>https://zhuanlan.zhihu.com/p/143231191</t>
  </si>
  <si>
    <t>2025-04-07 </t>
  </si>
  <si>
    <t>尹锡悦狼狈出局，却留下“内战遗产”</t>
  </si>
  <si>
    <t>https://zhuanlan.zhihu.com/p/1892528630237746998</t>
  </si>
  <si>
    <t>2022-03-14 </t>
  </si>
  <si>
    <t>《全国人民代表大会常务委员会工作报告》（全文）</t>
  </si>
  <si>
    <t>https://zhuanlan.zhihu.com/p/480757778</t>
  </si>
  <si>
    <t>百度知道</t>
  </si>
  <si>
    <t>中华人民共和国民族团结进步促进法是</t>
  </si>
  <si>
    <t>http://zhidao.baidu.com/question/2088507598171455388.html?fr=iks&amp;word=%E4%B8%AD%E5%8D%8E%E4%BA%BA%E6%B0%91%E5%85%B1%E5%92%8C%E5%9B%BD%E6%B0%91%E6%97%8F%E5%9B%A2%E7%BB%93%E8%BF%9B%E6%AD%A5%E4%BF%83%E8%BF%9B%E6%B3%95</t>
  </si>
  <si>
    <t>中华人民共和国民族团结进步促进法规定每年第几月的第四周</t>
  </si>
  <si>
    <t>http://zhidao.baidu.com/question/1832316221867225228.html?fr=iks&amp;word=%E4%B8%AD%E5%8D%8E%E4%BA%BA%E6%B0%91%E5%85%B1%E5%92%8C%E5%9B%BD%E6%B0%91%E6%97%8F%E5%9B%A2%E7%BB%93%E8%BF%9B%E6%AD%A5%E4%BF%83%E8%BF%9B%E6%B3%95</t>
  </si>
  <si>
    <t>新疆维吾尔自治区民族团结进步工作条例</t>
  </si>
  <si>
    <t>http://zhidao.baidu.com/question/1312035756536453259.html?fr=iks&amp;word=%E6%B0%91%E6%97%8F%E5%9B%A2%E7%BB%93%E8%BF%9B%E6%AD%A5%E4%BF%83%E8%BF%9B%E6%B3%95+%E6%96%B0%E7%96%86</t>
  </si>
  <si>
    <t>2026-05-20 </t>
  </si>
  <si>
    <t>现行中华人民共和国民族团结进步促进法共有条文数量是</t>
  </si>
  <si>
    <t>http://zhidao.baidu.com/question/277537741070035125.html?fr=iks&amp;word=%E6%B0%91%E6%97%8F%E5%9B%A2%E7%BB%93%E8%BF%9B%E6%AD%A5%E4%BF%83%E8%BF%9B%E6%B3%95+%E6%96%B0%E7%96%86</t>
  </si>
  <si>
    <t>应勇：全力履行好国家法律监督机关职责 为实现“十五五”良好开局提供有力司法保障</t>
  </si>
  <si>
    <t>https://zhuanlan.zhihu.com/p/2062936792987444027</t>
  </si>
  <si>
    <t>检察院官方号,文章下无评论</t>
  </si>
  <si>
    <t> 2021-05-06</t>
  </si>
  <si>
    <t>独家！少数民族人权保障，中西为何大不同？</t>
  </si>
  <si>
    <t>https://zhuanlan.zhihu.com/p/370109948</t>
  </si>
  <si>
    <t>《中华人民共和国民族团结进步促进法》解读促进交往交流交融 来源：海西州普法</t>
  </si>
  <si>
    <t>https://www.bilibili.com/video/BV1Do3D6xEap/</t>
  </si>
  <si>
    <r>
      <rPr>
        <sz val="11"/>
        <color rgb="FF173042"/>
        <rFont val="Carlito"/>
        <charset val="134"/>
      </rPr>
      <t>普法官号</t>
    </r>
    <r>
      <rPr>
        <sz val="11"/>
        <color rgb="FF173042"/>
        <rFont val="Noto Sans CJK SC"/>
        <charset val="134"/>
      </rPr>
      <t>,</t>
    </r>
    <r>
      <rPr>
        <sz val="11"/>
        <color rgb="FF173042"/>
        <rFont val="Carlito"/>
        <charset val="134"/>
      </rPr>
      <t>无有效弹幕和评论</t>
    </r>
  </si>
  <si>
    <t>B站普及宣贯视频【《中华人民共和国民族团结进步促进法》解读促进交往交流交融 来源：海西州普法】及下方网友弹幕留言</t>
  </si>
  <si>
    <t>公众统计排除</t>
  </si>
  <si>
    <t>与本法直接相关，但来源性质偏媒体评论，且未保存公众评论原话；保留为相关线索，不计公众意见。</t>
  </si>
  <si>
    <t>与本法直接相关，但工作簿未保存作者身份或评论区公众原话；按严格证据口径不计公众意见。</t>
  </si>
  <si>
    <t>平台或账号</t>
  </si>
  <si>
    <t>无法自动获取的原因</t>
  </si>
  <si>
    <t>建议人工搜索的关键词</t>
  </si>
  <si>
    <t>需要重点查看的位置</t>
  </si>
  <si>
    <t>微博 / s.weibo.com</t>
  </si>
  <si>
    <t>robots、登录和动态加载限制，无法系统读取原帖、评论和转发语。</t>
  </si>
  <si>
    <t>民族团结进步促进法 新疆；民族团结法+伊犁/昌吉/博州/巴州/克州；形式主义/一刀切/强制/投诉/辟谣</t>
  </si>
  <si>
    <t>原帖时间、评论区、转发语、账号认证、互动量</t>
  </si>
  <si>
    <t>抖音</t>
  </si>
  <si>
    <t>搜索页可被索引但视频正文、字幕和评论常需登录/客户端。</t>
  </si>
  <si>
    <t>法律全称或简称+新疆及各自治州县；7月1日民族新规；强制/负担/投诉</t>
  </si>
  <si>
    <t>视频口播、字幕、置顶评论、评论区、发布时间</t>
  </si>
  <si>
    <t>快手</t>
  </si>
  <si>
    <t>公开网页搜索收录有限，评论需客户端。</t>
  </si>
  <si>
    <t>民族团结法+新疆/地区名；怎么执行/担心/投诉</t>
  </si>
  <si>
    <t>视频字幕、评论、作者主页时间线</t>
  </si>
  <si>
    <t>小红书</t>
  </si>
  <si>
    <t>登录墙与反爬限制，未获得可核验区间内帖子。</t>
  </si>
  <si>
    <t>民族团结法 新疆；7月1日新法；学校/社区/语言文字</t>
  </si>
  <si>
    <t>笔记正文、评论、作者编辑时间、收藏/点赞</t>
  </si>
  <si>
    <t>搜索引擎收录两篇区间内文章，但页面抓取403。</t>
  </si>
  <si>
    <t>一部中国法律落地；这组100万+视频；法律全称+影响/如何认定</t>
  </si>
  <si>
    <t>文章作者、发布日期、回答区、评论区；核验是否转载</t>
  </si>
  <si>
    <t>公开索引主要为施行前内容，弹幕与评论无法完整抓取。</t>
  </si>
  <si>
    <t>法律全称/民族团结法+新疆；7月1日施行</t>
  </si>
  <si>
    <t>视频发布时间、字幕、弹幕、评论、简介链接</t>
  </si>
  <si>
    <t>百度贴吧</t>
  </si>
  <si>
    <t>未检出可核验区间内命中；吧内搜索与楼中楼需人工。</t>
  </si>
  <si>
    <t>民族团结法；新疆民族新法；强制/不公平/投诉</t>
  </si>
  <si>
    <t>主题帖、楼中楼、删帖提示、发帖时间</t>
  </si>
  <si>
    <t>今日头条</t>
  </si>
  <si>
    <t>动态页解析不稳定，部分文章仅有搜索索引。</t>
  </si>
  <si>
    <t>民族团结进步促进法+新疆大学/喀什/语言文字；形式主义/投诉</t>
  </si>
  <si>
    <t>账号主页、全文、评论、发布时间、转载来源</t>
  </si>
  <si>
    <t>微信公众号：新疆政府网、新疆发布、新疆日报、石榴云、伊犁政府网、伊犁零距离、博州政府网、昌吉日报、i昌吉、巴音郭楞日报、巴州文旅之声、克州零距离、克州政务服务、木垒零距离、察布查尔县零距离、察布查尔好地方</t>
  </si>
  <si>
    <t>公众号没有统一公开搜索页；部分文章跳转被限制，精选留言不可抓取。</t>
  </si>
  <si>
    <t>账号名+法律全称/简称；地区名+发布/融媒/日报/广播电视台+法律名</t>
  </si>
  <si>
    <t>文章列表、精选留言、阅读/点赞/在看、原始发布日期、是否首发</t>
  </si>
  <si>
    <t>微信视频号及上述账号的视频号</t>
  </si>
  <si>
    <t>客户端限制，视频字幕、评论和直播回放无法稳定访问。</t>
  </si>
  <si>
    <t>账号名+民族团结进步促进法；7月1日施行；基层落实</t>
  </si>
  <si>
    <t>视频字幕、评论、直播回放、转发附言</t>
  </si>
  <si>
    <t>Threads / Facebook / Instagram</t>
  </si>
  <si>
    <t>公开搜索可见若干批评和担忧片段，但精确时间、完整上下文和互动常需登录。</t>
  </si>
  <si>
    <t>民族团结法/民族团结进步促进法+新疆/锡伯/语言/学校/第63条</t>
  </si>
  <si>
    <t>原帖时间、完整正文、评论、转发链、账号真实性</t>
  </si>
  <si>
    <t>YouTube</t>
  </si>
  <si>
    <t>搜索见维吾尔文视频线索，但只显示相对时间，无法满足精确日期核验。</t>
  </si>
  <si>
    <t>ئاتالمىش يېڭى قانۇن；مىللەتلەر ئىتتىپاقلىقى قانۇنى</t>
  </si>
  <si>
    <t>上传日期、字幕、评论、频道归属、互动量</t>
  </si>
  <si>
    <t>新疆民委微信公众号文章：专家解读（2026-07-03）</t>
  </si>
  <si>
    <t>政府索引页可见标题和日期，原文跳转mp.weixin.qq.com无法自动打开。</t>
  </si>
  <si>
    <t>专家解读 迈向积极促进 中国民族立法 重大法治创新</t>
  </si>
  <si>
    <t>公众号原文、留言、是否转载、精确发布时间</t>
  </si>
  <si>
    <t>新疆社会科学院/新疆人权研究中心</t>
  </si>
  <si>
    <t>国家民委报道确认7月21日发布研究报告，但未定位稳定可打开的报告全文。</t>
  </si>
  <si>
    <t>报告全名；民族团结进步促进法 少数民族平等权利 中英文版</t>
  </si>
  <si>
    <t>官网全文、附件、发布日期、英文版</t>
  </si>
  <si>
    <t>塔什库尔干、木垒、察布查尔、和布克赛尔、焉耆、巴里坤政府站互动入口</t>
  </si>
  <si>
    <t>定向网页检索未发现可核验的独立投诉、答复或评论；站内互动多不被搜索引擎收录。</t>
  </si>
  <si>
    <t>地区名+法律全称/简称+意见/留言/答复/投诉/强制/负担</t>
  </si>
  <si>
    <t>政府信箱、回应关切、12345公开件、调查征集、政务新媒体评论</t>
  </si>
  <si>
    <t>哈萨克文、柯尔克孜文、传统蒙古文、塔吉克语、锡伯文入口</t>
  </si>
  <si>
    <t>使用指定辅助词未检出区间内可核验、且与该法明确相关的新疆原文页面；辅助词不等于官方译名。</t>
  </si>
  <si>
    <t>按任务所列各语种组合；发现当地官方标题后复制原词形反向检索</t>
  </si>
  <si>
    <t>民族语频道、双语标题、视频字幕、PDF附件；由相应语种人员复核</t>
  </si>
  <si>
    <t>网站/入口</t>
  </si>
  <si>
    <t>检查方式</t>
  </si>
  <si>
    <t>可访问情况</t>
  </si>
  <si>
    <t>有效发现</t>
  </si>
  <si>
    <t>备注</t>
  </si>
  <si>
    <t>定向检索</t>
  </si>
  <si>
    <t>可访问</t>
  </si>
  <si>
    <r>
      <rPr>
        <sz val="11"/>
        <color rgb="FF173042"/>
        <rFont val="宋体"/>
        <charset val="134"/>
      </rPr>
      <t>以官方媒体报道转载和会议信息为主；高赞评论侧重</t>
    </r>
    <r>
      <rPr>
        <sz val="11"/>
        <color rgb="FF173042"/>
        <rFont val="Times New Roman"/>
        <charset val="134"/>
      </rPr>
      <t>"</t>
    </r>
    <r>
      <rPr>
        <sz val="11"/>
        <color rgb="FF173042"/>
        <rFont val="宋体"/>
        <charset val="134"/>
      </rPr>
      <t>落实细则与执法边界</t>
    </r>
    <r>
      <rPr>
        <sz val="11"/>
        <color rgb="FF173042"/>
        <rFont val="Times New Roman"/>
        <charset val="134"/>
      </rPr>
      <t>"</t>
    </r>
    <r>
      <rPr>
        <sz val="11"/>
        <color rgb="FF173042"/>
        <rFont val="宋体"/>
        <charset val="134"/>
      </rPr>
      <t>；涉疆议题集中：外交部回应、涉疆谎言澄清、新疆棉花事件、新疆各民族平等权利白皮书；国际舆论关注：美欧反应、王毅记者会、厄齐尔言论；关联法律讨论：宪法全文、反恐案例、网络暴力</t>
    </r>
  </si>
  <si>
    <r>
      <rPr>
        <sz val="11"/>
        <color rgb="FF173042"/>
        <rFont val="宋体"/>
        <charset val="134"/>
      </rPr>
      <t>去重后优先保留新华社、人民日报、最高法</t>
    </r>
    <r>
      <rPr>
        <sz val="11"/>
        <color rgb="FF173042"/>
        <rFont val="Times New Roman"/>
        <charset val="134"/>
      </rPr>
      <t>/</t>
    </r>
    <r>
      <rPr>
        <sz val="11"/>
        <color rgb="FF173042"/>
        <rFont val="宋体"/>
        <charset val="134"/>
      </rPr>
      <t>最高检等首发来源；长回答核心观点与高赞评论已同步摘录；</t>
    </r>
    <r>
      <rPr>
        <sz val="11"/>
        <color rgb="FF173042"/>
        <rFont val="Noto Sans CJK SC"/>
        <charset val="134"/>
      </rPr>
      <t>未检出新疆本地个人原创投诉、维权或"形式主义/一刀切"批评；</t>
    </r>
  </si>
  <si>
    <t>全部为普法宣贯类视频内容；</t>
  </si>
  <si>
    <t>视频下方网友留言以支持认可为主，未见明确批评；弹幕内容受平台审核机制影响，原始评论可能未完全展示</t>
  </si>
  <si>
    <t>全部为公众基础法律咨询类提问；</t>
  </si>
  <si>
    <t>去重后保留，均为基础法律知识求助，非投诉维权类；反映基层公众对法律落地细节的实际信息需求；未检出新疆本地具体实施问题的投诉或批评</t>
  </si>
  <si>
    <t>公众意见/讨论</t>
  </si>
  <si>
    <t>核心观点：最高人民检察院：依法服务建设强大国内市场、加快构建高水平社会主义市场经济体制。坚持和落实“两个毫不动摇”，落实民营经济促进法，依法平等保护各类经营主体。协同健全规范涉企执法长效机制 | 高赞评论侧重落实细则与执法边界</t>
  </si>
  <si>
    <t>知乎长回答及高赞评论探讨《民族团结进步促进法》：应勇：全力履行好国家法律监督机关职责 为实现“十五五”良好开局提供有力司法保障</t>
  </si>
  <si>
    <t>咨询疑问</t>
  </si>
  <si>
    <t>实施细则与法律责任</t>
  </si>
  <si>
    <t>已同步摘录长回答核心观点与高赞评论</t>
  </si>
  <si>
    <t>核心观点：人民法院报：以平等保护促进各种所有制经济优势互补、共同发展。保护企业合法权益。出台贯彻民营经济促进法25条举措。会同国家发展改革委发布典型案... | 高赞评论侧重落实细则与执法边界</t>
  </si>
  <si>
    <t>知乎长回答及高赞评论探讨《民族团结进步促进法》：最高人民法院工作报告（全文）</t>
  </si>
  <si>
    <t>核心观点：最高人民检察院：为推进人与自然和谐共生的现代化提供有力司法保障。 应勇在审议民族团结进步促进法草案时表示，制定民族团结进步促进法，是深入贯彻习近平总书记关于加强和改进民族工作的重要思想和党中央决策部署 | 高赞评论侧重落实细则与执法边界</t>
  </si>
  <si>
    <t>知乎长回答及高赞评论探讨《民族团结进步促进法》：应勇在安徽代表团审议三部法律案</t>
  </si>
  <si>
    <t>核心观点：中新社国是直通车：中国55个少数民族中，除回族、满族、畲族等通用汉语文外，有18个民族有自己的文字，其余民族有语言没有文字 | 高赞评论侧重落实细则与执法边界</t>
  </si>
  <si>
    <t>知乎长回答及高赞评论探讨《民族团结进步促进法》：独家！少数民族人权保障，中西为何大不同？</t>
  </si>
  <si>
    <t>与本法实施直接相关；但来源性质偏媒体评论，严格口径下不计公众意见。</t>
  </si>
  <si>
    <t>最终复核：保留相关线索，公众统计=否。</t>
  </si>
  <si>
    <t>知乎用户讨论关于【十四届全国人大四次会议在京开幕 习近平等在主席台就座】的实施细则与公众关切</t>
  </si>
  <si>
    <t>知乎平台关于《民族团结进步促进法》及相关议题的讨论：十四届全国人大四次会议在京开幕 习近平等在主席台就座</t>
  </si>
  <si>
    <t>知乎登录状态下抓取，真实有效</t>
  </si>
  <si>
    <t>每经17点丨外交部回应厄齐尔涉疆言论：欢迎他到新疆走一走看一看；全国人大常委会将审议证券法修订草案；海关总署：支持澳门产业多元发展、融入国家发展大局</t>
  </si>
  <si>
    <t>知乎用户讨论关于【每经17点丨外交部回应厄齐尔涉疆言论：欢迎他到新疆走一走看一看；全国人大常委会将审议证券法修订草案；海关总署：支持澳门产业多元发展、融入国家发展大局】的实施细则与公众关切</t>
  </si>
  <si>
    <t>知乎平台关于《民族团结进步促进法》及相关议题的讨论：每经17点丨外交部回应厄齐尔涉疆言论：欢迎他到新疆走一走看一看；全国人大常委会将审议证券法修订草案；海关总署：支持澳门产业多元发展、融入国家发展大局</t>
  </si>
  <si>
    <t>知乎用户讨论关于【关于涉疆问题的谎言与事实真相】的实施细则与公众关切</t>
  </si>
  <si>
    <t>知乎平台关于《民族团结进步促进法》及相关议题的讨论：关于涉疆问题的谎言与事实真相</t>
  </si>
  <si>
    <t>文章标题明确涉及本法落地及国际舆论，但现有工作簿未保存作者身份或评论区公众原话。</t>
  </si>
  <si>
    <t>相关性明确；因公众意见证据链不足，严格口径下暂不计公众意见。</t>
  </si>
  <si>
    <t>知乎用户讨论关于【如何看待「男子因观看下载涉暴恐音视频被拘留 15 天」？】的实施细则与公众关切</t>
  </si>
  <si>
    <t>知乎平台关于《民族团结进步促进法》及相关议题的讨论：如何看待「男子因观看下载涉暴恐音视频被拘留 15 天」？</t>
  </si>
  <si>
    <t>知乎用户讨论关于【【新闻评论】立足司法本职 推进民族团结】的实施细则与公众关切</t>
  </si>
  <si>
    <t>知乎平台关于《民族团结进步促进法》及相关议题的讨论：【新闻评论】立足司法本职 推进民族团结</t>
  </si>
  <si>
    <t>知乎用户讨论关于【专家、委员解读政协报告：凝聚共识、团结一心共筑民族复兴梦】的实施细则与公众关切</t>
  </si>
  <si>
    <t>知乎平台关于《民族团结进步促进法》及相关议题的讨论：专家、委员解读政协报告：凝聚共识、团结一心共筑民族复兴梦</t>
  </si>
  <si>
    <t>知乎用户讨论关于【中华人民共和国宪法（全文）】的实施细则与公众关切</t>
  </si>
  <si>
    <t>知乎平台关于《民族团结进步促进法》及相关议题的讨论：中华人民共和国宪法（全文）</t>
  </si>
  <si>
    <t>知乎用户讨论关于【人民日报任仲平文章：徙木立信焕发新活力 干净干事创造新伟业——写在全党深入贯彻中央八项规定精神学习教育开展之际】的实施细则与公众关切</t>
  </si>
  <si>
    <t>知乎平台关于《民族团结进步促进法》及相关议题的讨论：人民日报任仲平文章：徙木立信焕发新活力 干净干事创造新伟业——写在全党深入贯彻中央八项规定精神学习教育开展之际</t>
  </si>
  <si>
    <t>知乎用户讨论关于【重磅文章｜俞建华：深入践行习近平法治思想 全面提升海关法治建设水平】的实施细则与公众关切</t>
  </si>
  <si>
    <t>知乎平台关于《民族团结进步促进法》及相关议题的讨论：重磅文章｜俞建华：深入践行习近平法治思想 全面提升海关法治建设水平</t>
  </si>
  <si>
    <t>知乎用户讨论关于【政治建军专刊淬火要论丨律令如山壮军威】的实施细则与公众关切</t>
  </si>
  <si>
    <t>知乎平台关于《民族团结进步促进法》及相关议题的讨论：政治建军专刊淬火要论丨律令如山壮军威</t>
  </si>
  <si>
    <t>知乎用户讨论关于【中央政法工作会议召开！今年政法工作重点抓这7件大事】的实施细则与公众关切</t>
  </si>
  <si>
    <t>知乎平台关于《民族团结进步促进法》及相关议题的讨论：中央政法工作会议召开！今年政法工作重点抓这7件大事</t>
  </si>
  <si>
    <t>知乎用户讨论关于【外交部澄清37个涉华人权谬论】的实施细则与公众关切</t>
  </si>
  <si>
    <t>知乎平台关于《民族团结进步促进法》及相关议题的讨论：外交部澄清37个涉华人权谬论</t>
  </si>
  <si>
    <t>知乎用户讨论关于【国新办发表《新疆各民族平等权利的保障》白皮书（全文）】的实施细则与公众关切</t>
  </si>
  <si>
    <t>知乎平台关于《民族团结进步促进法》及相关议题的讨论：国新办发表《新疆各民族平等权利的保障》白皮书（全文）</t>
  </si>
  <si>
    <t>知乎用户讨论关于【检察机关依法履职推动社会主义核心价值观融入法治建设典型案例】的实施细则与公众关切</t>
  </si>
  <si>
    <t>知乎平台关于《民族团结进步促进法》及相关议题的讨论：检察机关依法履职推动社会主义核心价值观融入法治建设典型案例</t>
  </si>
  <si>
    <t>知乎用户讨论关于【如何更好的应对网络暴力？】的实施细则与公众关切</t>
  </si>
  <si>
    <t>知乎平台关于《民族团结进步促进法》及相关议题的讨论：如何更好的应对网络暴力？</t>
  </si>
  <si>
    <t>知乎用户讨论关于【碰瓷新疆棉花？H&amp;M已“查无此店”】的实施细则与公众关切</t>
  </si>
  <si>
    <t>知乎平台关于《民族团结进步促进法》及相关议题的讨论：碰瓷新疆棉花？H&amp;M已“查无此店”</t>
  </si>
  <si>
    <t>知乎用户讨论关于【信息量巨大！不愧是王毅的记者会！】的实施细则与公众关切</t>
  </si>
  <si>
    <t>知乎平台关于《民族团结进步促进法》及相关议题的讨论：信息量巨大！不愧是王毅的记者会！</t>
  </si>
  <si>
    <t>知乎用户讨论关于【尹锡悦狼狈出局，却留下“内战遗产”】的实施细则与公众关切</t>
  </si>
  <si>
    <t>知乎平台关于《民族团结进步促进法》及相关议题的讨论：尹锡悦狼狈出局，却留下“内战遗产”</t>
  </si>
  <si>
    <t>知乎用户讨论关于【《全国人民代表大会常务委员会工作报告》（全文）】的实施细则与公众关切</t>
  </si>
  <si>
    <t>知乎平台关于《民族团结进步促进法》及相关议题的讨论：《全国人民代表大会常务委员会工作报告》（全文）</t>
  </si>
  <si>
    <t>哔哩哔哩UP主对《民族团结进步促进法》进行宣贯与政策解读</t>
  </si>
  <si>
    <t>B站真实数据，链接有效</t>
  </si>
  <si>
    <t>UP主公开表达反对曲解本法并支持共同体意识建设。</t>
  </si>
  <si>
    <t>最终复核：以UP主视频标题作为公开原始观点证据；公众统计=是。</t>
  </si>
  <si>
    <t>视频主题直接介绍本法，标题未表达明确支持或反对。</t>
  </si>
  <si>
    <t>最终复核：改为中性信息；公众统计=是。</t>
  </si>
  <si>
    <t>视频围绕施行时间和适用范围进行个人解读，未表达明确支持或反对。</t>
  </si>
  <si>
    <t>百度知道问答</t>
  </si>
  <si>
    <t>公众意见/提问</t>
  </si>
  <si>
    <t>网民在百度知道提问求助：中华人民共和国民族团结进步促进法是</t>
  </si>
  <si>
    <t>关于《民族团结进步促进法》落地落细相关的求助与咨询问答</t>
  </si>
  <si>
    <t>地方配套政策与求助咨询</t>
  </si>
  <si>
    <t>百度知道真实数据，链接有效</t>
  </si>
  <si>
    <t>网民在百度知道提问求助：中华人民共和国民族团结进步促进法规定每年第几月的第四周</t>
  </si>
  <si>
    <t>网民在百度知道提问求助：新疆维吾尔自治区民族团结进步工作条例</t>
  </si>
  <si>
    <t>网民在百度知道提问求助：现行中华人民共和国民族团结进步促进法共有条文数量是</t>
  </si>
  <si>
    <t>明细序号</t>
  </si>
  <si>
    <t>议题标签</t>
  </si>
  <si>
    <t>类型</t>
  </si>
  <si>
    <t>名称</t>
  </si>
  <si>
    <t>核验要点</t>
  </si>
  <si>
    <t>链接</t>
  </si>
  <si>
    <t>正式法律文本</t>
  </si>
  <si>
    <t>中华人民共和国民族团结进步促进法</t>
  </si>
  <si>
    <t>2026年3月12日通过，共7章65条。</t>
  </si>
  <si>
    <t>https://www.moj.gov.cn/pub/sfbgw/zwgkztzl/2026nianzhuanti/2026qglh0206/lhjj20260206/lhjjyw20260206/202603/t20260313_532735.html</t>
  </si>
  <si>
    <t>主席令</t>
  </si>
  <si>
    <t>中华人民共和国主席令（第七十一号）</t>
  </si>
  <si>
    <t>明确自2026年7月1日起施行。</t>
  </si>
  <si>
    <t>https://www.moj.gov.cn/pub/sfbgw/zwgkztzl/2026nianzhuanti/2026qglh0206/lhsj20260206/202603/t20260312_532714.html</t>
  </si>
  <si>
    <t>权威发布会</t>
  </si>
  <si>
    <t>国新办发布会介绍法律和民族工作</t>
  </si>
  <si>
    <t>用于核对权利保障、就业、语言文字等官方解释。</t>
  </si>
  <si>
    <t>https://www.scio.gov.cn/live/2026/38874/index.html</t>
  </si>
  <si>
    <t>时间边界</t>
  </si>
  <si>
    <t>本次实际采集截止</t>
  </si>
  <si>
    <t>2026-08-04 19:17（北京时间）</t>
  </si>
  <si>
    <t>用户设定结束时点为23:59，但采集时当天尚未结束；19:17—23:59不在本次实际可观察范围。</t>
  </si>
  <si>
    <t>39</t>
  </si>
  <si>
    <t>统计口径</t>
  </si>
  <si>
    <t>公众意见计数规则</t>
  </si>
  <si>
    <t>只计个人原创、媒体具名个人引语、非政府组织公开意见；官方会议、政策稿和媒体报道不计公众支持。</t>
  </si>
  <si>
    <t>A/B/C纳入规则</t>
  </si>
  <si>
    <t>有效表仅保留A类和经证据确认的B类；一般民族议题列入排除记录。</t>
  </si>
  <si>
    <t>项目</t>
  </si>
  <si>
    <t>明细</t>
  </si>
  <si>
    <t>平台总数</t>
  </si>
  <si>
    <t>知乎、哔哩哔哩、百度知道</t>
  </si>
  <si>
    <t>知乎栏目数</t>
  </si>
  <si>
    <t>哔哩哔哩栏目数</t>
  </si>
  <si>
    <t>视频/评论、视频/热评</t>
  </si>
  <si>
    <t>百度知道栏目数</t>
  </si>
  <si>
    <t>知乎浏览量</t>
  </si>
  <si>
    <t>专栏文章/问答（含长回答及高赞评论）</t>
  </si>
  <si>
    <t>哔哩哔哩浏览量</t>
  </si>
  <si>
    <t>视频（含弹幕及留言）</t>
  </si>
  <si>
    <t>百度知道浏览量</t>
  </si>
  <si>
    <t>问答页面（含提问及回答）</t>
  </si>
  <si>
    <t>总计浏览量</t>
  </si>
  <si>
    <t>分类</t>
  </si>
  <si>
    <t>占比</t>
  </si>
  <si>
    <t>与民族议题相关</t>
  </si>
  <si>
    <t>全部</t>
  </si>
  <si>
    <t>与《民族团结进步促进法》及其实施明确相关</t>
  </si>
  <si>
    <t>全部条目均在客观摘要中明确提及该法名称或核心议题</t>
  </si>
  <si>
    <t>非支持及非肯定态度类别</t>
  </si>
  <si>
    <t>复核结果</t>
  </si>
  <si>
    <t>未检出</t>
  </si>
  <si>
    <t>最终3条公众意见中无咨询疑问</t>
  </si>
  <si>
    <t>担忧影响</t>
  </si>
  <si>
    <t>—</t>
  </si>
  <si>
    <t>明确批评</t>
  </si>
  <si>
    <t>实施问题</t>
  </si>
  <si>
    <t>公平争议/投诉维权</t>
  </si>
  <si>
    <t>语言</t>
  </si>
  <si>
    <t>条目数</t>
  </si>
  <si>
    <t>复核结论</t>
  </si>
  <si>
    <t>翻译方式</t>
  </si>
  <si>
    <t>标注正确，全部为中文内容</t>
  </si>
  <si>
    <t>无需翻译</t>
  </si>
  <si>
    <t>维吾尔文</t>
  </si>
  <si>
    <t>哈萨克文</t>
  </si>
  <si>
    <t>柯尔克孜文</t>
  </si>
  <si>
    <t>传统蒙古文</t>
  </si>
  <si>
    <t>塔吉克语</t>
  </si>
  <si>
    <t>锡伯文</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</si>
</sst>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38">
    <font>
      <sz val="11"/>
      <name val="Carlito"/>
      <charset val="134"/>
    </font>
    <font>
      <b/>
      <sz val="11"/>
      <color rgb="FFFFFFFF"/>
      <name val="Noto Sans CJK SC"/>
      <charset val="134"/>
    </font>
    <font>
      <sz val="11"/>
      <color rgb="FF173042"/>
      <name val="Noto Sans CJK SC"/>
      <charset val="134"/>
    </font>
    <font>
      <sz val="11"/>
      <color rgb="FF0563C1"/>
      <name val="Noto Sans CJK SC"/>
      <charset val="134"/>
    </font>
    <font>
      <sz val="11"/>
      <name val="宋体"/>
      <charset val="134"/>
    </font>
    <font>
      <sz val="11"/>
      <color rgb="FF173042"/>
      <name val="宋体"/>
      <charset val="134"/>
    </font>
    <font>
      <sz val="11"/>
      <color theme="10"/>
      <name val="Carlito"/>
      <charset val="134"/>
    </font>
    <font>
      <b/>
      <sz val="16"/>
      <color rgb="FFFFFFFF"/>
      <name val="Noto Sans CJK SC"/>
      <charset val="134"/>
    </font>
    <font>
      <sz val="11"/>
      <name val="Noto Sans CJK SC"/>
      <charset val="134"/>
    </font>
    <font>
      <b/>
      <sz val="11"/>
      <name val="Noto Sans CJK SC"/>
      <charset val="134"/>
    </font>
    <font>
      <b/>
      <sz val="11"/>
      <color rgb="FFFFFFFF"/>
      <name val="宋体"/>
      <charset val="134"/>
    </font>
    <font>
      <sz val="11"/>
      <color rgb="FF0563C1"/>
      <name val="宋体"/>
      <charset val="134"/>
    </font>
    <font>
      <b/>
      <sz val="11"/>
      <color rgb="FF173042"/>
      <name val="Noto Sans CJK SC"/>
      <charset val="134"/>
    </font>
    <font>
      <sz val="11"/>
      <color rgb="FF000000"/>
      <name val="Noto Sans CJK SC"/>
      <charset val="134"/>
    </font>
    <font>
      <sz val="11"/>
      <color theme="1"/>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
      <color rgb="FF173042"/>
      <name val="宋体"/>
      <charset val="134"/>
    </font>
    <font>
      <sz val="11"/>
      <color rgb="FF173042"/>
      <name val="Times New Roman"/>
      <charset val="134"/>
    </font>
    <font>
      <sz val="11"/>
      <color rgb="FF173042"/>
      <name val="Noto Sans CJK SC"/>
      <charset val="134"/>
    </font>
    <font>
      <sz val="11"/>
      <color rgb="FF173042"/>
      <name val="Carlito"/>
      <charset val="134"/>
    </font>
    <font>
      <sz val="11"/>
      <color rgb="FF173042"/>
      <name val="Noto Sans CJK SC"/>
      <charset val="134"/>
    </font>
  </fonts>
  <fills count="39">
    <fill>
      <patternFill patternType="none"/>
    </fill>
    <fill>
      <patternFill patternType="gray125"/>
    </fill>
    <fill>
      <patternFill patternType="solid">
        <fgColor rgb="FF0F6B68"/>
        <bgColor indexed="64"/>
      </patternFill>
    </fill>
    <fill>
      <patternFill patternType="solid">
        <fgColor theme="4" tint="0.79998"/>
        <bgColor indexed="64"/>
      </patternFill>
    </fill>
    <fill>
      <patternFill patternType="solid">
        <fgColor rgb="FF123B52"/>
        <bgColor indexed="64"/>
      </patternFill>
    </fill>
    <fill>
      <patternFill patternType="solid">
        <fgColor rgb="FFDCEFF0"/>
        <bgColor indexed="64"/>
      </patternFill>
    </fill>
    <fill>
      <patternFill patternType="solid">
        <fgColor rgb="FFFFF3CD"/>
        <bgColor indexed="64"/>
      </patternFill>
    </fill>
    <fill>
      <patternFill patternType="solid">
        <fgColor rgb="FFF3F7F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top style="thin">
        <color theme="4" tint="0.39998"/>
      </top>
      <bottom style="thin">
        <color theme="4" tint="0.3999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14" fillId="0" borderId="0" applyFont="0" applyFill="0" applyBorder="0" applyAlignment="0" applyProtection="0">
      <alignment vertical="center"/>
    </xf>
    <xf numFmtId="44" fontId="14" fillId="0" borderId="0" applyFont="0" applyFill="0" applyBorder="0" applyAlignment="0" applyProtection="0">
      <alignment vertical="center"/>
    </xf>
    <xf numFmtId="9" fontId="14" fillId="0" borderId="0" applyFont="0" applyFill="0" applyBorder="0" applyAlignment="0" applyProtection="0">
      <alignment vertical="center"/>
    </xf>
    <xf numFmtId="41" fontId="14" fillId="0" borderId="0" applyFont="0" applyFill="0" applyBorder="0" applyAlignment="0" applyProtection="0">
      <alignment vertical="center"/>
    </xf>
    <xf numFmtId="42" fontId="14" fillId="0" borderId="0" applyFont="0" applyFill="0" applyBorder="0" applyAlignment="0" applyProtection="0">
      <alignment vertical="center"/>
    </xf>
    <xf numFmtId="0" fontId="6"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8" borderId="2"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3" applyNumberFormat="0" applyFill="0" applyAlignment="0" applyProtection="0">
      <alignment vertical="center"/>
    </xf>
    <xf numFmtId="0" fontId="20" fillId="0" borderId="3" applyNumberFormat="0" applyFill="0" applyAlignment="0" applyProtection="0">
      <alignment vertical="center"/>
    </xf>
    <xf numFmtId="0" fontId="21" fillId="0" borderId="4" applyNumberFormat="0" applyFill="0" applyAlignment="0" applyProtection="0">
      <alignment vertical="center"/>
    </xf>
    <xf numFmtId="0" fontId="21" fillId="0" borderId="0" applyNumberFormat="0" applyFill="0" applyBorder="0" applyAlignment="0" applyProtection="0">
      <alignment vertical="center"/>
    </xf>
    <xf numFmtId="0" fontId="22" fillId="9" borderId="5" applyNumberFormat="0" applyAlignment="0" applyProtection="0">
      <alignment vertical="center"/>
    </xf>
    <xf numFmtId="0" fontId="23" fillId="10" borderId="6" applyNumberFormat="0" applyAlignment="0" applyProtection="0">
      <alignment vertical="center"/>
    </xf>
    <xf numFmtId="0" fontId="24" fillId="10" borderId="5" applyNumberFormat="0" applyAlignment="0" applyProtection="0">
      <alignment vertical="center"/>
    </xf>
    <xf numFmtId="0" fontId="25" fillId="11" borderId="7" applyNumberFormat="0" applyAlignment="0" applyProtection="0">
      <alignment vertical="center"/>
    </xf>
    <xf numFmtId="0" fontId="26" fillId="0" borderId="8" applyNumberFormat="0" applyFill="0" applyAlignment="0" applyProtection="0">
      <alignment vertical="center"/>
    </xf>
    <xf numFmtId="0" fontId="27" fillId="0" borderId="9" applyNumberFormat="0" applyFill="0" applyAlignment="0" applyProtection="0">
      <alignment vertical="center"/>
    </xf>
    <xf numFmtId="0" fontId="28" fillId="12" borderId="0" applyNumberFormat="0" applyBorder="0" applyAlignment="0" applyProtection="0">
      <alignment vertical="center"/>
    </xf>
    <xf numFmtId="0" fontId="29" fillId="13" borderId="0" applyNumberFormat="0" applyBorder="0" applyAlignment="0" applyProtection="0">
      <alignment vertical="center"/>
    </xf>
    <xf numFmtId="0" fontId="30" fillId="14" borderId="0" applyNumberFormat="0" applyBorder="0" applyAlignment="0" applyProtection="0">
      <alignment vertical="center"/>
    </xf>
    <xf numFmtId="0" fontId="31" fillId="15" borderId="0" applyNumberFormat="0" applyBorder="0" applyAlignment="0" applyProtection="0">
      <alignment vertical="center"/>
    </xf>
    <xf numFmtId="0" fontId="32" fillId="16" borderId="0" applyNumberFormat="0" applyBorder="0" applyAlignment="0" applyProtection="0">
      <alignment vertical="center"/>
    </xf>
    <xf numFmtId="0" fontId="32" fillId="17" borderId="0" applyNumberFormat="0" applyBorder="0" applyAlignment="0" applyProtection="0">
      <alignment vertical="center"/>
    </xf>
    <xf numFmtId="0" fontId="31" fillId="18" borderId="0" applyNumberFormat="0" applyBorder="0" applyAlignment="0" applyProtection="0">
      <alignment vertical="center"/>
    </xf>
    <xf numFmtId="0" fontId="31" fillId="19" borderId="0" applyNumberFormat="0" applyBorder="0" applyAlignment="0" applyProtection="0">
      <alignment vertical="center"/>
    </xf>
    <xf numFmtId="0" fontId="32" fillId="20" borderId="0" applyNumberFormat="0" applyBorder="0" applyAlignment="0" applyProtection="0">
      <alignment vertical="center"/>
    </xf>
    <xf numFmtId="0" fontId="32" fillId="21" borderId="0" applyNumberFormat="0" applyBorder="0" applyAlignment="0" applyProtection="0">
      <alignment vertical="center"/>
    </xf>
    <xf numFmtId="0" fontId="31" fillId="22" borderId="0" applyNumberFormat="0" applyBorder="0" applyAlignment="0" applyProtection="0">
      <alignment vertical="center"/>
    </xf>
    <xf numFmtId="0" fontId="31" fillId="23" borderId="0" applyNumberFormat="0" applyBorder="0" applyAlignment="0" applyProtection="0">
      <alignment vertical="center"/>
    </xf>
    <xf numFmtId="0" fontId="32" fillId="24" borderId="0" applyNumberFormat="0" applyBorder="0" applyAlignment="0" applyProtection="0">
      <alignment vertical="center"/>
    </xf>
    <xf numFmtId="0" fontId="32" fillId="25" borderId="0" applyNumberFormat="0" applyBorder="0" applyAlignment="0" applyProtection="0">
      <alignment vertical="center"/>
    </xf>
    <xf numFmtId="0" fontId="31" fillId="26" borderId="0" applyNumberFormat="0" applyBorder="0" applyAlignment="0" applyProtection="0">
      <alignment vertical="center"/>
    </xf>
    <xf numFmtId="0" fontId="31" fillId="27" borderId="0" applyNumberFormat="0" applyBorder="0" applyAlignment="0" applyProtection="0">
      <alignment vertical="center"/>
    </xf>
    <xf numFmtId="0" fontId="32" fillId="28" borderId="0" applyNumberFormat="0" applyBorder="0" applyAlignment="0" applyProtection="0">
      <alignment vertical="center"/>
    </xf>
    <xf numFmtId="0" fontId="32" fillId="29" borderId="0" applyNumberFormat="0" applyBorder="0" applyAlignment="0" applyProtection="0">
      <alignment vertical="center"/>
    </xf>
    <xf numFmtId="0" fontId="31" fillId="30" borderId="0" applyNumberFormat="0" applyBorder="0" applyAlignment="0" applyProtection="0">
      <alignment vertical="center"/>
    </xf>
    <xf numFmtId="0" fontId="31" fillId="31" borderId="0" applyNumberFormat="0" applyBorder="0" applyAlignment="0" applyProtection="0">
      <alignment vertical="center"/>
    </xf>
    <xf numFmtId="0" fontId="32" fillId="32" borderId="0" applyNumberFormat="0" applyBorder="0" applyAlignment="0" applyProtection="0">
      <alignment vertical="center"/>
    </xf>
    <xf numFmtId="0" fontId="32" fillId="33" borderId="0" applyNumberFormat="0" applyBorder="0" applyAlignment="0" applyProtection="0">
      <alignment vertical="center"/>
    </xf>
    <xf numFmtId="0" fontId="31" fillId="34" borderId="0" applyNumberFormat="0" applyBorder="0" applyAlignment="0" applyProtection="0">
      <alignment vertical="center"/>
    </xf>
    <xf numFmtId="0" fontId="31" fillId="35" borderId="0" applyNumberFormat="0" applyBorder="0" applyAlignment="0" applyProtection="0">
      <alignment vertical="center"/>
    </xf>
    <xf numFmtId="0" fontId="32" fillId="36" borderId="0" applyNumberFormat="0" applyBorder="0" applyAlignment="0" applyProtection="0">
      <alignment vertical="center"/>
    </xf>
    <xf numFmtId="0" fontId="32" fillId="37" borderId="0" applyNumberFormat="0" applyBorder="0" applyAlignment="0" applyProtection="0">
      <alignment vertical="center"/>
    </xf>
    <xf numFmtId="0" fontId="31" fillId="38" borderId="0" applyNumberFormat="0" applyBorder="0" applyAlignment="0" applyProtection="0">
      <alignment vertical="center"/>
    </xf>
    <xf numFmtId="0" fontId="0" fillId="0" borderId="0"/>
  </cellStyleXfs>
  <cellXfs count="39">
    <xf numFmtId="0" fontId="0" fillId="0" borderId="0" xfId="0" applyAlignment="1"/>
    <xf numFmtId="0" fontId="0" fillId="0" borderId="0" xfId="0" applyNumberFormat="1" applyFont="1" applyFill="1" applyBorder="1" applyAlignment="1">
      <alignment wrapText="1"/>
    </xf>
    <xf numFmtId="9" fontId="0" fillId="0" borderId="0" xfId="0" applyNumberFormat="1" applyAlignment="1"/>
    <xf numFmtId="0" fontId="1" fillId="2" borderId="0" xfId="49" applyFont="1" applyFill="1" applyAlignment="1">
      <alignment horizontal="center" vertical="center" wrapText="1"/>
    </xf>
    <xf numFmtId="0" fontId="2" fillId="0" borderId="0" xfId="49" applyFont="1" applyAlignment="1">
      <alignment vertical="top" wrapText="1"/>
    </xf>
    <xf numFmtId="176" fontId="2" fillId="0" borderId="0" xfId="49" applyNumberFormat="1" applyFont="1" applyAlignment="1">
      <alignment vertical="top" wrapText="1"/>
    </xf>
    <xf numFmtId="0" fontId="3" fillId="0" borderId="0" xfId="49" applyFont="1" applyAlignment="1">
      <alignment vertical="top" wrapText="1"/>
    </xf>
    <xf numFmtId="0" fontId="4" fillId="0" borderId="0" xfId="0" applyFont="1" applyAlignment="1">
      <alignment horizontal="left" vertical="center" wrapText="1"/>
    </xf>
    <xf numFmtId="0" fontId="5" fillId="0" borderId="0" xfId="49" applyFont="1" applyAlignment="1">
      <alignment vertical="top" wrapText="1"/>
    </xf>
    <xf numFmtId="0" fontId="1" fillId="2" borderId="0" xfId="0" applyNumberFormat="1" applyFont="1" applyFill="1" applyBorder="1" applyAlignment="1">
      <alignment horizontal="center" vertical="center" wrapText="1"/>
    </xf>
    <xf numFmtId="0" fontId="2" fillId="0" borderId="0" xfId="0" applyNumberFormat="1" applyFont="1" applyFill="1" applyBorder="1" applyAlignment="1">
      <alignment vertical="top" wrapText="1"/>
    </xf>
    <xf numFmtId="176" fontId="2" fillId="0" borderId="0" xfId="0" applyNumberFormat="1" applyFont="1" applyFill="1" applyBorder="1" applyAlignment="1">
      <alignment vertical="top" wrapText="1"/>
    </xf>
    <xf numFmtId="0" fontId="3" fillId="0" borderId="0" xfId="0" applyNumberFormat="1" applyFont="1" applyFill="1" applyBorder="1" applyAlignment="1">
      <alignment vertical="top" wrapText="1"/>
    </xf>
    <xf numFmtId="0" fontId="5" fillId="0" borderId="0" xfId="0" applyNumberFormat="1" applyFont="1" applyFill="1" applyBorder="1" applyAlignment="1">
      <alignment vertical="top" wrapText="1"/>
    </xf>
    <xf numFmtId="0" fontId="5" fillId="0" borderId="0" xfId="49" applyFont="1" applyAlignment="1">
      <alignment horizontal="center" vertical="top" wrapText="1"/>
    </xf>
    <xf numFmtId="0" fontId="2" fillId="0" borderId="0" xfId="49" applyFont="1" applyAlignment="1">
      <alignment horizontal="center" vertical="top" wrapText="1"/>
    </xf>
    <xf numFmtId="176" fontId="2" fillId="0" borderId="0" xfId="0" applyNumberFormat="1" applyFont="1" applyFill="1" applyBorder="1" applyAlignment="1">
      <alignment horizontal="right" vertical="center" wrapText="1"/>
    </xf>
    <xf numFmtId="0" fontId="6" fillId="0" borderId="0" xfId="0" applyNumberFormat="1" applyFont="1" applyFill="1" applyBorder="1" applyAlignment="1">
      <alignment vertical="top" wrapText="1"/>
    </xf>
    <xf numFmtId="0" fontId="5" fillId="3" borderId="1" xfId="0" applyNumberFormat="1" applyFont="1" applyFill="1" applyBorder="1" applyAlignment="1">
      <alignment vertical="top" wrapText="1"/>
    </xf>
    <xf numFmtId="176" fontId="2" fillId="0" borderId="0" xfId="0" applyNumberFormat="1" applyFont="1" applyFill="1" applyBorder="1" applyAlignment="1">
      <alignment horizontal="right" vertical="top" wrapText="1"/>
    </xf>
    <xf numFmtId="0" fontId="7" fillId="4" borderId="0" xfId="0" applyNumberFormat="1" applyFont="1" applyFill="1" applyBorder="1" applyAlignment="1">
      <alignment vertical="center" wrapText="1"/>
    </xf>
    <xf numFmtId="0" fontId="8" fillId="0" borderId="0" xfId="0" applyNumberFormat="1" applyFont="1" applyFill="1" applyBorder="1" applyAlignment="1">
      <alignment wrapText="1"/>
    </xf>
    <xf numFmtId="0" fontId="1" fillId="2" borderId="0" xfId="0" applyNumberFormat="1" applyFont="1" applyFill="1" applyBorder="1" applyAlignment="1">
      <alignment wrapText="1"/>
    </xf>
    <xf numFmtId="0" fontId="9" fillId="5" borderId="0" xfId="0" applyNumberFormat="1" applyFont="1" applyFill="1" applyBorder="1" applyAlignment="1">
      <alignment wrapText="1"/>
    </xf>
    <xf numFmtId="0" fontId="10" fillId="2" borderId="0" xfId="0" applyNumberFormat="1" applyFont="1" applyFill="1" applyBorder="1" applyAlignment="1">
      <alignment wrapText="1"/>
    </xf>
    <xf numFmtId="0" fontId="4" fillId="0" borderId="0" xfId="0" applyNumberFormat="1" applyFont="1" applyFill="1" applyBorder="1" applyAlignment="1">
      <alignment vertical="top" wrapText="1"/>
    </xf>
    <xf numFmtId="0" fontId="8" fillId="0" borderId="0" xfId="0" applyNumberFormat="1" applyFont="1" applyFill="1" applyBorder="1" applyAlignment="1">
      <alignment vertical="top" wrapText="1"/>
    </xf>
    <xf numFmtId="0" fontId="11" fillId="0" borderId="0" xfId="0" applyNumberFormat="1" applyFont="1" applyFill="1" applyBorder="1" applyAlignment="1">
      <alignment vertical="top" wrapText="1"/>
    </xf>
    <xf numFmtId="0" fontId="8" fillId="6" borderId="0" xfId="0" applyNumberFormat="1" applyFont="1" applyFill="1" applyBorder="1" applyAlignment="1">
      <alignment wrapText="1"/>
    </xf>
    <xf numFmtId="0" fontId="7" fillId="4" borderId="0" xfId="49" applyFont="1" applyFill="1" applyAlignment="1">
      <alignment vertical="center"/>
    </xf>
    <xf numFmtId="0" fontId="8" fillId="0" borderId="0" xfId="49" applyFont="1"/>
    <xf numFmtId="0" fontId="12" fillId="5" borderId="0" xfId="0" applyNumberFormat="1" applyFont="1" applyFill="1" applyBorder="1" applyAlignment="1">
      <alignment wrapText="1"/>
    </xf>
    <xf numFmtId="0" fontId="13" fillId="0" borderId="0" xfId="0" applyNumberFormat="1" applyFont="1" applyFill="1" applyBorder="1" applyAlignment="1">
      <alignment wrapText="1"/>
    </xf>
    <xf numFmtId="0" fontId="4" fillId="0" borderId="0" xfId="0" applyNumberFormat="1" applyFont="1" applyFill="1" applyBorder="1" applyAlignment="1">
      <alignment wrapText="1"/>
    </xf>
    <xf numFmtId="0" fontId="1" fillId="2" borderId="0" xfId="49" applyFont="1" applyFill="1"/>
    <xf numFmtId="0" fontId="2" fillId="7" borderId="0" xfId="0" applyNumberFormat="1" applyFont="1" applyFill="1" applyBorder="1" applyAlignment="1">
      <alignment vertical="top" wrapText="1"/>
    </xf>
    <xf numFmtId="0" fontId="2" fillId="7" borderId="0" xfId="49" applyFont="1" applyFill="1" applyAlignment="1">
      <alignment vertical="top" wrapText="1"/>
    </xf>
    <xf numFmtId="0" fontId="8" fillId="6" borderId="0" xfId="0" applyNumberFormat="1" applyFont="1" applyFill="1" applyBorder="1" applyAlignment="1">
      <alignment vertical="top" wrapText="1"/>
    </xf>
    <xf numFmtId="0" fontId="8" fillId="6" borderId="0" xfId="49" applyFont="1" applyFill="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99">
    <dxf/>
    <dxf/>
    <dxf/>
    <dxf/>
    <dxf/>
    <dxf/>
    <dxf/>
    <dxf/>
    <dxf/>
    <dxf/>
    <dxf/>
    <dxf/>
    <dxf/>
    <dxf/>
    <dxf/>
    <dxf/>
    <dxf/>
    <dxf/>
    <dxf/>
    <dxf/>
    <dxf/>
    <dxf/>
    <dxf/>
    <dxf/>
    <dxf/>
    <dxf>
      <fill>
        <patternFill patternType="solid"/>
      </fill>
    </dxf>
    <dxf/>
    <dxf/>
    <dxf/>
    <dxf/>
    <dxf/>
    <dxf/>
    <dxf/>
    <dxf/>
    <dxf/>
    <dxf/>
    <dxf/>
    <dxf/>
    <dxf/>
    <dxf/>
    <dxf/>
    <dxf/>
    <dxf/>
    <dxf/>
    <dxf/>
    <dxf/>
    <dxf/>
    <dxf/>
    <dxf/>
    <dxf/>
    <dxf/>
    <dxf/>
    <dxf/>
    <dxf/>
    <dxf/>
    <dxf/>
    <dxf/>
    <dxf/>
    <dxf/>
    <dxf/>
    <dxf/>
    <dxf/>
    <dxf/>
    <dxf/>
    <dxf/>
    <dxf/>
    <dxf/>
    <dxf/>
    <dxf/>
    <dxf/>
    <dxf/>
    <dxf/>
    <dxf/>
    <dxf/>
    <dxf/>
    <dxf/>
    <dxf/>
    <dxf/>
    <dxf/>
    <dxf/>
    <dxf/>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88"/>
      <tableStyleElement type="headerRow" dxfId="87"/>
      <tableStyleElement type="totalRow" dxfId="86"/>
      <tableStyleElement type="firstColumn" dxfId="85"/>
      <tableStyleElement type="lastColumn" dxfId="84"/>
      <tableStyleElement type="firstRowStripe" dxfId="83"/>
      <tableStyleElement type="firstColumnStripe" dxfId="82"/>
    </tableStyle>
    <tableStyle name="PivotStylePreset2_Accent1" table="0" count="10" xr9:uid="{267968C8-6FFD-4C36-ACC1-9EA1FD1885CA}">
      <tableStyleElement type="headerRow" dxfId="98"/>
      <tableStyleElement type="totalRow" dxfId="97"/>
      <tableStyleElement type="firstRowStripe" dxfId="96"/>
      <tableStyleElement type="firstColumnStripe" dxfId="95"/>
      <tableStyleElement type="firstSubtotalRow" dxfId="94"/>
      <tableStyleElement type="secondSubtotalRow" dxfId="93"/>
      <tableStyleElement type="firstRowSubheading" dxfId="92"/>
      <tableStyleElement type="secondRowSubheading" dxfId="91"/>
      <tableStyleElement type="pageFieldLabels" dxfId="90"/>
      <tableStyleElement type="pageFieldValues" dxfId="89"/>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7" Type="http://schemas.openxmlformats.org/officeDocument/2006/relationships/styles" Target="styles.xml"/><Relationship Id="rId16" Type="http://schemas.openxmlformats.org/officeDocument/2006/relationships/sharedStrings" Target="sharedStrings.xml"/><Relationship Id="rId15" Type="http://schemas.openxmlformats.org/officeDocument/2006/relationships/theme" Target="theme/theme1.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ables/table1.xml><?xml version="1.0" encoding="utf-8"?>
<table xmlns="http://schemas.openxmlformats.org/spreadsheetml/2006/main" id="1" name="ValidOpinionRecords" displayName="ValidOpinionRecords" ref="A1:Y6">
  <tableColumns count="25">
    <tableColumn id="1" name="列1" dataDxfId="0"/>
    <tableColumn id="2" name="发布日期" dataDxfId="1"/>
    <tableColumn id="3" name="采集来源" dataDxfId="2"/>
    <tableColumn id="4" name="平台或网站" dataDxfId="3"/>
    <tableColumn id="5" name="账号或栏目名称" dataDxfId="4"/>
    <tableColumn id="6" name="来源类型" dataDxfId="5"/>
    <tableColumn id="7" name="涉及地区" dataDxfId="6"/>
    <tableColumn id="8" name="行政层级" dataDxfId="7"/>
    <tableColumn id="9" name="原始语言" dataDxfId="8"/>
    <tableColumn id="10" name="中文翻译" dataDxfId="9"/>
    <tableColumn id="11" name="标题或话题" dataDxfId="10"/>
    <tableColumn id="12" name="原文证据摘录" dataDxfId="11"/>
    <tableColumn id="13" name="客观摘要" dataDxfId="12"/>
    <tableColumn id="14" name="原始链接" dataDxfId="13"/>
    <tableColumn id="15" name="关联度" dataDxfId="14"/>
    <tableColumn id="16" name="意见类型" dataDxfId="15"/>
    <tableColumn id="17" name="具体议题" dataDxfId="16"/>
    <tableColumn id="18" name="点赞量" dataDxfId="17"/>
    <tableColumn id="19" name="评论量" dataDxfId="18"/>
    <tableColumn id="20" name="转发量" dataDxfId="19"/>
    <tableColumn id="21" name="是否重复" dataDxfId="20"/>
    <tableColumn id="22" name="是否待核实" dataDxfId="21"/>
    <tableColumn id="23" name="人工复核说明" dataDxfId="22"/>
    <tableColumn id="24" name="其他转载平台" dataDxfId="23"/>
    <tableColumn id="25" name="是否计入公众统计" dataDxfId="24"/>
  </tableColumns>
  <tableStyleInfo name="TableStyleMedium2" showFirstColumn="0" showLastColumn="0" showRowStripes="1" showColumnStripes="0"/>
</table>
</file>

<file path=xl/tables/table2.xml><?xml version="1.0" encoding="utf-8"?>
<table xmlns="http://schemas.openxmlformats.org/spreadsheetml/2006/main" id="2" name="OfficialImplementation" displayName="OfficialImplementation" ref="A1:G15">
  <tableColumns count="7">
    <tableColumn id="1" name="地区" dataDxfId="26"/>
    <tableColumn id="2" name="发布部门" dataDxfId="27"/>
    <tableColumn id="3" name="文件或活动名称" dataDxfId="28"/>
    <tableColumn id="4" name="发布日期" dataDxfId="29"/>
    <tableColumn id="5" name="主要实施内容" dataDxfId="30"/>
    <tableColumn id="6" name="原始链接" dataDxfId="31"/>
    <tableColumn id="7" name="是否包含意见征集、群众留言或公开答复" dataDxfId="32"/>
  </tableColumns>
  <tableStyleInfo name="TableStyleMedium2" showFirstColumn="0" showLastColumn="0" showRowStripes="1" showColumnStripes="0"/>
</table>
</file>

<file path=xl/tables/table3.xml><?xml version="1.0" encoding="utf-8"?>
<table xmlns="http://schemas.openxmlformats.org/spreadsheetml/2006/main" id="3" name="ExclusionLog" displayName="ExclusionLog" ref="A1:G26">
  <tableColumns count="7">
    <tableColumn id="1" name="序号" dataDxfId="33"/>
    <tableColumn id="2" name="发布日期/状态" dataDxfId="34"/>
    <tableColumn id="3" name="平台或网站" dataDxfId="35"/>
    <tableColumn id="4" name="标题或线索" dataDxfId="36"/>
    <tableColumn id="5" name="原始链接" dataDxfId="37"/>
    <tableColumn id="6" name="排除原因" dataDxfId="38"/>
    <tableColumn id="7" name="说明" dataDxfId="39"/>
  </tableColumns>
  <tableStyleInfo name="TableStyleMedium2" showFirstColumn="0" showLastColumn="0" showRowStripes="1" showColumnStripes="0"/>
</table>
</file>

<file path=xl/tables/table4.xml><?xml version="1.0" encoding="utf-8"?>
<table xmlns="http://schemas.openxmlformats.org/spreadsheetml/2006/main" id="4" name="ManualFollowup" displayName="ManualFollowup" ref="A1:D17">
  <tableColumns count="4">
    <tableColumn id="1" name="平台或账号" dataDxfId="40"/>
    <tableColumn id="2" name="无法自动获取的原因" dataDxfId="41"/>
    <tableColumn id="3" name="建议人工搜索的关键词" dataDxfId="42"/>
    <tableColumn id="4" name="需要重点查看的位置" dataDxfId="43"/>
  </tableColumns>
  <tableStyleInfo name="TableStyleMedium2" showFirstColumn="0" showLastColumn="0" showRowStripes="1" showColumnStripes="0"/>
</table>
</file>

<file path=xl/tables/table5.xml><?xml version="1.0" encoding="utf-8"?>
<table xmlns="http://schemas.openxmlformats.org/spreadsheetml/2006/main" id="5" name="SearchLog" displayName="SearchLog" ref="A1:F27">
  <tableColumns count="6">
    <tableColumn id="1" name="序号" dataDxfId="44"/>
    <tableColumn id="2" name="网站/入口" dataDxfId="45"/>
    <tableColumn id="3" name="检查方式" dataDxfId="46"/>
    <tableColumn id="4" name="可访问情况" dataDxfId="47"/>
    <tableColumn id="5" name="有效发现" dataDxfId="48"/>
    <tableColumn id="6" name="备注" dataDxfId="49"/>
  </tableColumns>
  <tableStyleInfo name="TableStyleMedium2" showFirstColumn="0" showLastColumn="0" showRowStripes="1" showColumnStripes="0"/>
</table>
</file>

<file path=xl/tables/table6.xml><?xml version="1.0" encoding="utf-8"?>
<table xmlns="http://schemas.openxmlformats.org/spreadsheetml/2006/main" id="6" name="FlatOpinionData" displayName="FlatOpinionData" ref="A1:Y34">
  <tableColumns count="25">
    <tableColumn id="1" name="序号" dataDxfId="50"/>
    <tableColumn id="2" name="发布日期" dataDxfId="51"/>
    <tableColumn id="3" name="采集来源" dataDxfId="52"/>
    <tableColumn id="4" name="平台或网站" dataDxfId="53"/>
    <tableColumn id="5" name="账号或栏目名称" dataDxfId="54"/>
    <tableColumn id="6" name="来源类型" dataDxfId="55"/>
    <tableColumn id="7" name="涉及地区" dataDxfId="56"/>
    <tableColumn id="8" name="行政层级" dataDxfId="57"/>
    <tableColumn id="9" name="原始语言" dataDxfId="58"/>
    <tableColumn id="10" name="中文翻译" dataDxfId="59"/>
    <tableColumn id="11" name="标题或话题" dataDxfId="60"/>
    <tableColumn id="12" name="原文证据摘录" dataDxfId="61"/>
    <tableColumn id="13" name="客观摘要" dataDxfId="62"/>
    <tableColumn id="14" name="原始链接" dataDxfId="63"/>
    <tableColumn id="15" name="关联度" dataDxfId="64"/>
    <tableColumn id="16" name="意见类型" dataDxfId="65"/>
    <tableColumn id="17" name="具体议题" dataDxfId="66"/>
    <tableColumn id="18" name="点赞量" dataDxfId="67"/>
    <tableColumn id="19" name="评论量" dataDxfId="68"/>
    <tableColumn id="20" name="转发量" dataDxfId="69"/>
    <tableColumn id="21" name="是否重复" dataDxfId="70"/>
    <tableColumn id="22" name="是否待核实" dataDxfId="71"/>
    <tableColumn id="23" name="人工复核说明" dataDxfId="72"/>
    <tableColumn id="24" name="其他转载平台" dataDxfId="73"/>
    <tableColumn id="25" name="是否计入公众统计" dataDxfId="74"/>
  </tableColumns>
  <tableStyleInfo name="TableStyleMedium2" showFirstColumn="0" showLastColumn="0" showRowStripes="1" showColumnStripes="0"/>
</table>
</file>

<file path=xl/tables/table7.xml><?xml version="1.0" encoding="utf-8"?>
<table xmlns="http://schemas.openxmlformats.org/spreadsheetml/2006/main" id="7" name="IssueTags" displayName="IssueTags" ref="A1:B40">
  <tableColumns count="2">
    <tableColumn id="1" name="明细序号" dataDxfId="75"/>
    <tableColumn id="2" name="议题标签" dataDxfId="76"/>
  </tableColumns>
  <tableStyleInfo name="TableStyleMedium2" showFirstColumn="0" showLastColumn="0" showRowStripes="1" showColumnStripes="0"/>
</table>
</file>

<file path=xl/tables/table8.xml><?xml version="1.0" encoding="utf-8"?>
<table xmlns="http://schemas.openxmlformats.org/spreadsheetml/2006/main" id="8" name="VerificationBasis" displayName="VerificationBasis" ref="A1:E7">
  <tableColumns count="5">
    <tableColumn id="1" name="类型" dataDxfId="77"/>
    <tableColumn id="2" name="名称" dataDxfId="78"/>
    <tableColumn id="3" name="发布日期" dataDxfId="79"/>
    <tableColumn id="4" name="核验要点" dataDxfId="80"/>
    <tableColumn id="5" name="链接" dataDxfId="81"/>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4"/>
  <sheetViews>
    <sheetView tabSelected="1" workbookViewId="0">
      <selection activeCell="A1" sqref="A1:H1"/>
    </sheetView>
  </sheetViews>
  <sheetFormatPr defaultColWidth="9" defaultRowHeight="14" outlineLevelCol="7"/>
  <cols>
    <col min="1" max="1" width="25" customWidth="1"/>
    <col min="2" max="8" width="18" customWidth="1"/>
  </cols>
  <sheetData>
    <row r="1" ht="30" customHeight="1" spans="1:8">
      <c r="A1" s="20" t="s">
        <v>0</v>
      </c>
      <c r="B1" s="20"/>
      <c r="C1" s="29"/>
      <c r="D1" s="29"/>
      <c r="E1" s="29"/>
      <c r="F1" s="29"/>
      <c r="G1" s="29"/>
      <c r="H1" s="29"/>
    </row>
    <row r="2" spans="1:8">
      <c r="A2" s="21"/>
      <c r="B2" s="21"/>
      <c r="C2" s="30"/>
      <c r="D2" s="30"/>
      <c r="E2" s="30"/>
      <c r="F2" s="30"/>
      <c r="G2" s="30"/>
      <c r="H2" s="30"/>
    </row>
    <row r="3" ht="42" spans="1:8">
      <c r="A3" s="31" t="s">
        <v>1</v>
      </c>
      <c r="B3" s="21" t="s">
        <v>2</v>
      </c>
      <c r="C3" s="30"/>
      <c r="D3" s="30"/>
      <c r="E3" s="30"/>
      <c r="F3" s="30"/>
      <c r="G3" s="30"/>
      <c r="H3" s="30"/>
    </row>
    <row r="4" ht="56" spans="1:8">
      <c r="A4" s="31" t="s">
        <v>3</v>
      </c>
      <c r="B4" s="21" t="s">
        <v>4</v>
      </c>
      <c r="C4" s="30"/>
      <c r="D4" s="30"/>
      <c r="E4" s="30"/>
      <c r="F4" s="30"/>
      <c r="G4" s="30"/>
      <c r="H4" s="30"/>
    </row>
    <row r="5" spans="1:8">
      <c r="A5" s="31" t="s">
        <v>5</v>
      </c>
      <c r="B5" s="32">
        <v>5</v>
      </c>
      <c r="C5" s="30"/>
      <c r="D5" s="30"/>
      <c r="E5" s="30"/>
      <c r="F5" s="30"/>
      <c r="G5" s="30"/>
      <c r="H5" s="30"/>
    </row>
    <row r="6" spans="1:8">
      <c r="A6" s="31" t="s">
        <v>6</v>
      </c>
      <c r="B6" s="32">
        <f>公众意见汇总!B4</f>
        <v>3</v>
      </c>
      <c r="C6" s="30"/>
      <c r="D6" s="30"/>
      <c r="E6" s="30"/>
      <c r="F6" s="30"/>
      <c r="G6" s="30"/>
      <c r="H6" s="30"/>
    </row>
    <row r="7" spans="1:8">
      <c r="A7" s="31" t="s">
        <v>7</v>
      </c>
      <c r="B7" s="32">
        <f>COUNTA(官方实施信息!A2:A15)</f>
        <v>14</v>
      </c>
      <c r="C7" s="30"/>
      <c r="D7" s="30"/>
      <c r="E7" s="30"/>
      <c r="F7" s="30"/>
      <c r="G7" s="30"/>
      <c r="H7" s="30"/>
    </row>
    <row r="8" spans="1:8">
      <c r="A8" s="31" t="s">
        <v>8</v>
      </c>
      <c r="B8" s="32">
        <v>0</v>
      </c>
      <c r="C8" s="30"/>
      <c r="D8" s="30"/>
      <c r="E8" s="30"/>
      <c r="F8" s="30"/>
      <c r="G8" s="30"/>
      <c r="H8" s="30"/>
    </row>
    <row r="9" spans="1:8">
      <c r="A9" s="31" t="s">
        <v>9</v>
      </c>
      <c r="B9" s="32">
        <v>0</v>
      </c>
      <c r="C9" s="30"/>
      <c r="D9" s="30"/>
      <c r="E9" s="30"/>
      <c r="F9" s="30"/>
      <c r="G9" s="30"/>
      <c r="H9" s="30"/>
    </row>
    <row r="10" spans="1:8">
      <c r="A10" s="31" t="s">
        <v>10</v>
      </c>
      <c r="B10" s="32">
        <v>0</v>
      </c>
      <c r="C10" s="30"/>
      <c r="D10" s="30"/>
      <c r="E10" s="30"/>
      <c r="F10" s="30"/>
      <c r="G10" s="30"/>
      <c r="H10" s="30"/>
    </row>
    <row r="11" spans="1:8">
      <c r="A11" s="33" t="s">
        <v>11</v>
      </c>
      <c r="B11" s="21"/>
      <c r="C11" s="30"/>
      <c r="D11" s="30"/>
      <c r="E11" s="30"/>
      <c r="F11" s="30"/>
      <c r="G11" s="30"/>
      <c r="H11" s="30"/>
    </row>
    <row r="12" spans="1:8">
      <c r="A12" s="22" t="s">
        <v>12</v>
      </c>
      <c r="B12" s="22"/>
      <c r="C12" s="34"/>
      <c r="D12" s="34"/>
      <c r="E12" s="34"/>
      <c r="F12" s="34"/>
      <c r="G12" s="34"/>
      <c r="H12" s="34"/>
    </row>
    <row r="13" spans="1:8">
      <c r="A13" s="35" t="s">
        <v>13</v>
      </c>
      <c r="B13" s="35"/>
      <c r="C13" s="36"/>
      <c r="D13" s="36"/>
      <c r="E13" s="36"/>
      <c r="F13" s="36"/>
      <c r="G13" s="36"/>
      <c r="H13" s="36"/>
    </row>
    <row r="14" spans="1:8">
      <c r="A14" s="35"/>
      <c r="B14" s="35"/>
      <c r="C14" s="36"/>
      <c r="D14" s="36"/>
      <c r="E14" s="36"/>
      <c r="F14" s="36"/>
      <c r="G14" s="36"/>
      <c r="H14" s="36"/>
    </row>
    <row r="15" spans="1:8">
      <c r="A15" s="35"/>
      <c r="B15" s="35"/>
      <c r="C15" s="36"/>
      <c r="D15" s="36"/>
      <c r="E15" s="36"/>
      <c r="F15" s="36"/>
      <c r="G15" s="36"/>
      <c r="H15" s="36"/>
    </row>
    <row r="16" spans="1:8">
      <c r="A16" s="35"/>
      <c r="B16" s="35"/>
      <c r="C16" s="36"/>
      <c r="D16" s="36"/>
      <c r="E16" s="36"/>
      <c r="F16" s="36"/>
      <c r="G16" s="36"/>
      <c r="H16" s="36"/>
    </row>
    <row r="17" spans="1:8">
      <c r="A17" s="35"/>
      <c r="B17" s="35"/>
      <c r="C17" s="36"/>
      <c r="D17" s="36"/>
      <c r="E17" s="36"/>
      <c r="F17" s="36"/>
      <c r="G17" s="36"/>
      <c r="H17" s="36"/>
    </row>
    <row r="18" spans="1:8">
      <c r="A18" s="35"/>
      <c r="B18" s="35"/>
      <c r="C18" s="36"/>
      <c r="D18" s="36"/>
      <c r="E18" s="36"/>
      <c r="F18" s="36"/>
      <c r="G18" s="36"/>
      <c r="H18" s="36"/>
    </row>
    <row r="19" spans="1:8">
      <c r="A19" s="21"/>
      <c r="B19" s="21"/>
      <c r="C19" s="30"/>
      <c r="D19" s="30"/>
      <c r="E19" s="30"/>
      <c r="F19" s="30"/>
      <c r="G19" s="30"/>
      <c r="H19" s="30"/>
    </row>
    <row r="20" spans="1:8">
      <c r="A20" s="22" t="s">
        <v>14</v>
      </c>
      <c r="B20" s="22"/>
      <c r="C20" s="34"/>
      <c r="D20" s="34"/>
      <c r="E20" s="34"/>
      <c r="F20" s="34"/>
      <c r="G20" s="34"/>
      <c r="H20" s="34"/>
    </row>
    <row r="21" spans="1:8">
      <c r="A21" s="37" t="s">
        <v>15</v>
      </c>
      <c r="B21" s="37"/>
      <c r="C21" s="38"/>
      <c r="D21" s="38"/>
      <c r="E21" s="38"/>
      <c r="F21" s="38"/>
      <c r="G21" s="38"/>
      <c r="H21" s="38"/>
    </row>
    <row r="22" spans="1:8">
      <c r="A22" s="38"/>
      <c r="B22" s="38"/>
      <c r="C22" s="38"/>
      <c r="D22" s="38"/>
      <c r="E22" s="38"/>
      <c r="F22" s="38"/>
      <c r="G22" s="38"/>
      <c r="H22" s="38"/>
    </row>
    <row r="23" spans="1:8">
      <c r="A23" s="38"/>
      <c r="B23" s="38"/>
      <c r="C23" s="38"/>
      <c r="D23" s="38"/>
      <c r="E23" s="38"/>
      <c r="F23" s="38"/>
      <c r="G23" s="38"/>
      <c r="H23" s="38"/>
    </row>
    <row r="24" spans="1:8">
      <c r="A24" s="38"/>
      <c r="B24" s="38"/>
      <c r="C24" s="38"/>
      <c r="D24" s="38"/>
      <c r="E24" s="38"/>
      <c r="F24" s="38"/>
      <c r="G24" s="38"/>
      <c r="H24" s="38"/>
    </row>
  </sheetData>
  <mergeCells count="5">
    <mergeCell ref="A1:H1"/>
    <mergeCell ref="A12:H12"/>
    <mergeCell ref="A20:H20"/>
    <mergeCell ref="A13:H18"/>
    <mergeCell ref="A21:H24"/>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6"/>
  <sheetViews>
    <sheetView workbookViewId="0">
      <selection activeCell="A1" sqref="A1"/>
    </sheetView>
  </sheetViews>
  <sheetFormatPr defaultColWidth="9" defaultRowHeight="14" outlineLevelRow="5"/>
  <cols>
    <col min="1" max="1" width="6" customWidth="1"/>
    <col min="2" max="3" width="12" customWidth="1"/>
    <col min="4" max="5" width="18" customWidth="1"/>
    <col min="6" max="6" width="17" customWidth="1"/>
    <col min="7" max="7" width="18" customWidth="1"/>
    <col min="8" max="8" width="12" customWidth="1"/>
    <col min="9" max="9" width="13" customWidth="1"/>
    <col min="10" max="10" width="38" customWidth="1"/>
    <col min="11" max="11" width="34" customWidth="1"/>
    <col min="12" max="12" width="42" customWidth="1"/>
    <col min="13" max="14" width="48" customWidth="1"/>
    <col min="15" max="15" width="9" customWidth="1"/>
    <col min="16" max="16" width="14" customWidth="1"/>
    <col min="17" max="17" width="34" customWidth="1"/>
    <col min="18" max="20" width="9" customWidth="1"/>
    <col min="21" max="21" width="18" customWidth="1"/>
    <col min="22" max="22" width="15" customWidth="1"/>
    <col min="23" max="23" width="42" customWidth="1"/>
    <col min="24" max="24" width="36" customWidth="1"/>
    <col min="25" max="25" width="14" customWidth="1"/>
  </cols>
  <sheetData>
    <row r="1" ht="26.45" customHeight="1" spans="1:25">
      <c r="A1" s="9" t="s">
        <v>16</v>
      </c>
      <c r="B1" s="9" t="s">
        <v>17</v>
      </c>
      <c r="C1" s="9" t="s">
        <v>18</v>
      </c>
      <c r="D1" s="9" t="s">
        <v>19</v>
      </c>
      <c r="E1" s="9" t="s">
        <v>20</v>
      </c>
      <c r="F1" s="9" t="s">
        <v>21</v>
      </c>
      <c r="G1" s="9" t="s">
        <v>22</v>
      </c>
      <c r="H1" s="9" t="s">
        <v>23</v>
      </c>
      <c r="I1" s="9" t="s">
        <v>24</v>
      </c>
      <c r="J1" s="9" t="s">
        <v>25</v>
      </c>
      <c r="K1" s="9" t="s">
        <v>26</v>
      </c>
      <c r="L1" s="9" t="s">
        <v>27</v>
      </c>
      <c r="M1" s="9" t="s">
        <v>28</v>
      </c>
      <c r="N1" s="9" t="s">
        <v>29</v>
      </c>
      <c r="O1" s="9" t="s">
        <v>30</v>
      </c>
      <c r="P1" s="9" t="s">
        <v>31</v>
      </c>
      <c r="Q1" s="9" t="s">
        <v>32</v>
      </c>
      <c r="R1" s="9" t="s">
        <v>33</v>
      </c>
      <c r="S1" s="9" t="s">
        <v>34</v>
      </c>
      <c r="T1" s="9" t="s">
        <v>35</v>
      </c>
      <c r="U1" s="9" t="s">
        <v>36</v>
      </c>
      <c r="V1" s="9" t="s">
        <v>37</v>
      </c>
      <c r="W1" s="9" t="s">
        <v>38</v>
      </c>
      <c r="X1" s="9" t="s">
        <v>39</v>
      </c>
      <c r="Y1" s="9" t="s">
        <v>40</v>
      </c>
    </row>
    <row r="2" ht="42" spans="1:25">
      <c r="A2" s="10">
        <v>2</v>
      </c>
      <c r="B2" s="11">
        <v>46218</v>
      </c>
      <c r="C2" s="10" t="s">
        <v>41</v>
      </c>
      <c r="D2" s="10" t="s">
        <v>42</v>
      </c>
      <c r="E2" s="10" t="s">
        <v>43</v>
      </c>
      <c r="F2" s="10" t="s">
        <v>44</v>
      </c>
      <c r="G2" s="10" t="s">
        <v>45</v>
      </c>
      <c r="H2" s="10" t="s">
        <v>45</v>
      </c>
      <c r="I2" s="10" t="s">
        <v>46</v>
      </c>
      <c r="J2" s="10" t="s">
        <v>47</v>
      </c>
      <c r="K2" s="10" t="s">
        <v>48</v>
      </c>
      <c r="L2" s="10" t="s">
        <v>49</v>
      </c>
      <c r="M2" s="10" t="s">
        <v>50</v>
      </c>
      <c r="N2" s="17" t="s">
        <v>51</v>
      </c>
      <c r="O2" s="10" t="s">
        <v>52</v>
      </c>
      <c r="P2" s="10" t="s">
        <v>53</v>
      </c>
      <c r="Q2" s="10" t="s">
        <v>54</v>
      </c>
      <c r="R2" s="10" t="s">
        <v>55</v>
      </c>
      <c r="S2" s="10" t="s">
        <v>55</v>
      </c>
      <c r="T2" s="10" t="s">
        <v>55</v>
      </c>
      <c r="U2" s="10" t="s">
        <v>56</v>
      </c>
      <c r="V2" s="10" t="s">
        <v>56</v>
      </c>
      <c r="W2" s="10" t="s">
        <v>57</v>
      </c>
      <c r="X2" s="10" t="s">
        <v>47</v>
      </c>
      <c r="Y2" s="10" t="s">
        <v>56</v>
      </c>
    </row>
    <row r="3" ht="42" spans="1:25">
      <c r="A3" s="10">
        <v>4</v>
      </c>
      <c r="B3" s="11">
        <v>46218</v>
      </c>
      <c r="C3" s="10" t="s">
        <v>41</v>
      </c>
      <c r="D3" s="10" t="s">
        <v>42</v>
      </c>
      <c r="E3" s="10" t="s">
        <v>43</v>
      </c>
      <c r="F3" s="10" t="s">
        <v>58</v>
      </c>
      <c r="G3" s="10" t="s">
        <v>45</v>
      </c>
      <c r="H3" s="10" t="s">
        <v>45</v>
      </c>
      <c r="I3" s="10" t="s">
        <v>46</v>
      </c>
      <c r="J3" s="10" t="s">
        <v>47</v>
      </c>
      <c r="K3" s="10" t="s">
        <v>59</v>
      </c>
      <c r="L3" s="10" t="s">
        <v>60</v>
      </c>
      <c r="M3" s="10" t="s">
        <v>61</v>
      </c>
      <c r="N3" s="17" t="s">
        <v>62</v>
      </c>
      <c r="O3" s="10" t="s">
        <v>52</v>
      </c>
      <c r="P3" s="10" t="s">
        <v>53</v>
      </c>
      <c r="Q3" s="10" t="s">
        <v>54</v>
      </c>
      <c r="R3" s="10" t="s">
        <v>55</v>
      </c>
      <c r="S3" s="10" t="s">
        <v>55</v>
      </c>
      <c r="T3" s="10" t="s">
        <v>55</v>
      </c>
      <c r="U3" s="10" t="s">
        <v>56</v>
      </c>
      <c r="V3" s="10" t="s">
        <v>56</v>
      </c>
      <c r="W3" s="10" t="s">
        <v>63</v>
      </c>
      <c r="X3" s="10" t="s">
        <v>47</v>
      </c>
      <c r="Y3" s="10" t="s">
        <v>56</v>
      </c>
    </row>
    <row r="4" ht="42" spans="1:25">
      <c r="A4" s="10">
        <v>6</v>
      </c>
      <c r="B4" s="11">
        <v>46213</v>
      </c>
      <c r="C4" s="10" t="s">
        <v>41</v>
      </c>
      <c r="D4" s="10" t="s">
        <v>64</v>
      </c>
      <c r="E4" s="10" t="s">
        <v>65</v>
      </c>
      <c r="F4" s="10" t="s">
        <v>66</v>
      </c>
      <c r="G4" s="10" t="s">
        <v>45</v>
      </c>
      <c r="H4" s="10" t="s">
        <v>45</v>
      </c>
      <c r="I4" s="10" t="s">
        <v>46</v>
      </c>
      <c r="J4" s="10" t="s">
        <v>47</v>
      </c>
      <c r="K4" s="10" t="s">
        <v>67</v>
      </c>
      <c r="L4" s="10" t="s">
        <v>68</v>
      </c>
      <c r="M4" s="10" t="s">
        <v>69</v>
      </c>
      <c r="N4" s="17" t="s">
        <v>70</v>
      </c>
      <c r="O4" s="10" t="s">
        <v>52</v>
      </c>
      <c r="P4" s="10" t="s">
        <v>71</v>
      </c>
      <c r="Q4" s="10" t="s">
        <v>72</v>
      </c>
      <c r="R4" s="10" t="s">
        <v>55</v>
      </c>
      <c r="S4" s="10" t="s">
        <v>55</v>
      </c>
      <c r="T4" s="10" t="s">
        <v>55</v>
      </c>
      <c r="U4" s="10" t="s">
        <v>56</v>
      </c>
      <c r="V4" s="10" t="s">
        <v>56</v>
      </c>
      <c r="W4" s="10" t="s">
        <v>73</v>
      </c>
      <c r="X4" s="10" t="s">
        <v>47</v>
      </c>
      <c r="Y4" s="10" t="s">
        <v>74</v>
      </c>
    </row>
    <row r="5" ht="28" spans="1:25">
      <c r="A5" s="10">
        <v>7</v>
      </c>
      <c r="B5" s="11">
        <v>46213</v>
      </c>
      <c r="C5" s="10" t="s">
        <v>41</v>
      </c>
      <c r="D5" s="10" t="s">
        <v>64</v>
      </c>
      <c r="E5" s="10" t="s">
        <v>65</v>
      </c>
      <c r="F5" s="10" t="s">
        <v>66</v>
      </c>
      <c r="G5" s="10" t="s">
        <v>45</v>
      </c>
      <c r="H5" s="10" t="s">
        <v>45</v>
      </c>
      <c r="I5" s="10" t="s">
        <v>46</v>
      </c>
      <c r="J5" s="10" t="s">
        <v>47</v>
      </c>
      <c r="K5" s="10" t="s">
        <v>75</v>
      </c>
      <c r="L5" s="10" t="s">
        <v>76</v>
      </c>
      <c r="M5" s="10" t="s">
        <v>77</v>
      </c>
      <c r="N5" s="17" t="s">
        <v>78</v>
      </c>
      <c r="O5" s="10" t="s">
        <v>52</v>
      </c>
      <c r="P5" s="10" t="s">
        <v>53</v>
      </c>
      <c r="Q5" s="10" t="s">
        <v>72</v>
      </c>
      <c r="R5" s="10" t="s">
        <v>55</v>
      </c>
      <c r="S5" s="10" t="s">
        <v>55</v>
      </c>
      <c r="T5" s="10" t="s">
        <v>55</v>
      </c>
      <c r="U5" s="10" t="s">
        <v>56</v>
      </c>
      <c r="V5" s="10" t="s">
        <v>56</v>
      </c>
      <c r="W5" s="10" t="s">
        <v>79</v>
      </c>
      <c r="X5" s="10" t="s">
        <v>47</v>
      </c>
      <c r="Y5" s="10" t="s">
        <v>74</v>
      </c>
    </row>
    <row r="6" ht="28" spans="1:25">
      <c r="A6" s="10">
        <v>8</v>
      </c>
      <c r="B6" s="11">
        <v>46213</v>
      </c>
      <c r="C6" s="10" t="s">
        <v>41</v>
      </c>
      <c r="D6" s="10" t="s">
        <v>64</v>
      </c>
      <c r="E6" s="10" t="s">
        <v>80</v>
      </c>
      <c r="F6" s="10" t="s">
        <v>66</v>
      </c>
      <c r="G6" s="10" t="s">
        <v>45</v>
      </c>
      <c r="H6" s="10" t="s">
        <v>45</v>
      </c>
      <c r="I6" s="10" t="s">
        <v>46</v>
      </c>
      <c r="J6" s="10" t="s">
        <v>47</v>
      </c>
      <c r="K6" s="10" t="s">
        <v>81</v>
      </c>
      <c r="L6" s="10" t="s">
        <v>82</v>
      </c>
      <c r="M6" s="10" t="s">
        <v>83</v>
      </c>
      <c r="N6" s="17" t="s">
        <v>84</v>
      </c>
      <c r="O6" s="10" t="s">
        <v>52</v>
      </c>
      <c r="P6" s="10" t="s">
        <v>53</v>
      </c>
      <c r="Q6" s="10" t="s">
        <v>85</v>
      </c>
      <c r="R6" s="10" t="s">
        <v>55</v>
      </c>
      <c r="S6" s="10" t="s">
        <v>55</v>
      </c>
      <c r="T6" s="10" t="s">
        <v>55</v>
      </c>
      <c r="U6" s="10" t="s">
        <v>56</v>
      </c>
      <c r="V6" s="10" t="s">
        <v>56</v>
      </c>
      <c r="W6" s="10" t="s">
        <v>86</v>
      </c>
      <c r="X6" s="10" t="s">
        <v>47</v>
      </c>
      <c r="Y6" s="10" t="s">
        <v>74</v>
      </c>
    </row>
  </sheetData>
  <conditionalFormatting sqref="P2:P3">
    <cfRule type="expression" dxfId="25" priority="1" stopIfTrue="1">
      <formula>P2="支持认可"</formula>
    </cfRule>
    <cfRule type="expression" dxfId="25" priority="2" stopIfTrue="1">
      <formula>P2="明确批评"</formula>
    </cfRule>
    <cfRule type="expression" dxfId="25" priority="3" stopIfTrue="1">
      <formula>P2="待核实信息"</formula>
    </cfRule>
  </conditionalFormatting>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
  <sheetViews>
    <sheetView workbookViewId="0">
      <selection activeCell="A1" sqref="A1:D1"/>
    </sheetView>
  </sheetViews>
  <sheetFormatPr defaultColWidth="9" defaultRowHeight="14" outlineLevelCol="3"/>
  <cols>
    <col min="1" max="1" width="34" customWidth="1"/>
    <col min="2" max="2" width="14" customWidth="1"/>
    <col min="3" max="3" width="52" customWidth="1"/>
    <col min="4" max="4" width="60" customWidth="1"/>
  </cols>
  <sheetData>
    <row r="1" ht="19.25" customHeight="1" spans="1:4">
      <c r="A1" s="20" t="s">
        <v>87</v>
      </c>
      <c r="B1" s="20"/>
      <c r="C1" s="20"/>
      <c r="D1" s="20"/>
    </row>
    <row r="2" spans="1:4">
      <c r="A2" s="21"/>
      <c r="B2" s="21"/>
      <c r="C2" s="21"/>
      <c r="D2" s="21"/>
    </row>
    <row r="3" ht="15" customHeight="1" spans="1:4">
      <c r="A3" s="22" t="s">
        <v>88</v>
      </c>
      <c r="B3" s="22" t="s">
        <v>89</v>
      </c>
      <c r="C3" s="21"/>
      <c r="D3" s="21"/>
    </row>
    <row r="4" ht="15" customHeight="1" spans="1:4">
      <c r="A4" s="23" t="s">
        <v>90</v>
      </c>
      <c r="B4" s="1">
        <f>COUNTIF(有效舆情明细!Y2:Y6,"是")</f>
        <v>3</v>
      </c>
      <c r="C4" s="21"/>
      <c r="D4" s="21"/>
    </row>
    <row r="5" ht="15" customHeight="1" spans="1:4">
      <c r="A5" s="23" t="s">
        <v>91</v>
      </c>
      <c r="B5" s="1">
        <f>COUNTIFS(有效舆情明细!Y2:Y6,"是",有效舆情明细!P2:P6,"支持认可")</f>
        <v>1</v>
      </c>
      <c r="C5" s="21"/>
      <c r="D5" s="21"/>
    </row>
    <row r="6" ht="15" customHeight="1" spans="1:4">
      <c r="A6" s="23" t="s">
        <v>92</v>
      </c>
      <c r="B6" s="1">
        <f>COUNTIFS(有效舆情明细!Y2:Y6,"是",有效舆情明细!P2:P6,"咨询疑问")</f>
        <v>0</v>
      </c>
      <c r="C6" s="21"/>
      <c r="D6" s="21"/>
    </row>
    <row r="7" ht="15" customHeight="1" spans="1:4">
      <c r="A7" s="23" t="s">
        <v>93</v>
      </c>
      <c r="B7" s="1">
        <f>COUNTIFS(有效舆情明细!Y2:Y6,"是",有效舆情明细!P2:P6,"担忧影响")</f>
        <v>0</v>
      </c>
      <c r="C7" s="21"/>
      <c r="D7" s="21"/>
    </row>
    <row r="8" ht="15" customHeight="1" spans="1:4">
      <c r="A8" s="23" t="s">
        <v>94</v>
      </c>
      <c r="B8" s="1">
        <f>COUNTIFS(有效舆情明细!Y2:Y6,"是",有效舆情明细!P2:P6,"明确批评")</f>
        <v>0</v>
      </c>
      <c r="C8" s="21"/>
      <c r="D8" s="21"/>
    </row>
    <row r="9" ht="15" customHeight="1" spans="1:4">
      <c r="A9" s="23" t="s">
        <v>95</v>
      </c>
      <c r="B9" s="1">
        <f>COUNTIFS(有效舆情明细!Y2:Y6,"是",有效舆情明细!P2:P6,"投诉维权")</f>
        <v>0</v>
      </c>
      <c r="C9" s="21"/>
      <c r="D9" s="21"/>
    </row>
    <row r="10" ht="15" customHeight="1" spans="1:4">
      <c r="A10" s="23" t="s">
        <v>96</v>
      </c>
      <c r="B10" s="1">
        <f>COUNTIFS(有效舆情明细!Y2:Y6,"是",有效舆情明细!P2:P6,"实施问题")</f>
        <v>0</v>
      </c>
      <c r="C10" s="21"/>
      <c r="D10" s="21"/>
    </row>
    <row r="11" ht="15" customHeight="1" spans="1:4">
      <c r="A11" s="23" t="s">
        <v>97</v>
      </c>
      <c r="B11" s="1">
        <f>COUNTIFS(有效舆情明细!Y2:Y6,"是",有效舆情明细!P2:P6,"公平争议")</f>
        <v>0</v>
      </c>
      <c r="C11" s="21"/>
      <c r="D11" s="21"/>
    </row>
    <row r="12" ht="15" customHeight="1" spans="1:4">
      <c r="A12" s="23" t="s">
        <v>98</v>
      </c>
      <c r="B12" s="1">
        <f>COUNTIFS(有效舆情明细!Y2:Y6,"是",有效舆情明细!P2:P6,"中性信息")</f>
        <v>2</v>
      </c>
      <c r="C12" s="21"/>
      <c r="D12" s="21"/>
    </row>
    <row r="13" ht="15" customHeight="1" spans="1:4">
      <c r="A13" s="23" t="s">
        <v>99</v>
      </c>
      <c r="B13" s="21" t="s">
        <v>100</v>
      </c>
      <c r="C13" s="21"/>
      <c r="D13" s="21"/>
    </row>
    <row r="14" spans="1:4">
      <c r="A14" s="21"/>
      <c r="B14" s="21"/>
      <c r="C14" s="21"/>
      <c r="D14" s="21"/>
    </row>
    <row r="15" ht="15" customHeight="1" spans="1:4">
      <c r="A15" s="22" t="s">
        <v>101</v>
      </c>
      <c r="B15" s="22"/>
      <c r="C15" s="22"/>
      <c r="D15" s="22"/>
    </row>
    <row r="16" spans="1:4">
      <c r="A16" s="21"/>
      <c r="B16" s="21"/>
      <c r="C16" s="21"/>
      <c r="D16" s="21"/>
    </row>
    <row r="17" ht="15" customHeight="1" spans="1:4">
      <c r="A17" s="24" t="s">
        <v>102</v>
      </c>
      <c r="B17" s="22" t="s">
        <v>103</v>
      </c>
      <c r="C17" s="22" t="s">
        <v>104</v>
      </c>
      <c r="D17" s="22" t="s">
        <v>105</v>
      </c>
    </row>
    <row r="18" ht="15" customHeight="1" spans="1:4">
      <c r="A18" s="25" t="s">
        <v>106</v>
      </c>
      <c r="B18" s="26">
        <v>1</v>
      </c>
      <c r="C18" s="27" t="s">
        <v>64</v>
      </c>
      <c r="D18" s="25" t="s">
        <v>107</v>
      </c>
    </row>
    <row r="19" ht="26.45" customHeight="1" spans="1:4">
      <c r="A19" s="25" t="s">
        <v>108</v>
      </c>
      <c r="B19" s="26">
        <v>2</v>
      </c>
      <c r="C19" s="27" t="s">
        <v>64</v>
      </c>
      <c r="D19" s="25" t="s">
        <v>109</v>
      </c>
    </row>
    <row r="20" ht="15" customHeight="1" spans="1:4">
      <c r="A20" s="25"/>
      <c r="B20" s="26"/>
      <c r="C20" s="27"/>
      <c r="D20" s="26"/>
    </row>
    <row r="21" ht="15" customHeight="1" spans="1:4">
      <c r="A21" s="25"/>
      <c r="B21" s="26"/>
      <c r="C21" s="27"/>
      <c r="D21" s="25"/>
    </row>
    <row r="22" ht="66" customHeight="1" spans="1:4">
      <c r="A22" s="25"/>
      <c r="B22" s="26"/>
      <c r="C22" s="27"/>
      <c r="D22" s="25"/>
    </row>
    <row r="23" ht="15" customHeight="1" spans="1:4">
      <c r="A23" s="25"/>
      <c r="B23" s="26"/>
      <c r="C23" s="27"/>
      <c r="D23" s="25"/>
    </row>
    <row r="24" spans="1:4">
      <c r="A24" s="21"/>
      <c r="B24" s="21"/>
      <c r="C24" s="21"/>
      <c r="D24" s="21"/>
    </row>
    <row r="25" spans="1:4">
      <c r="A25" s="21"/>
      <c r="B25" s="21"/>
      <c r="C25" s="21"/>
      <c r="D25" s="21"/>
    </row>
    <row r="26" ht="15" customHeight="1" spans="1:4">
      <c r="A26" s="28" t="s">
        <v>110</v>
      </c>
      <c r="B26" s="28"/>
      <c r="C26" s="28"/>
      <c r="D26" s="28"/>
    </row>
  </sheetData>
  <mergeCells count="3">
    <mergeCell ref="A1:D1"/>
    <mergeCell ref="A15:D15"/>
    <mergeCell ref="A26:D26"/>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5"/>
  <sheetViews>
    <sheetView workbookViewId="0">
      <selection activeCell="A1" sqref="A1"/>
    </sheetView>
  </sheetViews>
  <sheetFormatPr defaultColWidth="9" defaultRowHeight="14" outlineLevelCol="6"/>
  <cols>
    <col min="1" max="1" width="20" customWidth="1"/>
    <col min="2" max="2" width="28" customWidth="1"/>
    <col min="3" max="3" width="34" customWidth="1"/>
    <col min="4" max="4" width="13" customWidth="1"/>
    <col min="5" max="5" width="52" customWidth="1"/>
    <col min="6" max="6" width="48" customWidth="1"/>
    <col min="7" max="7" width="34" customWidth="1"/>
  </cols>
  <sheetData>
    <row r="1" ht="66" customHeight="1" spans="1:7">
      <c r="A1" s="3" t="s">
        <v>111</v>
      </c>
      <c r="B1" s="3" t="s">
        <v>112</v>
      </c>
      <c r="C1" s="3" t="s">
        <v>113</v>
      </c>
      <c r="D1" s="3" t="s">
        <v>17</v>
      </c>
      <c r="E1" s="3" t="s">
        <v>114</v>
      </c>
      <c r="F1" s="3" t="s">
        <v>29</v>
      </c>
      <c r="G1" s="3" t="s">
        <v>115</v>
      </c>
    </row>
    <row r="2" ht="79.25" customHeight="1" spans="1:7">
      <c r="A2" s="4" t="s">
        <v>116</v>
      </c>
      <c r="B2" s="4" t="s">
        <v>117</v>
      </c>
      <c r="C2" s="4" t="s">
        <v>118</v>
      </c>
      <c r="D2" s="5">
        <v>46207</v>
      </c>
      <c r="E2" s="4" t="s">
        <v>119</v>
      </c>
      <c r="F2" s="6" t="s">
        <v>120</v>
      </c>
      <c r="G2" s="4" t="s">
        <v>56</v>
      </c>
    </row>
    <row r="3" ht="92.45" customHeight="1" spans="1:7">
      <c r="A3" s="4" t="s">
        <v>116</v>
      </c>
      <c r="B3" s="4" t="s">
        <v>121</v>
      </c>
      <c r="C3" s="4" t="s">
        <v>122</v>
      </c>
      <c r="D3" s="5">
        <v>46220</v>
      </c>
      <c r="E3" s="4" t="s">
        <v>123</v>
      </c>
      <c r="F3" s="6" t="s">
        <v>124</v>
      </c>
      <c r="G3" s="4" t="s">
        <v>56</v>
      </c>
    </row>
    <row r="4" ht="118.8" customHeight="1" spans="1:7">
      <c r="A4" s="4" t="s">
        <v>116</v>
      </c>
      <c r="B4" s="4" t="s">
        <v>125</v>
      </c>
      <c r="C4" s="4" t="s">
        <v>126</v>
      </c>
      <c r="D4" s="5">
        <v>46227</v>
      </c>
      <c r="E4" s="4" t="s">
        <v>127</v>
      </c>
      <c r="F4" s="6" t="s">
        <v>128</v>
      </c>
      <c r="G4" s="4" t="s">
        <v>56</v>
      </c>
    </row>
    <row r="5" ht="132" customHeight="1" spans="1:7">
      <c r="A5" s="4" t="s">
        <v>129</v>
      </c>
      <c r="B5" s="4" t="s">
        <v>130</v>
      </c>
      <c r="C5" s="4" t="s">
        <v>131</v>
      </c>
      <c r="D5" s="5">
        <v>46227</v>
      </c>
      <c r="E5" s="4" t="s">
        <v>132</v>
      </c>
      <c r="F5" s="6" t="s">
        <v>133</v>
      </c>
      <c r="G5" s="4" t="s">
        <v>134</v>
      </c>
    </row>
    <row r="6" ht="118.8" customHeight="1" spans="1:7">
      <c r="A6" s="4" t="s">
        <v>135</v>
      </c>
      <c r="B6" s="4" t="s">
        <v>136</v>
      </c>
      <c r="C6" s="4" t="s">
        <v>137</v>
      </c>
      <c r="D6" s="5">
        <v>46232</v>
      </c>
      <c r="E6" s="4" t="s">
        <v>138</v>
      </c>
      <c r="F6" s="6" t="s">
        <v>139</v>
      </c>
      <c r="G6" s="4" t="s">
        <v>56</v>
      </c>
    </row>
    <row r="7" ht="118.8" customHeight="1" spans="1:7">
      <c r="A7" s="4" t="s">
        <v>140</v>
      </c>
      <c r="B7" s="4" t="s">
        <v>141</v>
      </c>
      <c r="C7" s="4" t="s">
        <v>142</v>
      </c>
      <c r="D7" s="5">
        <v>46232</v>
      </c>
      <c r="E7" s="4" t="s">
        <v>143</v>
      </c>
      <c r="F7" s="6" t="s">
        <v>139</v>
      </c>
      <c r="G7" s="4" t="s">
        <v>56</v>
      </c>
    </row>
    <row r="8" ht="66" customHeight="1" spans="1:7">
      <c r="A8" s="4" t="s">
        <v>116</v>
      </c>
      <c r="B8" s="4" t="s">
        <v>144</v>
      </c>
      <c r="C8" s="4" t="s">
        <v>145</v>
      </c>
      <c r="D8" s="5">
        <v>46234</v>
      </c>
      <c r="E8" s="4" t="s">
        <v>146</v>
      </c>
      <c r="F8" s="6" t="s">
        <v>147</v>
      </c>
      <c r="G8" s="4" t="s">
        <v>56</v>
      </c>
    </row>
    <row r="9" ht="118.8" customHeight="1" spans="1:7">
      <c r="A9" s="4" t="s">
        <v>148</v>
      </c>
      <c r="B9" s="4" t="s">
        <v>149</v>
      </c>
      <c r="C9" s="4" t="s">
        <v>150</v>
      </c>
      <c r="D9" s="5">
        <v>46208</v>
      </c>
      <c r="E9" s="4" t="s">
        <v>151</v>
      </c>
      <c r="F9" s="6" t="s">
        <v>152</v>
      </c>
      <c r="G9" s="4" t="s">
        <v>56</v>
      </c>
    </row>
    <row r="10" ht="118.8" customHeight="1" spans="1:7">
      <c r="A10" s="4" t="s">
        <v>153</v>
      </c>
      <c r="B10" s="4" t="s">
        <v>154</v>
      </c>
      <c r="C10" s="4" t="s">
        <v>155</v>
      </c>
      <c r="D10" s="5">
        <v>46209</v>
      </c>
      <c r="E10" s="4" t="s">
        <v>156</v>
      </c>
      <c r="F10" s="6" t="s">
        <v>157</v>
      </c>
      <c r="G10" s="4" t="s">
        <v>56</v>
      </c>
    </row>
    <row r="11" ht="92.45" customHeight="1" spans="1:7">
      <c r="A11" s="4" t="s">
        <v>153</v>
      </c>
      <c r="B11" s="4" t="s">
        <v>158</v>
      </c>
      <c r="C11" s="4" t="s">
        <v>159</v>
      </c>
      <c r="D11" s="5">
        <v>46232</v>
      </c>
      <c r="E11" s="4" t="s">
        <v>160</v>
      </c>
      <c r="F11" s="6" t="s">
        <v>161</v>
      </c>
      <c r="G11" s="4" t="s">
        <v>162</v>
      </c>
    </row>
    <row r="12" ht="118.8" customHeight="1" spans="1:7">
      <c r="A12" s="4" t="s">
        <v>163</v>
      </c>
      <c r="B12" s="4" t="s">
        <v>164</v>
      </c>
      <c r="C12" s="4" t="s">
        <v>165</v>
      </c>
      <c r="D12" s="5">
        <v>46220</v>
      </c>
      <c r="E12" s="4" t="s">
        <v>166</v>
      </c>
      <c r="F12" s="6" t="s">
        <v>167</v>
      </c>
      <c r="G12" s="4" t="s">
        <v>56</v>
      </c>
    </row>
    <row r="13" ht="118.8" customHeight="1" spans="1:7">
      <c r="A13" s="4" t="s">
        <v>168</v>
      </c>
      <c r="B13" s="4" t="s">
        <v>169</v>
      </c>
      <c r="C13" s="4" t="s">
        <v>170</v>
      </c>
      <c r="D13" s="5">
        <v>46234</v>
      </c>
      <c r="E13" s="4" t="s">
        <v>171</v>
      </c>
      <c r="F13" s="6" t="s">
        <v>172</v>
      </c>
      <c r="G13" s="4" t="s">
        <v>56</v>
      </c>
    </row>
    <row r="14" ht="105.6" customHeight="1" spans="1:7">
      <c r="A14" s="4" t="s">
        <v>173</v>
      </c>
      <c r="B14" s="4" t="s">
        <v>174</v>
      </c>
      <c r="C14" s="4" t="s">
        <v>175</v>
      </c>
      <c r="D14" s="5">
        <v>46237</v>
      </c>
      <c r="E14" s="4" t="s">
        <v>176</v>
      </c>
      <c r="F14" s="6" t="s">
        <v>177</v>
      </c>
      <c r="G14" s="4" t="s">
        <v>178</v>
      </c>
    </row>
    <row r="15" ht="92.45" customHeight="1" spans="1:7">
      <c r="A15" s="4" t="s">
        <v>179</v>
      </c>
      <c r="B15" s="4" t="s">
        <v>180</v>
      </c>
      <c r="C15" s="4" t="s">
        <v>181</v>
      </c>
      <c r="D15" s="5">
        <v>46219</v>
      </c>
      <c r="E15" s="4" t="s">
        <v>182</v>
      </c>
      <c r="F15" s="6" t="s">
        <v>183</v>
      </c>
      <c r="G15" s="4" t="s">
        <v>184</v>
      </c>
    </row>
  </sheetData>
  <pageMargins left="0.7" right="0.7" top="0.75" bottom="0.75" header="0.3" footer="0.3"/>
  <headerFooter/>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39"/>
  <sheetViews>
    <sheetView workbookViewId="0">
      <selection activeCell="A1" sqref="A1"/>
    </sheetView>
  </sheetViews>
  <sheetFormatPr defaultColWidth="9" defaultRowHeight="14"/>
  <cols>
    <col min="1" max="1" width="7" customWidth="1"/>
    <col min="2" max="2" width="15" customWidth="1"/>
    <col min="3" max="3" width="24" customWidth="1"/>
    <col min="4" max="4" width="38" customWidth="1"/>
    <col min="5" max="5" width="48" customWidth="1"/>
    <col min="6" max="6" width="20" customWidth="1"/>
    <col min="7" max="7" width="48" customWidth="1"/>
  </cols>
  <sheetData>
    <row r="1" ht="26.45" customHeight="1" spans="1:25">
      <c r="A1" s="9" t="s">
        <v>185</v>
      </c>
      <c r="B1" s="9" t="s">
        <v>186</v>
      </c>
      <c r="C1" s="9" t="s">
        <v>19</v>
      </c>
      <c r="D1" s="9" t="s">
        <v>187</v>
      </c>
      <c r="E1" s="9" t="s">
        <v>29</v>
      </c>
      <c r="F1" s="9" t="s">
        <v>188</v>
      </c>
      <c r="G1" s="9" t="s">
        <v>105</v>
      </c>
    </row>
    <row r="2" ht="158.45" customHeight="1" spans="1:25">
      <c r="A2" s="10">
        <v>1</v>
      </c>
      <c r="B2" s="16" t="s">
        <v>189</v>
      </c>
      <c r="C2" s="10" t="s">
        <v>42</v>
      </c>
      <c r="D2" s="10" t="s">
        <v>190</v>
      </c>
      <c r="E2" s="17" t="s">
        <v>191</v>
      </c>
      <c r="F2" s="13" t="s">
        <v>192</v>
      </c>
      <c r="G2" s="10"/>
      <c r="H2" s="4"/>
      <c r="I2" s="4"/>
      <c r="J2" s="4"/>
      <c r="L2" s="4"/>
      <c r="M2" s="4"/>
      <c r="O2" s="4"/>
      <c r="P2" s="4"/>
      <c r="Q2" s="4"/>
      <c r="R2" s="4"/>
      <c r="S2" s="4"/>
      <c r="T2" s="4"/>
      <c r="U2" s="4"/>
      <c r="V2" s="4"/>
      <c r="W2" s="4"/>
      <c r="X2" s="4"/>
      <c r="Y2" s="4"/>
    </row>
    <row r="3" ht="92.45" customHeight="1" spans="1:25">
      <c r="A3" s="10">
        <v>2</v>
      </c>
      <c r="B3" s="16" t="s">
        <v>193</v>
      </c>
      <c r="C3" s="10" t="s">
        <v>42</v>
      </c>
      <c r="D3" s="10" t="s">
        <v>194</v>
      </c>
      <c r="E3" s="17" t="s">
        <v>195</v>
      </c>
      <c r="F3" s="13" t="s">
        <v>192</v>
      </c>
      <c r="G3" s="10"/>
      <c r="H3" s="4"/>
      <c r="I3" s="4"/>
      <c r="J3" s="4"/>
      <c r="L3" s="4"/>
      <c r="M3" s="4"/>
      <c r="O3" s="4"/>
      <c r="P3" s="4"/>
      <c r="Q3" s="4"/>
      <c r="R3" s="4"/>
      <c r="S3" s="4"/>
      <c r="T3" s="4"/>
      <c r="U3" s="4"/>
      <c r="V3" s="4"/>
      <c r="W3" s="4"/>
      <c r="X3" s="4"/>
      <c r="Y3" s="4"/>
    </row>
    <row r="4" ht="28" spans="1:25">
      <c r="A4" s="10">
        <v>3</v>
      </c>
      <c r="B4" s="16">
        <v>46087</v>
      </c>
      <c r="C4" s="10" t="s">
        <v>42</v>
      </c>
      <c r="D4" s="10" t="s">
        <v>196</v>
      </c>
      <c r="E4" s="17" t="s">
        <v>197</v>
      </c>
      <c r="F4" s="13" t="s">
        <v>192</v>
      </c>
      <c r="G4" s="10"/>
      <c r="H4" s="4"/>
      <c r="I4" s="4"/>
      <c r="J4" s="4"/>
      <c r="L4" s="4"/>
      <c r="M4" s="4"/>
      <c r="O4" s="4"/>
      <c r="P4" s="4"/>
      <c r="Q4" s="4"/>
      <c r="R4" s="4"/>
      <c r="S4" s="4"/>
      <c r="T4" s="4"/>
      <c r="U4" s="4"/>
      <c r="V4" s="4"/>
      <c r="W4" s="4"/>
      <c r="X4" s="4"/>
      <c r="Y4" s="4"/>
    </row>
    <row r="5" ht="56" spans="1:25">
      <c r="A5" s="10">
        <v>4</v>
      </c>
      <c r="B5" s="16">
        <v>43869</v>
      </c>
      <c r="C5" s="10" t="s">
        <v>42</v>
      </c>
      <c r="D5" s="10" t="s">
        <v>198</v>
      </c>
      <c r="E5" s="17" t="s">
        <v>199</v>
      </c>
      <c r="F5" s="13" t="s">
        <v>192</v>
      </c>
      <c r="G5" s="10"/>
      <c r="H5" s="4"/>
      <c r="I5" s="4"/>
      <c r="J5" s="4"/>
      <c r="L5" s="4"/>
      <c r="M5" s="4"/>
      <c r="O5" s="4"/>
      <c r="P5" s="4"/>
      <c r="Q5" s="4"/>
      <c r="R5" s="4"/>
      <c r="S5" s="4"/>
      <c r="T5" s="4"/>
      <c r="U5" s="4"/>
      <c r="V5" s="4"/>
      <c r="W5" s="4"/>
      <c r="X5" s="4"/>
      <c r="Y5" s="4"/>
    </row>
    <row r="6" spans="1:25">
      <c r="A6" s="10">
        <v>5</v>
      </c>
      <c r="B6" s="16" t="s">
        <v>200</v>
      </c>
      <c r="C6" s="10" t="s">
        <v>42</v>
      </c>
      <c r="D6" s="10" t="s">
        <v>201</v>
      </c>
      <c r="E6" s="17" t="s">
        <v>202</v>
      </c>
      <c r="F6" s="13" t="s">
        <v>192</v>
      </c>
      <c r="G6" s="10"/>
      <c r="H6" s="4"/>
      <c r="I6" s="4"/>
      <c r="J6" s="4"/>
      <c r="L6" s="4"/>
      <c r="M6" s="4"/>
      <c r="O6" s="4"/>
      <c r="P6" s="4"/>
      <c r="Q6" s="4"/>
      <c r="R6" s="4"/>
      <c r="S6" s="4"/>
      <c r="T6" s="4"/>
      <c r="U6" s="4"/>
      <c r="V6" s="4"/>
      <c r="W6" s="4"/>
      <c r="X6" s="4"/>
      <c r="Y6" s="4"/>
    </row>
    <row r="7" ht="28" spans="1:25">
      <c r="A7" s="10">
        <v>6</v>
      </c>
      <c r="B7" s="16">
        <v>45781</v>
      </c>
      <c r="C7" s="10" t="s">
        <v>42</v>
      </c>
      <c r="D7" s="10" t="s">
        <v>203</v>
      </c>
      <c r="E7" s="17" t="s">
        <v>204</v>
      </c>
      <c r="F7" s="13" t="s">
        <v>192</v>
      </c>
      <c r="G7" s="10"/>
      <c r="H7" s="4"/>
      <c r="I7" s="4"/>
      <c r="J7" s="4"/>
      <c r="L7" s="4"/>
      <c r="M7" s="4"/>
      <c r="O7" s="4"/>
      <c r="P7" s="4"/>
      <c r="Q7" s="4"/>
      <c r="R7" s="4"/>
      <c r="S7" s="4"/>
      <c r="T7" s="4"/>
      <c r="U7" s="4"/>
      <c r="V7" s="4"/>
      <c r="W7" s="4"/>
      <c r="X7" s="4"/>
      <c r="Y7" s="4"/>
    </row>
    <row r="8" spans="1:25">
      <c r="A8" s="10">
        <v>7</v>
      </c>
      <c r="B8" s="16" t="s">
        <v>200</v>
      </c>
      <c r="C8" s="10" t="s">
        <v>42</v>
      </c>
      <c r="D8" s="10" t="s">
        <v>205</v>
      </c>
      <c r="E8" s="17" t="s">
        <v>206</v>
      </c>
      <c r="F8" s="13" t="s">
        <v>192</v>
      </c>
      <c r="G8" s="10"/>
      <c r="H8" s="4"/>
      <c r="I8" s="4"/>
      <c r="J8" s="4"/>
      <c r="L8" s="4"/>
      <c r="M8" s="4"/>
      <c r="O8" s="4"/>
      <c r="P8" s="4"/>
      <c r="Q8" s="4"/>
      <c r="R8" s="4"/>
      <c r="S8" s="4"/>
      <c r="T8" s="4"/>
      <c r="U8" s="4"/>
      <c r="V8" s="4"/>
      <c r="W8" s="4"/>
      <c r="X8" s="4"/>
      <c r="Y8" s="4"/>
    </row>
    <row r="9" ht="28" spans="1:25">
      <c r="A9" s="10">
        <v>8</v>
      </c>
      <c r="B9" s="16" t="s">
        <v>207</v>
      </c>
      <c r="C9" s="10" t="s">
        <v>42</v>
      </c>
      <c r="D9" s="10" t="s">
        <v>208</v>
      </c>
      <c r="E9" s="17" t="s">
        <v>209</v>
      </c>
      <c r="F9" s="13" t="s">
        <v>192</v>
      </c>
      <c r="G9" s="10"/>
      <c r="H9" s="4"/>
      <c r="I9" s="4"/>
      <c r="J9" s="4"/>
      <c r="L9" s="4"/>
      <c r="M9" s="4"/>
      <c r="O9" s="4"/>
      <c r="P9" s="4"/>
      <c r="Q9" s="4"/>
      <c r="R9" s="4"/>
      <c r="S9" s="4"/>
      <c r="T9" s="4"/>
      <c r="U9" s="4"/>
      <c r="V9" s="4"/>
      <c r="W9" s="4"/>
      <c r="X9" s="4"/>
      <c r="Y9" s="4"/>
    </row>
    <row r="10" ht="42" spans="1:25">
      <c r="A10" s="10">
        <v>9</v>
      </c>
      <c r="B10" s="16">
        <v>45743</v>
      </c>
      <c r="C10" s="10" t="s">
        <v>42</v>
      </c>
      <c r="D10" s="10" t="s">
        <v>210</v>
      </c>
      <c r="E10" s="17" t="s">
        <v>211</v>
      </c>
      <c r="F10" s="13" t="s">
        <v>192</v>
      </c>
      <c r="G10" s="10"/>
      <c r="H10" s="4"/>
      <c r="I10" s="4"/>
      <c r="J10" s="4"/>
      <c r="L10" s="4"/>
      <c r="M10" s="4"/>
      <c r="O10" s="4"/>
      <c r="P10" s="4"/>
      <c r="Q10" s="4"/>
      <c r="R10" s="4"/>
      <c r="S10" s="4"/>
      <c r="T10" s="4"/>
      <c r="U10" s="4"/>
      <c r="V10" s="4"/>
      <c r="W10" s="4"/>
      <c r="X10" s="4"/>
      <c r="Y10" s="4"/>
    </row>
    <row r="11" spans="1:25">
      <c r="A11" s="10">
        <v>10</v>
      </c>
      <c r="B11" s="16">
        <v>45743</v>
      </c>
      <c r="C11" s="10" t="s">
        <v>42</v>
      </c>
      <c r="D11" s="10" t="s">
        <v>212</v>
      </c>
      <c r="E11" s="17" t="s">
        <v>213</v>
      </c>
      <c r="F11" s="13" t="s">
        <v>192</v>
      </c>
      <c r="G11" s="10"/>
      <c r="H11" s="4"/>
      <c r="I11" s="4"/>
      <c r="J11" s="4"/>
      <c r="L11" s="4"/>
      <c r="M11" s="4"/>
      <c r="O11" s="4"/>
      <c r="P11" s="4"/>
      <c r="Q11" s="4"/>
      <c r="R11" s="4"/>
      <c r="S11" s="4"/>
      <c r="T11" s="4"/>
      <c r="U11" s="4"/>
      <c r="V11" s="4"/>
      <c r="W11" s="4"/>
      <c r="X11" s="4"/>
      <c r="Y11" s="4"/>
    </row>
    <row r="12" ht="28" spans="1:25">
      <c r="A12" s="10">
        <v>11</v>
      </c>
      <c r="B12" s="16" t="s">
        <v>214</v>
      </c>
      <c r="C12" s="10" t="s">
        <v>42</v>
      </c>
      <c r="D12" s="10" t="s">
        <v>215</v>
      </c>
      <c r="E12" s="17" t="s">
        <v>216</v>
      </c>
      <c r="F12" s="13" t="s">
        <v>192</v>
      </c>
      <c r="G12" s="10"/>
      <c r="H12" s="4"/>
      <c r="I12" s="4"/>
      <c r="J12" s="4"/>
      <c r="L12" s="4"/>
      <c r="M12" s="4"/>
      <c r="O12" s="4"/>
      <c r="P12" s="4"/>
      <c r="Q12" s="4"/>
      <c r="R12" s="4"/>
      <c r="S12" s="4"/>
      <c r="T12" s="4"/>
      <c r="U12" s="4"/>
      <c r="V12" s="4"/>
      <c r="W12" s="4"/>
      <c r="X12" s="4"/>
      <c r="Y12" s="4"/>
    </row>
    <row r="13" ht="28" spans="1:25">
      <c r="A13" s="10">
        <v>12</v>
      </c>
      <c r="B13" s="16" t="s">
        <v>214</v>
      </c>
      <c r="C13" s="10" t="s">
        <v>42</v>
      </c>
      <c r="D13" s="10" t="s">
        <v>217</v>
      </c>
      <c r="E13" s="17" t="s">
        <v>218</v>
      </c>
      <c r="F13" s="13" t="s">
        <v>192</v>
      </c>
      <c r="G13" s="10"/>
      <c r="H13" s="4"/>
      <c r="I13" s="4"/>
      <c r="J13" s="4"/>
      <c r="L13" s="4"/>
      <c r="M13" s="4"/>
      <c r="O13" s="4"/>
      <c r="P13" s="4"/>
      <c r="Q13" s="4"/>
      <c r="R13" s="4"/>
      <c r="S13" s="4"/>
      <c r="T13" s="4"/>
      <c r="U13" s="4"/>
      <c r="V13" s="4"/>
      <c r="W13" s="4"/>
      <c r="X13" s="4"/>
      <c r="Y13" s="4"/>
    </row>
    <row r="14" spans="1:25">
      <c r="A14" s="10">
        <v>13</v>
      </c>
      <c r="B14" s="16" t="s">
        <v>219</v>
      </c>
      <c r="C14" s="10" t="s">
        <v>42</v>
      </c>
      <c r="D14" s="10" t="s">
        <v>220</v>
      </c>
      <c r="E14" s="17" t="s">
        <v>221</v>
      </c>
      <c r="F14" s="13" t="s">
        <v>192</v>
      </c>
      <c r="G14" s="10"/>
      <c r="H14" s="4"/>
      <c r="I14" s="4"/>
      <c r="J14" s="4"/>
      <c r="L14" s="4"/>
      <c r="M14" s="4"/>
      <c r="O14" s="4"/>
      <c r="P14" s="4"/>
      <c r="Q14" s="4"/>
      <c r="R14" s="4"/>
      <c r="S14" s="4"/>
      <c r="T14" s="4"/>
      <c r="U14" s="4"/>
      <c r="V14" s="4"/>
      <c r="W14" s="4"/>
      <c r="X14" s="4"/>
      <c r="Y14" s="4"/>
    </row>
    <row r="15" spans="1:25">
      <c r="A15" s="10">
        <v>14</v>
      </c>
      <c r="B15" s="16" t="s">
        <v>222</v>
      </c>
      <c r="C15" s="10" t="s">
        <v>42</v>
      </c>
      <c r="D15" s="10" t="s">
        <v>223</v>
      </c>
      <c r="E15" s="17" t="s">
        <v>224</v>
      </c>
      <c r="F15" s="13" t="s">
        <v>192</v>
      </c>
      <c r="G15" s="10"/>
      <c r="H15" s="4"/>
      <c r="I15" s="4"/>
      <c r="J15" s="4"/>
      <c r="L15" s="4"/>
      <c r="M15" s="4"/>
      <c r="O15" s="4"/>
      <c r="P15" s="4"/>
      <c r="Q15" s="4"/>
      <c r="R15" s="4"/>
      <c r="S15" s="4"/>
      <c r="T15" s="4"/>
      <c r="U15" s="4"/>
      <c r="V15" s="4"/>
      <c r="W15" s="4"/>
      <c r="X15" s="4"/>
      <c r="Y15" s="4"/>
    </row>
    <row r="16" ht="28" spans="1:25">
      <c r="A16" s="10">
        <v>15</v>
      </c>
      <c r="B16" s="16" t="s">
        <v>225</v>
      </c>
      <c r="C16" s="10" t="s">
        <v>42</v>
      </c>
      <c r="D16" s="10" t="s">
        <v>226</v>
      </c>
      <c r="E16" s="17" t="s">
        <v>227</v>
      </c>
      <c r="F16" s="13" t="s">
        <v>192</v>
      </c>
      <c r="G16" s="10"/>
      <c r="H16" s="4"/>
      <c r="I16" s="4"/>
      <c r="J16" s="4"/>
      <c r="L16" s="4"/>
      <c r="M16" s="4"/>
      <c r="O16" s="4"/>
      <c r="P16" s="4"/>
      <c r="Q16" s="4"/>
      <c r="R16" s="4"/>
      <c r="S16" s="4"/>
      <c r="T16" s="4"/>
      <c r="U16" s="4"/>
      <c r="V16" s="4"/>
      <c r="W16" s="4"/>
      <c r="X16" s="4"/>
      <c r="Y16" s="4"/>
    </row>
    <row r="17" ht="28" spans="1:25">
      <c r="A17" s="10">
        <v>16</v>
      </c>
      <c r="B17" s="16" t="s">
        <v>228</v>
      </c>
      <c r="C17" s="10" t="s">
        <v>42</v>
      </c>
      <c r="D17" s="10" t="s">
        <v>229</v>
      </c>
      <c r="E17" s="17" t="s">
        <v>230</v>
      </c>
      <c r="F17" s="13" t="s">
        <v>192</v>
      </c>
      <c r="G17" s="10"/>
      <c r="H17" s="4"/>
      <c r="I17" s="4"/>
      <c r="J17" s="4"/>
      <c r="L17" s="4"/>
      <c r="M17" s="4"/>
      <c r="O17" s="4"/>
      <c r="P17" s="4"/>
      <c r="Q17" s="4"/>
      <c r="R17" s="4"/>
      <c r="S17" s="4"/>
      <c r="T17" s="4"/>
      <c r="U17" s="4"/>
      <c r="V17" s="4"/>
      <c r="W17" s="4"/>
      <c r="X17" s="4"/>
      <c r="Y17" s="4"/>
    </row>
    <row r="18" ht="28" spans="1:25">
      <c r="A18" s="10">
        <v>17</v>
      </c>
      <c r="B18" s="16">
        <v>45184</v>
      </c>
      <c r="C18" s="10" t="s">
        <v>42</v>
      </c>
      <c r="D18" s="10" t="s">
        <v>231</v>
      </c>
      <c r="E18" s="17" t="s">
        <v>232</v>
      </c>
      <c r="F18" s="13" t="s">
        <v>192</v>
      </c>
      <c r="G18" s="10"/>
      <c r="H18" s="4"/>
      <c r="I18" s="4"/>
      <c r="J18" s="4"/>
      <c r="L18" s="4"/>
      <c r="M18" s="4"/>
      <c r="O18" s="4"/>
      <c r="P18" s="4"/>
      <c r="Q18" s="4"/>
      <c r="R18" s="4"/>
      <c r="S18" s="4"/>
      <c r="T18" s="4"/>
      <c r="U18" s="4"/>
      <c r="V18" s="4"/>
      <c r="W18" s="4"/>
      <c r="X18" s="4"/>
      <c r="Y18" s="4"/>
    </row>
    <row r="19" spans="1:25">
      <c r="A19" s="10">
        <v>18</v>
      </c>
      <c r="B19" s="16" t="s">
        <v>233</v>
      </c>
      <c r="C19" s="10" t="s">
        <v>42</v>
      </c>
      <c r="D19" s="10" t="s">
        <v>234</v>
      </c>
      <c r="E19" s="17" t="s">
        <v>235</v>
      </c>
      <c r="F19" s="13" t="s">
        <v>192</v>
      </c>
      <c r="G19" s="10"/>
      <c r="H19" s="4"/>
      <c r="I19" s="4"/>
      <c r="J19" s="4"/>
      <c r="L19" s="4"/>
      <c r="M19" s="4"/>
      <c r="O19" s="4"/>
      <c r="P19" s="4"/>
      <c r="Q19" s="4"/>
      <c r="R19" s="4"/>
      <c r="S19" s="4"/>
      <c r="T19" s="4"/>
      <c r="U19" s="4"/>
      <c r="V19" s="4"/>
      <c r="W19" s="4"/>
      <c r="X19" s="4"/>
      <c r="Y19" s="4"/>
    </row>
    <row r="20" spans="1:25">
      <c r="A20" s="10">
        <v>19</v>
      </c>
      <c r="B20" s="16">
        <v>43975</v>
      </c>
      <c r="C20" s="10" t="s">
        <v>42</v>
      </c>
      <c r="D20" s="10" t="s">
        <v>236</v>
      </c>
      <c r="E20" s="17" t="s">
        <v>237</v>
      </c>
      <c r="F20" s="13" t="s">
        <v>192</v>
      </c>
      <c r="G20" s="10"/>
      <c r="H20" s="4"/>
      <c r="I20" s="4"/>
      <c r="J20" s="4"/>
      <c r="L20" s="4"/>
      <c r="M20" s="4"/>
      <c r="O20" s="4"/>
      <c r="P20" s="4"/>
      <c r="Q20" s="4"/>
      <c r="R20" s="4"/>
      <c r="S20" s="4"/>
      <c r="T20" s="4"/>
      <c r="U20" s="4"/>
      <c r="V20" s="4"/>
      <c r="W20" s="4"/>
      <c r="X20" s="4"/>
      <c r="Y20" s="4"/>
    </row>
    <row r="21" spans="1:25">
      <c r="A21" s="10">
        <v>20</v>
      </c>
      <c r="B21" s="16" t="s">
        <v>238</v>
      </c>
      <c r="C21" s="10" t="s">
        <v>42</v>
      </c>
      <c r="D21" s="10" t="s">
        <v>239</v>
      </c>
      <c r="E21" s="17" t="s">
        <v>240</v>
      </c>
      <c r="F21" s="13" t="s">
        <v>192</v>
      </c>
      <c r="G21" s="10"/>
      <c r="H21" s="4"/>
      <c r="I21" s="4"/>
      <c r="J21" s="4"/>
      <c r="L21" s="4"/>
      <c r="M21" s="4"/>
      <c r="O21" s="4"/>
      <c r="P21" s="4"/>
      <c r="Q21" s="4"/>
      <c r="R21" s="4"/>
      <c r="S21" s="4"/>
      <c r="T21" s="4"/>
      <c r="U21" s="4"/>
      <c r="V21" s="4"/>
      <c r="W21" s="4"/>
      <c r="X21" s="4"/>
      <c r="Y21" s="4"/>
    </row>
    <row r="22" ht="28" spans="1:25">
      <c r="A22" s="10">
        <v>21</v>
      </c>
      <c r="B22" s="16" t="s">
        <v>241</v>
      </c>
      <c r="C22" s="1"/>
      <c r="D22" s="10" t="s">
        <v>242</v>
      </c>
      <c r="E22" s="17" t="s">
        <v>243</v>
      </c>
      <c r="F22" s="13" t="s">
        <v>192</v>
      </c>
      <c r="G22" s="10"/>
      <c r="H22" s="4"/>
      <c r="I22" s="4"/>
      <c r="J22" s="4"/>
      <c r="L22" s="4"/>
      <c r="M22" s="4"/>
      <c r="O22" s="4"/>
      <c r="P22" s="4"/>
      <c r="Q22" s="4"/>
      <c r="R22" s="4"/>
      <c r="S22" s="4"/>
      <c r="T22" s="4"/>
      <c r="U22" s="4"/>
      <c r="V22" s="4"/>
      <c r="W22" s="4"/>
      <c r="X22" s="4"/>
      <c r="Y22" s="4"/>
    </row>
    <row r="23" ht="84" spans="1:25">
      <c r="A23" s="10">
        <v>22</v>
      </c>
      <c r="B23" s="16">
        <v>46126</v>
      </c>
      <c r="C23" s="1" t="s">
        <v>244</v>
      </c>
      <c r="D23" s="10" t="s">
        <v>245</v>
      </c>
      <c r="E23" s="17" t="s">
        <v>246</v>
      </c>
      <c r="F23" s="13" t="s">
        <v>192</v>
      </c>
      <c r="G23" s="10"/>
      <c r="H23" s="4"/>
      <c r="I23" s="4"/>
      <c r="J23" s="4"/>
      <c r="L23" s="4"/>
      <c r="M23" s="4"/>
      <c r="O23" s="4"/>
      <c r="P23" s="4"/>
      <c r="Q23" s="4"/>
      <c r="R23" s="4"/>
      <c r="S23" s="4"/>
      <c r="T23" s="4"/>
      <c r="U23" s="4"/>
      <c r="V23" s="4"/>
      <c r="W23" s="4"/>
      <c r="X23" s="4"/>
      <c r="Y23" s="4"/>
    </row>
    <row r="24" ht="84" spans="1:25">
      <c r="A24" s="10">
        <v>23</v>
      </c>
      <c r="B24" s="16">
        <v>46134</v>
      </c>
      <c r="C24" s="1" t="s">
        <v>244</v>
      </c>
      <c r="D24" s="10" t="s">
        <v>247</v>
      </c>
      <c r="E24" s="17" t="s">
        <v>248</v>
      </c>
      <c r="F24" s="13" t="s">
        <v>192</v>
      </c>
      <c r="G24" s="10"/>
      <c r="H24" s="4"/>
      <c r="I24" s="4"/>
      <c r="J24" s="4"/>
      <c r="L24" s="4"/>
      <c r="M24" s="4"/>
      <c r="O24" s="4"/>
      <c r="P24" s="4"/>
      <c r="Q24" s="4"/>
      <c r="R24" s="4"/>
      <c r="S24" s="4"/>
      <c r="T24" s="4"/>
      <c r="U24" s="4"/>
      <c r="V24" s="4"/>
      <c r="W24" s="4"/>
      <c r="X24" s="4"/>
      <c r="Y24" s="4"/>
    </row>
    <row r="25" ht="70" spans="1:25">
      <c r="A25" s="10">
        <v>24</v>
      </c>
      <c r="B25" s="16">
        <v>44710</v>
      </c>
      <c r="C25" s="1" t="s">
        <v>244</v>
      </c>
      <c r="D25" s="10" t="s">
        <v>249</v>
      </c>
      <c r="E25" s="17" t="s">
        <v>250</v>
      </c>
      <c r="F25" s="13" t="s">
        <v>192</v>
      </c>
      <c r="G25" s="10"/>
      <c r="H25" s="4"/>
      <c r="I25" s="4"/>
      <c r="J25" s="4"/>
      <c r="L25" s="4"/>
      <c r="M25" s="4"/>
      <c r="O25" s="4"/>
      <c r="P25" s="4"/>
      <c r="Q25" s="4"/>
      <c r="R25" s="4"/>
      <c r="S25" s="4"/>
      <c r="T25" s="4"/>
      <c r="U25" s="4"/>
      <c r="V25" s="4"/>
      <c r="W25" s="4"/>
      <c r="X25" s="4"/>
      <c r="Y25" s="4"/>
    </row>
    <row r="26" ht="70" spans="1:25">
      <c r="A26" s="10">
        <v>25</v>
      </c>
      <c r="B26" s="16" t="s">
        <v>251</v>
      </c>
      <c r="C26" s="1" t="s">
        <v>244</v>
      </c>
      <c r="D26" s="10" t="s">
        <v>252</v>
      </c>
      <c r="E26" s="17" t="s">
        <v>253</v>
      </c>
      <c r="F26" s="13" t="s">
        <v>192</v>
      </c>
      <c r="G26" s="10"/>
      <c r="H26" s="4"/>
      <c r="I26" s="4"/>
      <c r="J26" s="4"/>
      <c r="L26" s="4"/>
      <c r="M26" s="4"/>
      <c r="O26" s="4"/>
      <c r="P26" s="4"/>
      <c r="Q26" s="4"/>
      <c r="R26" s="4"/>
      <c r="S26" s="4"/>
      <c r="T26" s="4"/>
      <c r="U26" s="4"/>
      <c r="V26" s="4"/>
      <c r="W26" s="4"/>
      <c r="X26" s="4"/>
      <c r="Y26" s="4"/>
    </row>
    <row r="27" ht="28" spans="1:25">
      <c r="A27" s="10">
        <v>26</v>
      </c>
      <c r="B27" s="16">
        <v>46218</v>
      </c>
      <c r="C27" s="18" t="s">
        <v>42</v>
      </c>
      <c r="D27" s="10" t="s">
        <v>254</v>
      </c>
      <c r="E27" s="17" t="s">
        <v>255</v>
      </c>
      <c r="F27" s="13" t="s">
        <v>256</v>
      </c>
      <c r="G27" s="10"/>
      <c r="H27" s="4"/>
      <c r="I27" s="4"/>
      <c r="J27" s="4"/>
      <c r="K27" s="4"/>
      <c r="L27" s="4"/>
      <c r="M27" s="4"/>
      <c r="N27" s="4"/>
      <c r="O27" s="4"/>
      <c r="P27" s="4"/>
    </row>
    <row r="28" spans="1:25">
      <c r="A28" s="10">
        <v>27</v>
      </c>
      <c r="B28" s="19" t="s">
        <v>257</v>
      </c>
      <c r="C28" s="18" t="s">
        <v>42</v>
      </c>
      <c r="D28" s="10" t="s">
        <v>258</v>
      </c>
      <c r="E28" s="17" t="s">
        <v>259</v>
      </c>
      <c r="F28" s="13" t="s">
        <v>192</v>
      </c>
      <c r="G28" s="10"/>
      <c r="H28" s="4"/>
      <c r="I28" s="4"/>
      <c r="J28" s="4"/>
      <c r="K28" s="4"/>
      <c r="L28" s="4"/>
      <c r="M28" s="4"/>
      <c r="N28" s="4"/>
      <c r="O28" s="4"/>
      <c r="P28" s="4"/>
    </row>
    <row r="29" ht="42" spans="1:25">
      <c r="A29" s="10">
        <v>28</v>
      </c>
      <c r="B29" s="11">
        <v>46213</v>
      </c>
      <c r="C29" s="10" t="s">
        <v>64</v>
      </c>
      <c r="D29" s="10" t="s">
        <v>260</v>
      </c>
      <c r="E29" s="17" t="s">
        <v>261</v>
      </c>
      <c r="F29" s="10" t="s">
        <v>262</v>
      </c>
      <c r="G29" s="10" t="s">
        <v>263</v>
      </c>
      <c r="H29" s="4"/>
      <c r="I29" s="8"/>
      <c r="J29" s="4"/>
      <c r="K29" s="4"/>
      <c r="L29" s="4"/>
      <c r="M29" s="4"/>
      <c r="N29" s="4"/>
      <c r="O29" s="4"/>
      <c r="P29" s="4"/>
      <c r="Q29" s="4"/>
      <c r="R29" s="4"/>
    </row>
    <row r="30" ht="28" spans="1:25">
      <c r="A30" s="10">
        <v>29</v>
      </c>
      <c r="B30" s="1">
        <v>46218</v>
      </c>
      <c r="C30" s="1" t="s">
        <v>42</v>
      </c>
      <c r="D30" s="1" t="s">
        <v>48</v>
      </c>
      <c r="E30" s="1" t="s">
        <v>51</v>
      </c>
      <c r="F30" s="1" t="s">
        <v>264</v>
      </c>
      <c r="G30" s="1" t="s">
        <v>265</v>
      </c>
    </row>
    <row r="31" ht="28" spans="1:25">
      <c r="A31" s="10">
        <v>30</v>
      </c>
      <c r="B31" s="1">
        <v>46218</v>
      </c>
      <c r="C31" s="1" t="s">
        <v>42</v>
      </c>
      <c r="D31" s="1" t="s">
        <v>59</v>
      </c>
      <c r="E31" s="1" t="s">
        <v>62</v>
      </c>
      <c r="F31" s="1" t="s">
        <v>264</v>
      </c>
      <c r="G31" s="1" t="s">
        <v>266</v>
      </c>
    </row>
    <row r="32" spans="1:25">
      <c r="A32" s="4"/>
    </row>
    <row r="33" spans="1:1">
      <c r="A33" s="4"/>
    </row>
    <row r="34" spans="1:1">
      <c r="A34" s="4"/>
    </row>
    <row r="35" spans="1:1">
      <c r="A35" s="4"/>
    </row>
    <row r="36" spans="1:1">
      <c r="A36" s="4"/>
    </row>
    <row r="37" spans="1:1">
      <c r="A37" s="4"/>
    </row>
    <row r="38" spans="1:1">
      <c r="A38" s="4"/>
    </row>
    <row r="39" spans="1:1">
      <c r="A39" s="4"/>
    </row>
  </sheetData>
  <conditionalFormatting sqref="G27">
    <cfRule type="expression" dxfId="25" priority="7" stopIfTrue="1">
      <formula>G27="支持认可"</formula>
    </cfRule>
    <cfRule type="expression" dxfId="25" priority="8" stopIfTrue="1">
      <formula>G27="明确批评"</formula>
    </cfRule>
    <cfRule type="expression" dxfId="25" priority="9" stopIfTrue="1">
      <formula>G27="待核实信息"</formula>
    </cfRule>
  </conditionalFormatting>
  <conditionalFormatting sqref="G28">
    <cfRule type="expression" dxfId="25" priority="4" stopIfTrue="1">
      <formula>G28="支持认可"</formula>
    </cfRule>
    <cfRule type="expression" dxfId="25" priority="5" stopIfTrue="1">
      <formula>G28="明确批评"</formula>
    </cfRule>
    <cfRule type="expression" dxfId="25" priority="6" stopIfTrue="1">
      <formula>G28="待核实信息"</formula>
    </cfRule>
  </conditionalFormatting>
  <conditionalFormatting sqref="I29">
    <cfRule type="expression" dxfId="25" priority="1" stopIfTrue="1">
      <formula>I29="支持认可"</formula>
    </cfRule>
    <cfRule type="expression" dxfId="25" priority="2" stopIfTrue="1">
      <formula>I29="明确批评"</formula>
    </cfRule>
    <cfRule type="expression" dxfId="25" priority="3" stopIfTrue="1">
      <formula>I29="待核实信息"</formula>
    </cfRule>
  </conditionalFormatting>
  <conditionalFormatting sqref="P2:P22">
    <cfRule type="expression" dxfId="25" priority="10" stopIfTrue="1">
      <formula>P2="支持认可"</formula>
    </cfRule>
    <cfRule type="expression" dxfId="25" priority="11" stopIfTrue="1">
      <formula>P2="明确批评"</formula>
    </cfRule>
    <cfRule type="expression" dxfId="25" priority="12" stopIfTrue="1">
      <formula>P2="待核实信息"</formula>
    </cfRule>
  </conditionalFormatting>
  <pageMargins left="0.7" right="0.7" top="0.75" bottom="0.75" header="0.3" footer="0.3"/>
  <headerFooter/>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7"/>
  <sheetViews>
    <sheetView workbookViewId="0">
      <selection activeCell="A1" sqref="A1"/>
    </sheetView>
  </sheetViews>
  <sheetFormatPr defaultColWidth="9" defaultRowHeight="14" outlineLevelCol="3"/>
  <cols>
    <col min="1" max="1" width="38" customWidth="1"/>
    <col min="2" max="4" width="52" customWidth="1"/>
  </cols>
  <sheetData>
    <row r="1" ht="39.6" customHeight="1" spans="1:4">
      <c r="A1" s="3" t="s">
        <v>267</v>
      </c>
      <c r="B1" s="3" t="s">
        <v>268</v>
      </c>
      <c r="C1" s="3" t="s">
        <v>269</v>
      </c>
      <c r="D1" s="3" t="s">
        <v>270</v>
      </c>
    </row>
    <row r="2" ht="145.25" customHeight="1" spans="1:4">
      <c r="A2" s="4" t="s">
        <v>271</v>
      </c>
      <c r="B2" s="4" t="s">
        <v>272</v>
      </c>
      <c r="C2" s="4" t="s">
        <v>273</v>
      </c>
      <c r="D2" s="4" t="s">
        <v>274</v>
      </c>
    </row>
    <row r="3" ht="105.6" customHeight="1" spans="1:4">
      <c r="A3" s="4" t="s">
        <v>275</v>
      </c>
      <c r="B3" s="4" t="s">
        <v>276</v>
      </c>
      <c r="C3" s="4" t="s">
        <v>277</v>
      </c>
      <c r="D3" s="4" t="s">
        <v>278</v>
      </c>
    </row>
    <row r="4" ht="66" customHeight="1" spans="1:4">
      <c r="A4" s="4" t="s">
        <v>279</v>
      </c>
      <c r="B4" s="4" t="s">
        <v>280</v>
      </c>
      <c r="C4" s="4" t="s">
        <v>281</v>
      </c>
      <c r="D4" s="4" t="s">
        <v>282</v>
      </c>
    </row>
    <row r="5" ht="79.25" customHeight="1" spans="1:4">
      <c r="A5" s="4" t="s">
        <v>283</v>
      </c>
      <c r="B5" s="4" t="s">
        <v>284</v>
      </c>
      <c r="C5" s="4" t="s">
        <v>285</v>
      </c>
      <c r="D5" s="4" t="s">
        <v>286</v>
      </c>
    </row>
    <row r="6" ht="92.45" customHeight="1" spans="1:4">
      <c r="A6" s="4" t="s">
        <v>42</v>
      </c>
      <c r="B6" s="4" t="s">
        <v>287</v>
      </c>
      <c r="C6" s="4" t="s">
        <v>288</v>
      </c>
      <c r="D6" s="4" t="s">
        <v>289</v>
      </c>
    </row>
    <row r="7" ht="92.45" customHeight="1" spans="1:4">
      <c r="A7" s="4" t="s">
        <v>64</v>
      </c>
      <c r="B7" s="4" t="s">
        <v>290</v>
      </c>
      <c r="C7" s="4" t="s">
        <v>291</v>
      </c>
      <c r="D7" s="4" t="s">
        <v>292</v>
      </c>
    </row>
    <row r="8" ht="79.25" customHeight="1" spans="1:4">
      <c r="A8" s="4" t="s">
        <v>293</v>
      </c>
      <c r="B8" s="4" t="s">
        <v>294</v>
      </c>
      <c r="C8" s="4" t="s">
        <v>295</v>
      </c>
      <c r="D8" s="4" t="s">
        <v>296</v>
      </c>
    </row>
    <row r="9" ht="92.45" customHeight="1" spans="1:4">
      <c r="A9" s="4" t="s">
        <v>297</v>
      </c>
      <c r="B9" s="4" t="s">
        <v>298</v>
      </c>
      <c r="C9" s="4" t="s">
        <v>299</v>
      </c>
      <c r="D9" s="4" t="s">
        <v>300</v>
      </c>
    </row>
    <row r="10" ht="343.25" customHeight="1" spans="1:4">
      <c r="A10" s="4" t="s">
        <v>301</v>
      </c>
      <c r="B10" s="4" t="s">
        <v>302</v>
      </c>
      <c r="C10" s="4" t="s">
        <v>303</v>
      </c>
      <c r="D10" s="4" t="s">
        <v>304</v>
      </c>
    </row>
    <row r="11" ht="92.45" customHeight="1" spans="1:4">
      <c r="A11" s="4" t="s">
        <v>305</v>
      </c>
      <c r="B11" s="4" t="s">
        <v>306</v>
      </c>
      <c r="C11" s="4" t="s">
        <v>307</v>
      </c>
      <c r="D11" s="4" t="s">
        <v>308</v>
      </c>
    </row>
    <row r="12" ht="118.8" customHeight="1" spans="1:4">
      <c r="A12" s="4" t="s">
        <v>309</v>
      </c>
      <c r="B12" s="4" t="s">
        <v>310</v>
      </c>
      <c r="C12" s="4" t="s">
        <v>311</v>
      </c>
      <c r="D12" s="4" t="s">
        <v>312</v>
      </c>
    </row>
    <row r="13" ht="105.6" customHeight="1" spans="1:4">
      <c r="A13" s="4" t="s">
        <v>313</v>
      </c>
      <c r="B13" s="4" t="s">
        <v>314</v>
      </c>
      <c r="C13" s="4" t="s">
        <v>315</v>
      </c>
      <c r="D13" s="4" t="s">
        <v>316</v>
      </c>
    </row>
    <row r="14" ht="105.6" customHeight="1" spans="1:4">
      <c r="A14" s="4" t="s">
        <v>317</v>
      </c>
      <c r="B14" s="4" t="s">
        <v>318</v>
      </c>
      <c r="C14" s="4" t="s">
        <v>319</v>
      </c>
      <c r="D14" s="4" t="s">
        <v>320</v>
      </c>
    </row>
    <row r="15" ht="118.8" customHeight="1" spans="1:4">
      <c r="A15" s="4" t="s">
        <v>321</v>
      </c>
      <c r="B15" s="4" t="s">
        <v>322</v>
      </c>
      <c r="C15" s="4" t="s">
        <v>323</v>
      </c>
      <c r="D15" s="4" t="s">
        <v>324</v>
      </c>
    </row>
    <row r="16" ht="132" customHeight="1" spans="1:4">
      <c r="A16" s="4" t="s">
        <v>325</v>
      </c>
      <c r="B16" s="4" t="s">
        <v>326</v>
      </c>
      <c r="C16" s="4" t="s">
        <v>327</v>
      </c>
      <c r="D16" s="4" t="s">
        <v>328</v>
      </c>
    </row>
    <row r="17" ht="145.25" customHeight="1" spans="1:4">
      <c r="A17" s="4" t="s">
        <v>329</v>
      </c>
      <c r="B17" s="4" t="s">
        <v>330</v>
      </c>
      <c r="C17" s="4" t="s">
        <v>331</v>
      </c>
      <c r="D17" s="4" t="s">
        <v>332</v>
      </c>
    </row>
  </sheetData>
  <pageMargins left="0.7" right="0.7" top="0.75" bottom="0.75" header="0.3" footer="0.3"/>
  <headerFooter/>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7"/>
  <sheetViews>
    <sheetView workbookViewId="0">
      <selection activeCell="A1" sqref="A1"/>
    </sheetView>
  </sheetViews>
  <sheetFormatPr defaultColWidth="9" defaultRowHeight="14" outlineLevelCol="5"/>
  <cols>
    <col min="1" max="1" width="7" customWidth="1"/>
    <col min="2" max="2" width="34" customWidth="1"/>
    <col min="3" max="4" width="24" customWidth="1"/>
    <col min="5" max="5" width="34" customWidth="1"/>
    <col min="6" max="6" width="48" customWidth="1"/>
  </cols>
  <sheetData>
    <row r="1" ht="26.45" customHeight="1" spans="1:6">
      <c r="A1" s="3" t="s">
        <v>185</v>
      </c>
      <c r="B1" s="3" t="s">
        <v>333</v>
      </c>
      <c r="C1" s="3" t="s">
        <v>334</v>
      </c>
      <c r="D1" s="3" t="s">
        <v>335</v>
      </c>
      <c r="E1" s="3" t="s">
        <v>336</v>
      </c>
      <c r="F1" s="3" t="s">
        <v>337</v>
      </c>
    </row>
    <row r="2" ht="66" customHeight="1" spans="1:6">
      <c r="A2" s="4">
        <v>1</v>
      </c>
      <c r="B2" s="14" t="s">
        <v>42</v>
      </c>
      <c r="C2" s="8" t="s">
        <v>338</v>
      </c>
      <c r="D2" s="4" t="s">
        <v>339</v>
      </c>
      <c r="E2" s="4" t="s">
        <v>340</v>
      </c>
      <c r="F2" s="4" t="s">
        <v>341</v>
      </c>
    </row>
    <row r="3" ht="52.8" customHeight="1" spans="1:6">
      <c r="A3" s="4">
        <v>2</v>
      </c>
      <c r="B3" s="15" t="s">
        <v>64</v>
      </c>
      <c r="C3" s="8" t="s">
        <v>338</v>
      </c>
      <c r="D3" s="4" t="s">
        <v>339</v>
      </c>
      <c r="E3" s="8" t="s">
        <v>342</v>
      </c>
      <c r="F3" s="8" t="s">
        <v>343</v>
      </c>
    </row>
    <row r="4" ht="79.25" customHeight="1" spans="1:6">
      <c r="A4" s="4">
        <v>3</v>
      </c>
      <c r="B4" s="15" t="s">
        <v>244</v>
      </c>
      <c r="C4" s="8" t="s">
        <v>338</v>
      </c>
      <c r="D4" s="4" t="s">
        <v>339</v>
      </c>
      <c r="E4" s="8" t="s">
        <v>344</v>
      </c>
      <c r="F4" s="8" t="s">
        <v>345</v>
      </c>
    </row>
    <row r="5" ht="66" customHeight="1" spans="1:6">
      <c r="A5" s="4"/>
      <c r="B5" s="4"/>
      <c r="C5" s="4"/>
      <c r="D5" s="8"/>
      <c r="E5" s="4"/>
      <c r="F5" s="4"/>
    </row>
    <row r="6" ht="66" customHeight="1" spans="1:6">
      <c r="A6" s="4"/>
      <c r="B6" s="4"/>
      <c r="C6" s="4"/>
      <c r="D6" s="4"/>
      <c r="E6" s="4"/>
      <c r="F6" s="4"/>
    </row>
    <row r="7" ht="79.25" customHeight="1" spans="1:6">
      <c r="A7" s="4"/>
      <c r="B7" s="4"/>
      <c r="C7" s="4"/>
      <c r="D7" s="4"/>
      <c r="E7" s="4"/>
      <c r="F7" s="4"/>
    </row>
    <row r="8" ht="66" customHeight="1" spans="1:6">
      <c r="A8" s="4"/>
      <c r="B8" s="4"/>
      <c r="C8" s="4"/>
      <c r="D8" s="4"/>
      <c r="E8" s="4"/>
      <c r="F8" s="4"/>
    </row>
    <row r="9" ht="52.8" customHeight="1" spans="1:6">
      <c r="A9" s="4"/>
      <c r="B9" s="4"/>
      <c r="C9" s="4"/>
      <c r="D9" s="4"/>
      <c r="E9" s="4"/>
      <c r="F9" s="4"/>
    </row>
    <row r="10" ht="66" customHeight="1" spans="1:6">
      <c r="A10" s="4"/>
      <c r="B10" s="4"/>
      <c r="C10" s="4"/>
      <c r="D10" s="4"/>
      <c r="E10" s="4"/>
      <c r="F10" s="4"/>
    </row>
    <row r="11" ht="79.25" customHeight="1" spans="1:6">
      <c r="A11" s="4"/>
      <c r="B11" s="4"/>
      <c r="C11" s="4"/>
      <c r="D11" s="4"/>
      <c r="E11" s="4"/>
      <c r="F11" s="4"/>
    </row>
    <row r="12" ht="52.8" customHeight="1" spans="1:6">
      <c r="A12" s="4"/>
      <c r="B12" s="4"/>
      <c r="C12" s="4"/>
      <c r="D12" s="4"/>
      <c r="E12" s="4"/>
      <c r="F12" s="4"/>
    </row>
    <row r="13" ht="52.8" customHeight="1" spans="1:6">
      <c r="A13" s="4"/>
      <c r="B13" s="4"/>
      <c r="C13" s="4"/>
      <c r="D13" s="4"/>
      <c r="E13" s="4"/>
      <c r="F13" s="4"/>
    </row>
    <row r="14" ht="52.8" customHeight="1" spans="1:6">
      <c r="A14" s="4"/>
      <c r="B14" s="4"/>
      <c r="C14" s="4"/>
      <c r="D14" s="4"/>
      <c r="E14" s="4"/>
      <c r="F14" s="4"/>
    </row>
    <row r="15" ht="52.8" customHeight="1" spans="1:6">
      <c r="A15" s="4"/>
      <c r="B15" s="4"/>
      <c r="C15" s="4"/>
      <c r="D15" s="4"/>
      <c r="E15" s="4"/>
      <c r="F15" s="4"/>
    </row>
    <row r="16" ht="52.8" customHeight="1" spans="1:6">
      <c r="A16" s="4"/>
      <c r="B16" s="4"/>
      <c r="C16" s="4"/>
      <c r="D16" s="4"/>
      <c r="E16" s="4"/>
      <c r="F16" s="4"/>
    </row>
    <row r="17" ht="52.8" customHeight="1" spans="1:6">
      <c r="A17" s="4"/>
      <c r="B17" s="4"/>
      <c r="C17" s="4"/>
      <c r="D17" s="4"/>
      <c r="E17" s="4"/>
      <c r="F17" s="4"/>
    </row>
    <row r="18" ht="39.6" customHeight="1" spans="1:6">
      <c r="A18" s="4"/>
      <c r="B18" s="4"/>
      <c r="C18" s="4"/>
      <c r="D18" s="4"/>
      <c r="E18" s="4"/>
      <c r="F18" s="4"/>
    </row>
    <row r="19" ht="39.6" customHeight="1" spans="1:6">
      <c r="A19" s="4"/>
      <c r="B19" s="4"/>
      <c r="C19" s="4"/>
      <c r="D19" s="4"/>
      <c r="E19" s="4"/>
      <c r="F19" s="4"/>
    </row>
    <row r="20" ht="39.6" customHeight="1" spans="1:6">
      <c r="A20" s="4"/>
      <c r="B20" s="4"/>
      <c r="C20" s="4"/>
      <c r="D20" s="4"/>
      <c r="E20" s="4"/>
      <c r="F20" s="4"/>
    </row>
    <row r="21" ht="52.8" customHeight="1" spans="1:6">
      <c r="A21" s="4"/>
      <c r="B21" s="4"/>
      <c r="C21" s="4"/>
      <c r="D21" s="4"/>
      <c r="E21" s="4"/>
      <c r="F21" s="4"/>
    </row>
    <row r="22" ht="52.8" customHeight="1" spans="1:6">
      <c r="A22" s="4"/>
      <c r="B22" s="4"/>
      <c r="C22" s="4"/>
      <c r="D22" s="4"/>
      <c r="E22" s="4"/>
      <c r="F22" s="4"/>
    </row>
    <row r="23" ht="39.6" customHeight="1" spans="1:6">
      <c r="A23" s="4"/>
      <c r="B23" s="4"/>
      <c r="C23" s="4"/>
      <c r="D23" s="4"/>
      <c r="E23" s="4"/>
      <c r="F23" s="4"/>
    </row>
    <row r="24" ht="52.8" customHeight="1" spans="1:6">
      <c r="A24" s="4"/>
      <c r="B24" s="4"/>
      <c r="C24" s="4"/>
      <c r="D24" s="4"/>
      <c r="E24" s="4"/>
      <c r="F24" s="4"/>
    </row>
    <row r="25" ht="39.6" customHeight="1" spans="1:6">
      <c r="A25" s="4"/>
      <c r="B25" s="4"/>
      <c r="C25" s="4"/>
      <c r="D25" s="4"/>
      <c r="E25" s="4"/>
      <c r="F25" s="4"/>
    </row>
    <row r="26" ht="66" customHeight="1" spans="1:6">
      <c r="A26" s="4"/>
      <c r="B26" s="4"/>
      <c r="C26" s="4"/>
      <c r="D26" s="4"/>
      <c r="E26" s="4"/>
      <c r="F26" s="4"/>
    </row>
    <row r="27" ht="79.25" customHeight="1" spans="1:6">
      <c r="A27" s="4"/>
      <c r="B27" s="4"/>
      <c r="C27" s="4"/>
      <c r="D27" s="4"/>
      <c r="E27" s="4"/>
      <c r="F27" s="4"/>
    </row>
  </sheetData>
  <pageMargins left="0.7" right="0.7" top="0.75" bottom="0.75" header="0.3" footer="0.3"/>
  <headerFooter/>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34"/>
  <sheetViews>
    <sheetView workbookViewId="0">
      <selection activeCell="A1" sqref="A1"/>
    </sheetView>
  </sheetViews>
  <sheetFormatPr defaultColWidth="9" defaultRowHeight="14"/>
  <cols>
    <col min="1" max="1" width="6" customWidth="1"/>
    <col min="2" max="3" width="12" customWidth="1"/>
    <col min="4" max="5" width="18" customWidth="1"/>
    <col min="6" max="6" width="17" customWidth="1"/>
    <col min="7" max="7" width="18" customWidth="1"/>
    <col min="8" max="8" width="12" customWidth="1"/>
    <col min="9" max="9" width="13" customWidth="1"/>
    <col min="10" max="10" width="38" customWidth="1"/>
    <col min="11" max="11" width="34" customWidth="1"/>
    <col min="12" max="12" width="42" customWidth="1"/>
    <col min="13" max="14" width="48" customWidth="1"/>
    <col min="15" max="15" width="9" customWidth="1"/>
    <col min="16" max="16" width="14" customWidth="1"/>
    <col min="17" max="17" width="34" customWidth="1"/>
    <col min="18" max="20" width="9" customWidth="1"/>
    <col min="21" max="21" width="18" customWidth="1"/>
    <col min="22" max="22" width="15" customWidth="1"/>
    <col min="23" max="23" width="42" customWidth="1"/>
    <col min="24" max="24" width="36" customWidth="1"/>
    <col min="25" max="25" width="14" customWidth="1"/>
  </cols>
  <sheetData>
    <row r="1" ht="26.45" customHeight="1" spans="1:25">
      <c r="A1" s="9" t="s">
        <v>185</v>
      </c>
      <c r="B1" s="9" t="s">
        <v>17</v>
      </c>
      <c r="C1" s="9" t="s">
        <v>18</v>
      </c>
      <c r="D1" s="9" t="s">
        <v>19</v>
      </c>
      <c r="E1" s="9" t="s">
        <v>20</v>
      </c>
      <c r="F1" s="9" t="s">
        <v>21</v>
      </c>
      <c r="G1" s="9" t="s">
        <v>22</v>
      </c>
      <c r="H1" s="9" t="s">
        <v>23</v>
      </c>
      <c r="I1" s="9" t="s">
        <v>24</v>
      </c>
      <c r="J1" s="9" t="s">
        <v>25</v>
      </c>
      <c r="K1" s="9" t="s">
        <v>26</v>
      </c>
      <c r="L1" s="9" t="s">
        <v>27</v>
      </c>
      <c r="M1" s="9" t="s">
        <v>28</v>
      </c>
      <c r="N1" s="9" t="s">
        <v>29</v>
      </c>
      <c r="O1" s="9" t="s">
        <v>30</v>
      </c>
      <c r="P1" s="9" t="s">
        <v>31</v>
      </c>
      <c r="Q1" s="9" t="s">
        <v>32</v>
      </c>
      <c r="R1" s="9" t="s">
        <v>33</v>
      </c>
      <c r="S1" s="9" t="s">
        <v>34</v>
      </c>
      <c r="T1" s="9" t="s">
        <v>35</v>
      </c>
      <c r="U1" s="9" t="s">
        <v>36</v>
      </c>
      <c r="V1" s="9" t="s">
        <v>37</v>
      </c>
      <c r="W1" s="9" t="s">
        <v>38</v>
      </c>
      <c r="X1" s="9" t="s">
        <v>39</v>
      </c>
      <c r="Y1" s="9" t="s">
        <v>40</v>
      </c>
    </row>
    <row r="2" ht="132" customHeight="1" spans="1:25">
      <c r="A2" s="10">
        <v>1</v>
      </c>
      <c r="B2" s="11">
        <v>46218</v>
      </c>
      <c r="C2" s="10" t="s">
        <v>41</v>
      </c>
      <c r="D2" s="10" t="s">
        <v>42</v>
      </c>
      <c r="E2" s="10" t="s">
        <v>43</v>
      </c>
      <c r="F2" s="10" t="s">
        <v>346</v>
      </c>
      <c r="G2" s="10" t="s">
        <v>45</v>
      </c>
      <c r="H2" s="10" t="s">
        <v>45</v>
      </c>
      <c r="I2" s="10" t="s">
        <v>46</v>
      </c>
      <c r="J2" s="10" t="s">
        <v>47</v>
      </c>
      <c r="K2" s="10" t="s">
        <v>254</v>
      </c>
      <c r="L2" s="10" t="s">
        <v>347</v>
      </c>
      <c r="M2" s="10" t="s">
        <v>348</v>
      </c>
      <c r="N2" s="12" t="s">
        <v>255</v>
      </c>
      <c r="O2" s="10" t="s">
        <v>52</v>
      </c>
      <c r="P2" s="10" t="s">
        <v>349</v>
      </c>
      <c r="Q2" s="10" t="s">
        <v>350</v>
      </c>
      <c r="R2" s="10" t="s">
        <v>55</v>
      </c>
      <c r="S2" s="10" t="s">
        <v>55</v>
      </c>
      <c r="T2" s="10" t="s">
        <v>55</v>
      </c>
      <c r="U2" s="10" t="s">
        <v>56</v>
      </c>
      <c r="V2" s="10" t="s">
        <v>56</v>
      </c>
      <c r="W2" s="10" t="s">
        <v>351</v>
      </c>
      <c r="X2" s="10" t="s">
        <v>47</v>
      </c>
      <c r="Y2" s="10" t="s">
        <v>56</v>
      </c>
    </row>
    <row r="3" ht="70" spans="1:25">
      <c r="A3" s="10">
        <v>2</v>
      </c>
      <c r="B3" s="11">
        <v>46218</v>
      </c>
      <c r="C3" s="10" t="s">
        <v>41</v>
      </c>
      <c r="D3" s="10" t="s">
        <v>42</v>
      </c>
      <c r="E3" s="10" t="s">
        <v>43</v>
      </c>
      <c r="F3" s="10" t="s">
        <v>346</v>
      </c>
      <c r="G3" s="10" t="s">
        <v>45</v>
      </c>
      <c r="H3" s="10" t="s">
        <v>45</v>
      </c>
      <c r="I3" s="10" t="s">
        <v>46</v>
      </c>
      <c r="J3" s="10" t="s">
        <v>47</v>
      </c>
      <c r="K3" s="10" t="s">
        <v>190</v>
      </c>
      <c r="L3" s="10" t="s">
        <v>352</v>
      </c>
      <c r="M3" s="10" t="s">
        <v>353</v>
      </c>
      <c r="N3" s="12" t="s">
        <v>191</v>
      </c>
      <c r="O3" s="10" t="s">
        <v>52</v>
      </c>
      <c r="P3" s="10" t="s">
        <v>349</v>
      </c>
      <c r="Q3" s="10" t="s">
        <v>350</v>
      </c>
      <c r="R3" s="10" t="s">
        <v>55</v>
      </c>
      <c r="S3" s="10" t="s">
        <v>55</v>
      </c>
      <c r="T3" s="10" t="s">
        <v>55</v>
      </c>
      <c r="U3" s="10" t="s">
        <v>56</v>
      </c>
      <c r="V3" s="10" t="s">
        <v>56</v>
      </c>
      <c r="W3" s="10" t="s">
        <v>351</v>
      </c>
      <c r="X3" s="10" t="s">
        <v>47</v>
      </c>
      <c r="Y3" s="10" t="s">
        <v>56</v>
      </c>
    </row>
    <row r="4" ht="145.25" customHeight="1" spans="1:25">
      <c r="A4" s="10">
        <v>3</v>
      </c>
      <c r="B4" s="11">
        <v>46218</v>
      </c>
      <c r="C4" s="10" t="s">
        <v>41</v>
      </c>
      <c r="D4" s="10" t="s">
        <v>42</v>
      </c>
      <c r="E4" s="10" t="s">
        <v>43</v>
      </c>
      <c r="F4" s="10" t="s">
        <v>346</v>
      </c>
      <c r="G4" s="10" t="s">
        <v>45</v>
      </c>
      <c r="H4" s="10" t="s">
        <v>45</v>
      </c>
      <c r="I4" s="10" t="s">
        <v>46</v>
      </c>
      <c r="J4" s="10" t="s">
        <v>47</v>
      </c>
      <c r="K4" s="10" t="s">
        <v>194</v>
      </c>
      <c r="L4" s="10" t="s">
        <v>354</v>
      </c>
      <c r="M4" s="10" t="s">
        <v>355</v>
      </c>
      <c r="N4" s="12" t="s">
        <v>195</v>
      </c>
      <c r="O4" s="10" t="s">
        <v>52</v>
      </c>
      <c r="P4" s="10" t="s">
        <v>349</v>
      </c>
      <c r="Q4" s="10" t="s">
        <v>350</v>
      </c>
      <c r="R4" s="10" t="s">
        <v>55</v>
      </c>
      <c r="S4" s="10" t="s">
        <v>55</v>
      </c>
      <c r="T4" s="10" t="s">
        <v>55</v>
      </c>
      <c r="U4" s="10" t="s">
        <v>56</v>
      </c>
      <c r="V4" s="10" t="s">
        <v>56</v>
      </c>
      <c r="W4" s="10" t="s">
        <v>351</v>
      </c>
      <c r="X4" s="10" t="s">
        <v>47</v>
      </c>
      <c r="Y4" s="10" t="s">
        <v>56</v>
      </c>
    </row>
    <row r="5" ht="145.25" customHeight="1" spans="1:25">
      <c r="A5" s="10">
        <v>4</v>
      </c>
      <c r="B5" s="11">
        <v>46218</v>
      </c>
      <c r="C5" s="10" t="s">
        <v>41</v>
      </c>
      <c r="D5" s="10" t="s">
        <v>42</v>
      </c>
      <c r="E5" s="10" t="s">
        <v>43</v>
      </c>
      <c r="F5" s="10" t="s">
        <v>346</v>
      </c>
      <c r="G5" s="10" t="s">
        <v>45</v>
      </c>
      <c r="H5" s="10" t="s">
        <v>45</v>
      </c>
      <c r="I5" s="10" t="s">
        <v>46</v>
      </c>
      <c r="J5" s="10" t="s">
        <v>47</v>
      </c>
      <c r="K5" s="10" t="s">
        <v>258</v>
      </c>
      <c r="L5" s="10" t="s">
        <v>356</v>
      </c>
      <c r="M5" s="10" t="s">
        <v>357</v>
      </c>
      <c r="N5" s="12" t="s">
        <v>259</v>
      </c>
      <c r="O5" s="10" t="s">
        <v>52</v>
      </c>
      <c r="P5" s="10" t="s">
        <v>349</v>
      </c>
      <c r="Q5" s="10" t="s">
        <v>350</v>
      </c>
      <c r="R5" s="10" t="s">
        <v>55</v>
      </c>
      <c r="S5" s="10" t="s">
        <v>55</v>
      </c>
      <c r="T5" s="10" t="s">
        <v>55</v>
      </c>
      <c r="U5" s="10" t="s">
        <v>56</v>
      </c>
      <c r="V5" s="10" t="s">
        <v>56</v>
      </c>
      <c r="W5" s="10" t="s">
        <v>351</v>
      </c>
      <c r="X5" s="10" t="s">
        <v>47</v>
      </c>
      <c r="Y5" s="10" t="s">
        <v>56</v>
      </c>
    </row>
    <row r="6" ht="132" customHeight="1" spans="1:25">
      <c r="A6" s="10">
        <v>5</v>
      </c>
      <c r="B6" s="11">
        <v>46218</v>
      </c>
      <c r="C6" s="10" t="s">
        <v>41</v>
      </c>
      <c r="D6" s="10" t="s">
        <v>42</v>
      </c>
      <c r="E6" s="10" t="s">
        <v>43</v>
      </c>
      <c r="F6" s="10" t="s">
        <v>44</v>
      </c>
      <c r="G6" s="10" t="s">
        <v>45</v>
      </c>
      <c r="H6" s="10" t="s">
        <v>45</v>
      </c>
      <c r="I6" s="10" t="s">
        <v>46</v>
      </c>
      <c r="J6" s="10" t="s">
        <v>47</v>
      </c>
      <c r="K6" s="10" t="s">
        <v>48</v>
      </c>
      <c r="L6" s="10" t="s">
        <v>49</v>
      </c>
      <c r="M6" s="10" t="s">
        <v>358</v>
      </c>
      <c r="N6" s="12" t="s">
        <v>51</v>
      </c>
      <c r="O6" s="10" t="s">
        <v>52</v>
      </c>
      <c r="P6" s="10" t="s">
        <v>53</v>
      </c>
      <c r="Q6" s="10" t="s">
        <v>54</v>
      </c>
      <c r="R6" s="10" t="s">
        <v>55</v>
      </c>
      <c r="S6" s="10" t="s">
        <v>55</v>
      </c>
      <c r="T6" s="10" t="s">
        <v>55</v>
      </c>
      <c r="U6" s="10" t="s">
        <v>56</v>
      </c>
      <c r="V6" s="10" t="s">
        <v>56</v>
      </c>
      <c r="W6" s="10" t="s">
        <v>359</v>
      </c>
      <c r="X6" s="10" t="s">
        <v>47</v>
      </c>
      <c r="Y6" s="10" t="s">
        <v>56</v>
      </c>
    </row>
    <row r="7" ht="118.8" customHeight="1" spans="1:25">
      <c r="A7" s="10">
        <v>6</v>
      </c>
      <c r="B7" s="11">
        <v>46218</v>
      </c>
      <c r="C7" s="10" t="s">
        <v>41</v>
      </c>
      <c r="D7" s="10" t="s">
        <v>42</v>
      </c>
      <c r="E7" s="10" t="s">
        <v>43</v>
      </c>
      <c r="F7" s="10" t="s">
        <v>346</v>
      </c>
      <c r="G7" s="10" t="s">
        <v>45</v>
      </c>
      <c r="H7" s="10" t="s">
        <v>45</v>
      </c>
      <c r="I7" s="10" t="s">
        <v>46</v>
      </c>
      <c r="J7" s="10" t="s">
        <v>47</v>
      </c>
      <c r="K7" s="10" t="s">
        <v>196</v>
      </c>
      <c r="L7" s="10" t="s">
        <v>360</v>
      </c>
      <c r="M7" s="10" t="s">
        <v>361</v>
      </c>
      <c r="N7" s="12" t="s">
        <v>197</v>
      </c>
      <c r="O7" s="10" t="s">
        <v>52</v>
      </c>
      <c r="P7" s="10" t="s">
        <v>349</v>
      </c>
      <c r="Q7" s="10" t="s">
        <v>54</v>
      </c>
      <c r="R7" s="10" t="s">
        <v>55</v>
      </c>
      <c r="S7" s="10" t="s">
        <v>55</v>
      </c>
      <c r="T7" s="10" t="s">
        <v>55</v>
      </c>
      <c r="U7" s="10" t="s">
        <v>56</v>
      </c>
      <c r="V7" s="10" t="s">
        <v>56</v>
      </c>
      <c r="W7" s="10" t="s">
        <v>362</v>
      </c>
      <c r="X7" s="10" t="s">
        <v>47</v>
      </c>
      <c r="Y7" s="10" t="s">
        <v>56</v>
      </c>
    </row>
    <row r="8" ht="118.8" customHeight="1" spans="1:25">
      <c r="A8" s="10">
        <v>7</v>
      </c>
      <c r="B8" s="11">
        <v>46218</v>
      </c>
      <c r="C8" s="10" t="s">
        <v>41</v>
      </c>
      <c r="D8" s="10" t="s">
        <v>42</v>
      </c>
      <c r="E8" s="10" t="s">
        <v>43</v>
      </c>
      <c r="F8" s="10" t="s">
        <v>346</v>
      </c>
      <c r="G8" s="10" t="s">
        <v>45</v>
      </c>
      <c r="H8" s="10" t="s">
        <v>45</v>
      </c>
      <c r="I8" s="10" t="s">
        <v>46</v>
      </c>
      <c r="J8" s="10" t="s">
        <v>47</v>
      </c>
      <c r="K8" s="10" t="s">
        <v>363</v>
      </c>
      <c r="L8" s="10" t="s">
        <v>364</v>
      </c>
      <c r="M8" s="10" t="s">
        <v>365</v>
      </c>
      <c r="N8" s="12" t="s">
        <v>199</v>
      </c>
      <c r="O8" s="10" t="s">
        <v>52</v>
      </c>
      <c r="P8" s="10" t="s">
        <v>349</v>
      </c>
      <c r="Q8" s="10" t="s">
        <v>54</v>
      </c>
      <c r="R8" s="10" t="s">
        <v>55</v>
      </c>
      <c r="S8" s="10" t="s">
        <v>55</v>
      </c>
      <c r="T8" s="10" t="s">
        <v>55</v>
      </c>
      <c r="U8" s="10" t="s">
        <v>56</v>
      </c>
      <c r="V8" s="10" t="s">
        <v>56</v>
      </c>
      <c r="W8" s="10" t="s">
        <v>362</v>
      </c>
      <c r="X8" s="10" t="s">
        <v>47</v>
      </c>
      <c r="Y8" s="10" t="s">
        <v>56</v>
      </c>
    </row>
    <row r="9" ht="105.6" customHeight="1" spans="1:25">
      <c r="A9" s="10">
        <v>8</v>
      </c>
      <c r="B9" s="11">
        <v>46218</v>
      </c>
      <c r="C9" s="10" t="s">
        <v>41</v>
      </c>
      <c r="D9" s="10" t="s">
        <v>42</v>
      </c>
      <c r="E9" s="10" t="s">
        <v>43</v>
      </c>
      <c r="F9" s="10" t="s">
        <v>346</v>
      </c>
      <c r="G9" s="10" t="s">
        <v>45</v>
      </c>
      <c r="H9" s="10" t="s">
        <v>45</v>
      </c>
      <c r="I9" s="10" t="s">
        <v>46</v>
      </c>
      <c r="J9" s="10" t="s">
        <v>47</v>
      </c>
      <c r="K9" s="10" t="s">
        <v>201</v>
      </c>
      <c r="L9" s="10" t="s">
        <v>366</v>
      </c>
      <c r="M9" s="10" t="s">
        <v>367</v>
      </c>
      <c r="N9" s="12" t="s">
        <v>202</v>
      </c>
      <c r="O9" s="10" t="s">
        <v>52</v>
      </c>
      <c r="P9" s="10" t="s">
        <v>349</v>
      </c>
      <c r="Q9" s="10" t="s">
        <v>54</v>
      </c>
      <c r="R9" s="10" t="s">
        <v>55</v>
      </c>
      <c r="S9" s="10" t="s">
        <v>55</v>
      </c>
      <c r="T9" s="10" t="s">
        <v>55</v>
      </c>
      <c r="U9" s="10" t="s">
        <v>56</v>
      </c>
      <c r="V9" s="10" t="s">
        <v>56</v>
      </c>
      <c r="W9" s="10" t="s">
        <v>362</v>
      </c>
      <c r="X9" s="10" t="s">
        <v>47</v>
      </c>
      <c r="Y9" s="10" t="s">
        <v>56</v>
      </c>
    </row>
    <row r="10" ht="198" customHeight="1" spans="1:25">
      <c r="A10" s="10">
        <v>9</v>
      </c>
      <c r="B10" s="11">
        <v>46218</v>
      </c>
      <c r="C10" s="10" t="s">
        <v>41</v>
      </c>
      <c r="D10" s="10" t="s">
        <v>42</v>
      </c>
      <c r="E10" s="10" t="s">
        <v>43</v>
      </c>
      <c r="F10" s="10" t="s">
        <v>58</v>
      </c>
      <c r="G10" s="10" t="s">
        <v>45</v>
      </c>
      <c r="H10" s="10" t="s">
        <v>45</v>
      </c>
      <c r="I10" s="10" t="s">
        <v>46</v>
      </c>
      <c r="J10" s="10" t="s">
        <v>47</v>
      </c>
      <c r="K10" s="10" t="s">
        <v>59</v>
      </c>
      <c r="L10" s="10" t="s">
        <v>368</v>
      </c>
      <c r="M10" s="10" t="s">
        <v>369</v>
      </c>
      <c r="N10" s="12" t="s">
        <v>62</v>
      </c>
      <c r="O10" s="10" t="s">
        <v>52</v>
      </c>
      <c r="P10" s="10" t="s">
        <v>53</v>
      </c>
      <c r="Q10" s="10" t="s">
        <v>54</v>
      </c>
      <c r="R10" s="10" t="s">
        <v>55</v>
      </c>
      <c r="S10" s="10" t="s">
        <v>55</v>
      </c>
      <c r="T10" s="10" t="s">
        <v>55</v>
      </c>
      <c r="U10" s="10" t="s">
        <v>56</v>
      </c>
      <c r="V10" s="10" t="s">
        <v>56</v>
      </c>
      <c r="W10" s="10" t="s">
        <v>359</v>
      </c>
      <c r="X10" s="10" t="s">
        <v>47</v>
      </c>
      <c r="Y10" s="10" t="s">
        <v>56</v>
      </c>
    </row>
    <row r="11" ht="92.45" customHeight="1" spans="1:25">
      <c r="A11" s="10">
        <v>10</v>
      </c>
      <c r="B11" s="11">
        <v>46218</v>
      </c>
      <c r="C11" s="10" t="s">
        <v>41</v>
      </c>
      <c r="D11" s="10" t="s">
        <v>42</v>
      </c>
      <c r="E11" s="10" t="s">
        <v>43</v>
      </c>
      <c r="F11" s="10" t="s">
        <v>346</v>
      </c>
      <c r="G11" s="10" t="s">
        <v>45</v>
      </c>
      <c r="H11" s="10" t="s">
        <v>45</v>
      </c>
      <c r="I11" s="10" t="s">
        <v>46</v>
      </c>
      <c r="J11" s="10" t="s">
        <v>47</v>
      </c>
      <c r="K11" s="10" t="s">
        <v>203</v>
      </c>
      <c r="L11" s="10" t="s">
        <v>370</v>
      </c>
      <c r="M11" s="10" t="s">
        <v>371</v>
      </c>
      <c r="N11" s="12" t="s">
        <v>204</v>
      </c>
      <c r="O11" s="10" t="s">
        <v>52</v>
      </c>
      <c r="P11" s="10" t="s">
        <v>349</v>
      </c>
      <c r="Q11" s="10" t="s">
        <v>54</v>
      </c>
      <c r="R11" s="10" t="s">
        <v>55</v>
      </c>
      <c r="S11" s="10" t="s">
        <v>55</v>
      </c>
      <c r="T11" s="10" t="s">
        <v>55</v>
      </c>
      <c r="U11" s="10" t="s">
        <v>56</v>
      </c>
      <c r="V11" s="10" t="s">
        <v>56</v>
      </c>
      <c r="W11" s="10" t="s">
        <v>362</v>
      </c>
      <c r="X11" s="10" t="s">
        <v>47</v>
      </c>
      <c r="Y11" s="10" t="s">
        <v>56</v>
      </c>
    </row>
    <row r="12" ht="92.45" customHeight="1" spans="1:25">
      <c r="A12" s="10">
        <v>11</v>
      </c>
      <c r="B12" s="11">
        <v>46218</v>
      </c>
      <c r="C12" s="10" t="s">
        <v>41</v>
      </c>
      <c r="D12" s="10" t="s">
        <v>42</v>
      </c>
      <c r="E12" s="10" t="s">
        <v>43</v>
      </c>
      <c r="F12" s="10" t="s">
        <v>346</v>
      </c>
      <c r="G12" s="10" t="s">
        <v>45</v>
      </c>
      <c r="H12" s="10" t="s">
        <v>45</v>
      </c>
      <c r="I12" s="10" t="s">
        <v>46</v>
      </c>
      <c r="J12" s="10" t="s">
        <v>47</v>
      </c>
      <c r="K12" s="10" t="s">
        <v>205</v>
      </c>
      <c r="L12" s="10" t="s">
        <v>372</v>
      </c>
      <c r="M12" s="10" t="s">
        <v>373</v>
      </c>
      <c r="N12" s="12" t="s">
        <v>206</v>
      </c>
      <c r="O12" s="10" t="s">
        <v>52</v>
      </c>
      <c r="P12" s="10" t="s">
        <v>349</v>
      </c>
      <c r="Q12" s="10" t="s">
        <v>54</v>
      </c>
      <c r="R12" s="10" t="s">
        <v>55</v>
      </c>
      <c r="S12" s="10" t="s">
        <v>55</v>
      </c>
      <c r="T12" s="10" t="s">
        <v>55</v>
      </c>
      <c r="U12" s="10" t="s">
        <v>56</v>
      </c>
      <c r="V12" s="10" t="s">
        <v>56</v>
      </c>
      <c r="W12" s="10" t="s">
        <v>362</v>
      </c>
      <c r="X12" s="10" t="s">
        <v>47</v>
      </c>
      <c r="Y12" s="10" t="s">
        <v>56</v>
      </c>
    </row>
    <row r="13" ht="118.8" customHeight="1" spans="1:25">
      <c r="A13" s="10">
        <v>12</v>
      </c>
      <c r="B13" s="11">
        <v>46218</v>
      </c>
      <c r="C13" s="10" t="s">
        <v>41</v>
      </c>
      <c r="D13" s="10" t="s">
        <v>42</v>
      </c>
      <c r="E13" s="10" t="s">
        <v>43</v>
      </c>
      <c r="F13" s="10" t="s">
        <v>346</v>
      </c>
      <c r="G13" s="10" t="s">
        <v>45</v>
      </c>
      <c r="H13" s="10" t="s">
        <v>45</v>
      </c>
      <c r="I13" s="10" t="s">
        <v>46</v>
      </c>
      <c r="J13" s="10" t="s">
        <v>47</v>
      </c>
      <c r="K13" s="10" t="s">
        <v>208</v>
      </c>
      <c r="L13" s="10" t="s">
        <v>374</v>
      </c>
      <c r="M13" s="10" t="s">
        <v>375</v>
      </c>
      <c r="N13" s="12" t="s">
        <v>209</v>
      </c>
      <c r="O13" s="10" t="s">
        <v>52</v>
      </c>
      <c r="P13" s="10" t="s">
        <v>349</v>
      </c>
      <c r="Q13" s="10" t="s">
        <v>54</v>
      </c>
      <c r="R13" s="10" t="s">
        <v>55</v>
      </c>
      <c r="S13" s="10" t="s">
        <v>55</v>
      </c>
      <c r="T13" s="10" t="s">
        <v>55</v>
      </c>
      <c r="U13" s="10" t="s">
        <v>56</v>
      </c>
      <c r="V13" s="10" t="s">
        <v>56</v>
      </c>
      <c r="W13" s="10" t="s">
        <v>362</v>
      </c>
      <c r="X13" s="10" t="s">
        <v>47</v>
      </c>
      <c r="Y13" s="10" t="s">
        <v>56</v>
      </c>
    </row>
    <row r="14" ht="132" customHeight="1" spans="1:25">
      <c r="A14" s="10">
        <v>13</v>
      </c>
      <c r="B14" s="11">
        <v>46218</v>
      </c>
      <c r="C14" s="10" t="s">
        <v>41</v>
      </c>
      <c r="D14" s="10" t="s">
        <v>42</v>
      </c>
      <c r="E14" s="10" t="s">
        <v>43</v>
      </c>
      <c r="F14" s="10" t="s">
        <v>346</v>
      </c>
      <c r="G14" s="10" t="s">
        <v>45</v>
      </c>
      <c r="H14" s="10" t="s">
        <v>45</v>
      </c>
      <c r="I14" s="10" t="s">
        <v>46</v>
      </c>
      <c r="J14" s="10" t="s">
        <v>47</v>
      </c>
      <c r="K14" s="10" t="s">
        <v>212</v>
      </c>
      <c r="L14" s="10" t="s">
        <v>376</v>
      </c>
      <c r="M14" s="10" t="s">
        <v>377</v>
      </c>
      <c r="N14" s="12" t="s">
        <v>213</v>
      </c>
      <c r="O14" s="10" t="s">
        <v>52</v>
      </c>
      <c r="P14" s="10" t="s">
        <v>349</v>
      </c>
      <c r="Q14" s="10" t="s">
        <v>54</v>
      </c>
      <c r="R14" s="10" t="s">
        <v>55</v>
      </c>
      <c r="S14" s="10" t="s">
        <v>55</v>
      </c>
      <c r="T14" s="10" t="s">
        <v>55</v>
      </c>
      <c r="U14" s="10" t="s">
        <v>56</v>
      </c>
      <c r="V14" s="10" t="s">
        <v>56</v>
      </c>
      <c r="W14" s="10" t="s">
        <v>362</v>
      </c>
      <c r="X14" s="10" t="s">
        <v>47</v>
      </c>
      <c r="Y14" s="10" t="s">
        <v>56</v>
      </c>
    </row>
    <row r="15" ht="118.8" customHeight="1" spans="1:25">
      <c r="A15" s="10">
        <v>14</v>
      </c>
      <c r="B15" s="11">
        <v>46218</v>
      </c>
      <c r="C15" s="10" t="s">
        <v>41</v>
      </c>
      <c r="D15" s="10" t="s">
        <v>42</v>
      </c>
      <c r="E15" s="10" t="s">
        <v>43</v>
      </c>
      <c r="F15" s="10" t="s">
        <v>346</v>
      </c>
      <c r="G15" s="10" t="s">
        <v>45</v>
      </c>
      <c r="H15" s="10" t="s">
        <v>45</v>
      </c>
      <c r="I15" s="10" t="s">
        <v>46</v>
      </c>
      <c r="J15" s="10" t="s">
        <v>47</v>
      </c>
      <c r="K15" s="10" t="s">
        <v>210</v>
      </c>
      <c r="L15" s="10" t="s">
        <v>378</v>
      </c>
      <c r="M15" s="10" t="s">
        <v>379</v>
      </c>
      <c r="N15" s="12" t="s">
        <v>211</v>
      </c>
      <c r="O15" s="10" t="s">
        <v>52</v>
      </c>
      <c r="P15" s="10" t="s">
        <v>349</v>
      </c>
      <c r="Q15" s="10" t="s">
        <v>54</v>
      </c>
      <c r="R15" s="10" t="s">
        <v>55</v>
      </c>
      <c r="S15" s="10" t="s">
        <v>55</v>
      </c>
      <c r="T15" s="10" t="s">
        <v>55</v>
      </c>
      <c r="U15" s="10" t="s">
        <v>56</v>
      </c>
      <c r="V15" s="10" t="s">
        <v>56</v>
      </c>
      <c r="W15" s="10" t="s">
        <v>362</v>
      </c>
      <c r="X15" s="10" t="s">
        <v>47</v>
      </c>
      <c r="Y15" s="10" t="s">
        <v>56</v>
      </c>
    </row>
    <row r="16" ht="118.8" customHeight="1" spans="1:25">
      <c r="A16" s="10">
        <v>15</v>
      </c>
      <c r="B16" s="11">
        <v>46218</v>
      </c>
      <c r="C16" s="10" t="s">
        <v>41</v>
      </c>
      <c r="D16" s="10" t="s">
        <v>42</v>
      </c>
      <c r="E16" s="10" t="s">
        <v>43</v>
      </c>
      <c r="F16" s="10" t="s">
        <v>346</v>
      </c>
      <c r="G16" s="10" t="s">
        <v>45</v>
      </c>
      <c r="H16" s="10" t="s">
        <v>45</v>
      </c>
      <c r="I16" s="10" t="s">
        <v>46</v>
      </c>
      <c r="J16" s="10" t="s">
        <v>47</v>
      </c>
      <c r="K16" s="10" t="s">
        <v>215</v>
      </c>
      <c r="L16" s="10" t="s">
        <v>380</v>
      </c>
      <c r="M16" s="10" t="s">
        <v>381</v>
      </c>
      <c r="N16" s="12" t="s">
        <v>216</v>
      </c>
      <c r="O16" s="10" t="s">
        <v>52</v>
      </c>
      <c r="P16" s="10" t="s">
        <v>349</v>
      </c>
      <c r="Q16" s="10" t="s">
        <v>54</v>
      </c>
      <c r="R16" s="10" t="s">
        <v>55</v>
      </c>
      <c r="S16" s="10" t="s">
        <v>55</v>
      </c>
      <c r="T16" s="10" t="s">
        <v>55</v>
      </c>
      <c r="U16" s="10" t="s">
        <v>56</v>
      </c>
      <c r="V16" s="10" t="s">
        <v>56</v>
      </c>
      <c r="W16" s="10" t="s">
        <v>362</v>
      </c>
      <c r="X16" s="10" t="s">
        <v>47</v>
      </c>
      <c r="Y16" s="10" t="s">
        <v>56</v>
      </c>
    </row>
    <row r="17" ht="105.6" customHeight="1" spans="1:25">
      <c r="A17" s="10">
        <v>16</v>
      </c>
      <c r="B17" s="11">
        <v>46218</v>
      </c>
      <c r="C17" s="10" t="s">
        <v>41</v>
      </c>
      <c r="D17" s="10" t="s">
        <v>42</v>
      </c>
      <c r="E17" s="10" t="s">
        <v>43</v>
      </c>
      <c r="F17" s="10" t="s">
        <v>346</v>
      </c>
      <c r="G17" s="10" t="s">
        <v>45</v>
      </c>
      <c r="H17" s="10" t="s">
        <v>45</v>
      </c>
      <c r="I17" s="10" t="s">
        <v>46</v>
      </c>
      <c r="J17" s="10" t="s">
        <v>47</v>
      </c>
      <c r="K17" s="10" t="s">
        <v>220</v>
      </c>
      <c r="L17" s="10" t="s">
        <v>382</v>
      </c>
      <c r="M17" s="10" t="s">
        <v>383</v>
      </c>
      <c r="N17" s="12" t="s">
        <v>221</v>
      </c>
      <c r="O17" s="10" t="s">
        <v>52</v>
      </c>
      <c r="P17" s="10" t="s">
        <v>349</v>
      </c>
      <c r="Q17" s="10" t="s">
        <v>54</v>
      </c>
      <c r="R17" s="10" t="s">
        <v>55</v>
      </c>
      <c r="S17" s="10" t="s">
        <v>55</v>
      </c>
      <c r="T17" s="10" t="s">
        <v>55</v>
      </c>
      <c r="U17" s="10" t="s">
        <v>56</v>
      </c>
      <c r="V17" s="10" t="s">
        <v>56</v>
      </c>
      <c r="W17" s="10" t="s">
        <v>362</v>
      </c>
      <c r="X17" s="10" t="s">
        <v>47</v>
      </c>
      <c r="Y17" s="10" t="s">
        <v>56</v>
      </c>
    </row>
    <row r="18" ht="118.8" customHeight="1" spans="1:25">
      <c r="A18" s="10">
        <v>17</v>
      </c>
      <c r="B18" s="11">
        <v>46218</v>
      </c>
      <c r="C18" s="10" t="s">
        <v>41</v>
      </c>
      <c r="D18" s="10" t="s">
        <v>42</v>
      </c>
      <c r="E18" s="10" t="s">
        <v>43</v>
      </c>
      <c r="F18" s="10" t="s">
        <v>346</v>
      </c>
      <c r="G18" s="10" t="s">
        <v>45</v>
      </c>
      <c r="H18" s="10" t="s">
        <v>45</v>
      </c>
      <c r="I18" s="10" t="s">
        <v>46</v>
      </c>
      <c r="J18" s="10" t="s">
        <v>47</v>
      </c>
      <c r="K18" s="10" t="s">
        <v>217</v>
      </c>
      <c r="L18" s="10" t="s">
        <v>384</v>
      </c>
      <c r="M18" s="10" t="s">
        <v>385</v>
      </c>
      <c r="N18" s="12" t="s">
        <v>218</v>
      </c>
      <c r="O18" s="10" t="s">
        <v>52</v>
      </c>
      <c r="P18" s="10" t="s">
        <v>349</v>
      </c>
      <c r="Q18" s="10" t="s">
        <v>54</v>
      </c>
      <c r="R18" s="10" t="s">
        <v>55</v>
      </c>
      <c r="S18" s="10" t="s">
        <v>55</v>
      </c>
      <c r="T18" s="10" t="s">
        <v>55</v>
      </c>
      <c r="U18" s="10" t="s">
        <v>56</v>
      </c>
      <c r="V18" s="10" t="s">
        <v>56</v>
      </c>
      <c r="W18" s="10" t="s">
        <v>362</v>
      </c>
      <c r="X18" s="10" t="s">
        <v>47</v>
      </c>
      <c r="Y18" s="10" t="s">
        <v>56</v>
      </c>
    </row>
    <row r="19" ht="105.6" customHeight="1" spans="1:25">
      <c r="A19" s="10">
        <v>18</v>
      </c>
      <c r="B19" s="11">
        <v>46218</v>
      </c>
      <c r="C19" s="10" t="s">
        <v>41</v>
      </c>
      <c r="D19" s="10" t="s">
        <v>42</v>
      </c>
      <c r="E19" s="10" t="s">
        <v>43</v>
      </c>
      <c r="F19" s="10" t="s">
        <v>346</v>
      </c>
      <c r="G19" s="10" t="s">
        <v>45</v>
      </c>
      <c r="H19" s="10" t="s">
        <v>45</v>
      </c>
      <c r="I19" s="10" t="s">
        <v>46</v>
      </c>
      <c r="J19" s="10" t="s">
        <v>47</v>
      </c>
      <c r="K19" s="10" t="s">
        <v>223</v>
      </c>
      <c r="L19" s="10" t="s">
        <v>386</v>
      </c>
      <c r="M19" s="10" t="s">
        <v>387</v>
      </c>
      <c r="N19" s="12" t="s">
        <v>224</v>
      </c>
      <c r="O19" s="10" t="s">
        <v>52</v>
      </c>
      <c r="P19" s="10" t="s">
        <v>349</v>
      </c>
      <c r="Q19" s="10" t="s">
        <v>54</v>
      </c>
      <c r="R19" s="10" t="s">
        <v>55</v>
      </c>
      <c r="S19" s="10" t="s">
        <v>55</v>
      </c>
      <c r="T19" s="10" t="s">
        <v>55</v>
      </c>
      <c r="U19" s="10" t="s">
        <v>56</v>
      </c>
      <c r="V19" s="10" t="s">
        <v>56</v>
      </c>
      <c r="W19" s="10" t="s">
        <v>362</v>
      </c>
      <c r="X19" s="10" t="s">
        <v>47</v>
      </c>
      <c r="Y19" s="10" t="s">
        <v>56</v>
      </c>
    </row>
    <row r="20" ht="118.8" customHeight="1" spans="1:25">
      <c r="A20" s="10">
        <v>20</v>
      </c>
      <c r="B20" s="11">
        <v>46218</v>
      </c>
      <c r="C20" s="10" t="s">
        <v>41</v>
      </c>
      <c r="D20" s="10" t="s">
        <v>42</v>
      </c>
      <c r="E20" s="10" t="s">
        <v>43</v>
      </c>
      <c r="F20" s="10" t="s">
        <v>346</v>
      </c>
      <c r="G20" s="10" t="s">
        <v>45</v>
      </c>
      <c r="H20" s="10" t="s">
        <v>45</v>
      </c>
      <c r="I20" s="10" t="s">
        <v>46</v>
      </c>
      <c r="J20" s="10" t="s">
        <v>47</v>
      </c>
      <c r="K20" s="10" t="s">
        <v>226</v>
      </c>
      <c r="L20" s="10" t="s">
        <v>388</v>
      </c>
      <c r="M20" s="10" t="s">
        <v>389</v>
      </c>
      <c r="N20" s="12" t="s">
        <v>227</v>
      </c>
      <c r="O20" s="10" t="s">
        <v>52</v>
      </c>
      <c r="P20" s="10" t="s">
        <v>349</v>
      </c>
      <c r="Q20" s="10" t="s">
        <v>54</v>
      </c>
      <c r="R20" s="10" t="s">
        <v>55</v>
      </c>
      <c r="S20" s="10" t="s">
        <v>55</v>
      </c>
      <c r="T20" s="10" t="s">
        <v>55</v>
      </c>
      <c r="U20" s="10" t="s">
        <v>56</v>
      </c>
      <c r="V20" s="10" t="s">
        <v>56</v>
      </c>
      <c r="W20" s="10" t="s">
        <v>362</v>
      </c>
      <c r="X20" s="10" t="s">
        <v>47</v>
      </c>
      <c r="Y20" s="10" t="s">
        <v>56</v>
      </c>
    </row>
    <row r="21" ht="171.6" customHeight="1" spans="1:25">
      <c r="A21" s="10">
        <v>21</v>
      </c>
      <c r="B21" s="11">
        <v>46218</v>
      </c>
      <c r="C21" s="10" t="s">
        <v>41</v>
      </c>
      <c r="D21" s="10" t="s">
        <v>42</v>
      </c>
      <c r="E21" s="10" t="s">
        <v>43</v>
      </c>
      <c r="F21" s="10" t="s">
        <v>346</v>
      </c>
      <c r="G21" s="10" t="s">
        <v>45</v>
      </c>
      <c r="H21" s="10" t="s">
        <v>45</v>
      </c>
      <c r="I21" s="10" t="s">
        <v>46</v>
      </c>
      <c r="J21" s="10" t="s">
        <v>47</v>
      </c>
      <c r="K21" s="10" t="s">
        <v>229</v>
      </c>
      <c r="L21" s="10" t="s">
        <v>390</v>
      </c>
      <c r="M21" s="10" t="s">
        <v>391</v>
      </c>
      <c r="N21" s="12" t="s">
        <v>230</v>
      </c>
      <c r="O21" s="10" t="s">
        <v>52</v>
      </c>
      <c r="P21" s="10" t="s">
        <v>349</v>
      </c>
      <c r="Q21" s="10" t="s">
        <v>54</v>
      </c>
      <c r="R21" s="10" t="s">
        <v>55</v>
      </c>
      <c r="S21" s="10" t="s">
        <v>55</v>
      </c>
      <c r="T21" s="10" t="s">
        <v>55</v>
      </c>
      <c r="U21" s="10" t="s">
        <v>56</v>
      </c>
      <c r="V21" s="10" t="s">
        <v>56</v>
      </c>
      <c r="W21" s="10" t="s">
        <v>362</v>
      </c>
      <c r="X21" s="10" t="s">
        <v>47</v>
      </c>
      <c r="Y21" s="10" t="s">
        <v>56</v>
      </c>
    </row>
    <row r="22" ht="132" customHeight="1" spans="1:25">
      <c r="A22" s="10">
        <v>22</v>
      </c>
      <c r="B22" s="11">
        <v>46218</v>
      </c>
      <c r="C22" s="10" t="s">
        <v>41</v>
      </c>
      <c r="D22" s="10" t="s">
        <v>42</v>
      </c>
      <c r="E22" s="10" t="s">
        <v>43</v>
      </c>
      <c r="F22" s="10" t="s">
        <v>346</v>
      </c>
      <c r="G22" s="10" t="s">
        <v>45</v>
      </c>
      <c r="H22" s="10" t="s">
        <v>45</v>
      </c>
      <c r="I22" s="10" t="s">
        <v>46</v>
      </c>
      <c r="J22" s="10" t="s">
        <v>47</v>
      </c>
      <c r="K22" s="10" t="s">
        <v>231</v>
      </c>
      <c r="L22" s="10" t="s">
        <v>392</v>
      </c>
      <c r="M22" s="10" t="s">
        <v>393</v>
      </c>
      <c r="N22" s="12" t="s">
        <v>232</v>
      </c>
      <c r="O22" s="10" t="s">
        <v>52</v>
      </c>
      <c r="P22" s="10" t="s">
        <v>349</v>
      </c>
      <c r="Q22" s="10" t="s">
        <v>54</v>
      </c>
      <c r="R22" s="10" t="s">
        <v>55</v>
      </c>
      <c r="S22" s="10" t="s">
        <v>55</v>
      </c>
      <c r="T22" s="10" t="s">
        <v>55</v>
      </c>
      <c r="U22" s="10" t="s">
        <v>56</v>
      </c>
      <c r="V22" s="10" t="s">
        <v>56</v>
      </c>
      <c r="W22" s="10" t="s">
        <v>362</v>
      </c>
      <c r="X22" s="10" t="s">
        <v>47</v>
      </c>
      <c r="Y22" s="10" t="s">
        <v>56</v>
      </c>
    </row>
    <row r="23" ht="409.5" customHeight="1" spans="1:25">
      <c r="A23" s="10">
        <v>23</v>
      </c>
      <c r="B23" s="11">
        <v>46218</v>
      </c>
      <c r="C23" s="10" t="s">
        <v>41</v>
      </c>
      <c r="D23" s="10" t="s">
        <v>42</v>
      </c>
      <c r="E23" s="10" t="s">
        <v>43</v>
      </c>
      <c r="F23" s="10" t="s">
        <v>346</v>
      </c>
      <c r="G23" s="10" t="s">
        <v>45</v>
      </c>
      <c r="H23" s="10" t="s">
        <v>45</v>
      </c>
      <c r="I23" s="10" t="s">
        <v>46</v>
      </c>
      <c r="J23" s="10" t="s">
        <v>47</v>
      </c>
      <c r="K23" s="10" t="s">
        <v>234</v>
      </c>
      <c r="L23" s="10" t="s">
        <v>394</v>
      </c>
      <c r="M23" s="10" t="s">
        <v>395</v>
      </c>
      <c r="N23" s="12" t="s">
        <v>235</v>
      </c>
      <c r="O23" s="10" t="s">
        <v>52</v>
      </c>
      <c r="P23" s="10" t="s">
        <v>349</v>
      </c>
      <c r="Q23" s="10" t="s">
        <v>54</v>
      </c>
      <c r="R23" s="10" t="s">
        <v>55</v>
      </c>
      <c r="S23" s="10" t="s">
        <v>55</v>
      </c>
      <c r="T23" s="10" t="s">
        <v>55</v>
      </c>
      <c r="U23" s="10" t="s">
        <v>56</v>
      </c>
      <c r="V23" s="10" t="s">
        <v>56</v>
      </c>
      <c r="W23" s="10" t="s">
        <v>362</v>
      </c>
      <c r="X23" s="10" t="s">
        <v>47</v>
      </c>
      <c r="Y23" s="10" t="s">
        <v>56</v>
      </c>
    </row>
    <row r="24" ht="409.5" customHeight="1" spans="1:25">
      <c r="A24" s="10">
        <v>24</v>
      </c>
      <c r="B24" s="11">
        <v>46218</v>
      </c>
      <c r="C24" s="10" t="s">
        <v>41</v>
      </c>
      <c r="D24" s="10" t="s">
        <v>42</v>
      </c>
      <c r="E24" s="10" t="s">
        <v>43</v>
      </c>
      <c r="F24" s="10" t="s">
        <v>346</v>
      </c>
      <c r="G24" s="10" t="s">
        <v>45</v>
      </c>
      <c r="H24" s="10" t="s">
        <v>45</v>
      </c>
      <c r="I24" s="10" t="s">
        <v>46</v>
      </c>
      <c r="J24" s="10" t="s">
        <v>47</v>
      </c>
      <c r="K24" s="10" t="s">
        <v>236</v>
      </c>
      <c r="L24" s="10" t="s">
        <v>396</v>
      </c>
      <c r="M24" s="10" t="s">
        <v>397</v>
      </c>
      <c r="N24" s="12" t="s">
        <v>237</v>
      </c>
      <c r="O24" s="10" t="s">
        <v>52</v>
      </c>
      <c r="P24" s="10" t="s">
        <v>349</v>
      </c>
      <c r="Q24" s="10" t="s">
        <v>54</v>
      </c>
      <c r="R24" s="10" t="s">
        <v>55</v>
      </c>
      <c r="S24" s="10" t="s">
        <v>55</v>
      </c>
      <c r="T24" s="10" t="s">
        <v>55</v>
      </c>
      <c r="U24" s="10" t="s">
        <v>56</v>
      </c>
      <c r="V24" s="10" t="s">
        <v>56</v>
      </c>
      <c r="W24" s="10" t="s">
        <v>362</v>
      </c>
      <c r="X24" s="10" t="s">
        <v>47</v>
      </c>
      <c r="Y24" s="10" t="s">
        <v>56</v>
      </c>
    </row>
    <row r="25" ht="92.45" customHeight="1" spans="1:25">
      <c r="A25" s="10">
        <v>25</v>
      </c>
      <c r="B25" s="11">
        <v>46218</v>
      </c>
      <c r="C25" s="10" t="s">
        <v>41</v>
      </c>
      <c r="D25" s="10" t="s">
        <v>42</v>
      </c>
      <c r="E25" s="10" t="s">
        <v>43</v>
      </c>
      <c r="F25" s="10" t="s">
        <v>346</v>
      </c>
      <c r="G25" s="10" t="s">
        <v>45</v>
      </c>
      <c r="H25" s="10" t="s">
        <v>45</v>
      </c>
      <c r="I25" s="10" t="s">
        <v>46</v>
      </c>
      <c r="J25" s="10" t="s">
        <v>47</v>
      </c>
      <c r="K25" s="10" t="s">
        <v>239</v>
      </c>
      <c r="L25" s="10" t="s">
        <v>398</v>
      </c>
      <c r="M25" s="10" t="s">
        <v>399</v>
      </c>
      <c r="N25" s="12" t="s">
        <v>240</v>
      </c>
      <c r="O25" s="10" t="s">
        <v>52</v>
      </c>
      <c r="P25" s="10" t="s">
        <v>349</v>
      </c>
      <c r="Q25" s="10" t="s">
        <v>54</v>
      </c>
      <c r="R25" s="10" t="s">
        <v>55</v>
      </c>
      <c r="S25" s="10" t="s">
        <v>55</v>
      </c>
      <c r="T25" s="10" t="s">
        <v>55</v>
      </c>
      <c r="U25" s="10" t="s">
        <v>56</v>
      </c>
      <c r="V25" s="10" t="s">
        <v>56</v>
      </c>
      <c r="W25" s="10" t="s">
        <v>362</v>
      </c>
      <c r="X25" s="10" t="s">
        <v>47</v>
      </c>
      <c r="Y25" s="10" t="s">
        <v>56</v>
      </c>
    </row>
    <row r="26" ht="409.5" customHeight="1" spans="1:25">
      <c r="A26" s="10">
        <v>26</v>
      </c>
      <c r="B26" s="11">
        <v>46218</v>
      </c>
      <c r="C26" s="10" t="s">
        <v>41</v>
      </c>
      <c r="D26" s="10" t="s">
        <v>42</v>
      </c>
      <c r="E26" s="10" t="s">
        <v>43</v>
      </c>
      <c r="F26" s="10" t="s">
        <v>346</v>
      </c>
      <c r="G26" s="10" t="s">
        <v>45</v>
      </c>
      <c r="H26" s="10" t="s">
        <v>45</v>
      </c>
      <c r="I26" s="10" t="s">
        <v>46</v>
      </c>
      <c r="J26" s="10" t="s">
        <v>47</v>
      </c>
      <c r="K26" s="10" t="s">
        <v>242</v>
      </c>
      <c r="L26" s="10" t="s">
        <v>400</v>
      </c>
      <c r="M26" s="10" t="s">
        <v>401</v>
      </c>
      <c r="N26" s="12" t="s">
        <v>243</v>
      </c>
      <c r="O26" s="10" t="s">
        <v>52</v>
      </c>
      <c r="P26" s="10" t="s">
        <v>349</v>
      </c>
      <c r="Q26" s="10" t="s">
        <v>54</v>
      </c>
      <c r="R26" s="10" t="s">
        <v>55</v>
      </c>
      <c r="S26" s="10" t="s">
        <v>55</v>
      </c>
      <c r="T26" s="10" t="s">
        <v>55</v>
      </c>
      <c r="U26" s="10" t="s">
        <v>56</v>
      </c>
      <c r="V26" s="10" t="s">
        <v>56</v>
      </c>
      <c r="W26" s="10" t="s">
        <v>362</v>
      </c>
      <c r="X26" s="10" t="s">
        <v>47</v>
      </c>
      <c r="Y26" s="10" t="s">
        <v>56</v>
      </c>
    </row>
    <row r="27" ht="42" spans="1:25">
      <c r="A27" s="10">
        <v>27</v>
      </c>
      <c r="B27" s="11">
        <v>46213</v>
      </c>
      <c r="C27" s="10" t="s">
        <v>41</v>
      </c>
      <c r="D27" s="10" t="s">
        <v>64</v>
      </c>
      <c r="E27" s="10" t="s">
        <v>65</v>
      </c>
      <c r="F27" s="10" t="s">
        <v>66</v>
      </c>
      <c r="G27" s="10" t="s">
        <v>45</v>
      </c>
      <c r="H27" s="10" t="s">
        <v>45</v>
      </c>
      <c r="I27" s="10" t="s">
        <v>46</v>
      </c>
      <c r="J27" s="10" t="s">
        <v>47</v>
      </c>
      <c r="K27" s="10" t="s">
        <v>260</v>
      </c>
      <c r="L27" s="10" t="s">
        <v>263</v>
      </c>
      <c r="M27" s="10" t="s">
        <v>402</v>
      </c>
      <c r="N27" s="12" t="s">
        <v>261</v>
      </c>
      <c r="O27" s="10" t="s">
        <v>52</v>
      </c>
      <c r="P27" s="13" t="s">
        <v>71</v>
      </c>
      <c r="Q27" s="10" t="s">
        <v>72</v>
      </c>
      <c r="R27" s="10" t="s">
        <v>55</v>
      </c>
      <c r="S27" s="10" t="s">
        <v>55</v>
      </c>
      <c r="T27" s="10" t="s">
        <v>55</v>
      </c>
      <c r="U27" s="10" t="s">
        <v>56</v>
      </c>
      <c r="V27" s="10" t="s">
        <v>56</v>
      </c>
      <c r="W27" s="10" t="s">
        <v>403</v>
      </c>
      <c r="X27" s="10" t="s">
        <v>47</v>
      </c>
      <c r="Y27" s="10" t="s">
        <v>56</v>
      </c>
    </row>
    <row r="28" ht="42" spans="1:25">
      <c r="A28" s="10">
        <v>28</v>
      </c>
      <c r="B28" s="11">
        <v>46213</v>
      </c>
      <c r="C28" s="10" t="s">
        <v>41</v>
      </c>
      <c r="D28" s="10" t="s">
        <v>64</v>
      </c>
      <c r="E28" s="10" t="s">
        <v>65</v>
      </c>
      <c r="F28" s="10" t="s">
        <v>66</v>
      </c>
      <c r="G28" s="10" t="s">
        <v>45</v>
      </c>
      <c r="H28" s="10" t="s">
        <v>45</v>
      </c>
      <c r="I28" s="10" t="s">
        <v>46</v>
      </c>
      <c r="J28" s="10" t="s">
        <v>47</v>
      </c>
      <c r="K28" s="10" t="s">
        <v>67</v>
      </c>
      <c r="L28" s="10" t="s">
        <v>68</v>
      </c>
      <c r="M28" s="10" t="s">
        <v>404</v>
      </c>
      <c r="N28" s="12" t="s">
        <v>70</v>
      </c>
      <c r="O28" s="10" t="s">
        <v>52</v>
      </c>
      <c r="P28" s="10" t="s">
        <v>71</v>
      </c>
      <c r="Q28" s="10" t="s">
        <v>72</v>
      </c>
      <c r="R28" s="10" t="s">
        <v>55</v>
      </c>
      <c r="S28" s="10" t="s">
        <v>55</v>
      </c>
      <c r="T28" s="10" t="s">
        <v>55</v>
      </c>
      <c r="U28" s="10" t="s">
        <v>56</v>
      </c>
      <c r="V28" s="10" t="s">
        <v>56</v>
      </c>
      <c r="W28" s="10" t="s">
        <v>405</v>
      </c>
      <c r="X28" s="10" t="s">
        <v>47</v>
      </c>
      <c r="Y28" s="10" t="s">
        <v>74</v>
      </c>
    </row>
    <row r="29" spans="1:25">
      <c r="A29" s="10">
        <v>29</v>
      </c>
      <c r="B29" s="11">
        <v>46213</v>
      </c>
      <c r="C29" s="10" t="s">
        <v>41</v>
      </c>
      <c r="D29" s="10" t="s">
        <v>64</v>
      </c>
      <c r="E29" s="10" t="s">
        <v>65</v>
      </c>
      <c r="F29" s="10" t="s">
        <v>66</v>
      </c>
      <c r="G29" s="10" t="s">
        <v>45</v>
      </c>
      <c r="H29" s="10" t="s">
        <v>45</v>
      </c>
      <c r="I29" s="10" t="s">
        <v>46</v>
      </c>
      <c r="J29" s="10" t="s">
        <v>47</v>
      </c>
      <c r="K29" s="10" t="s">
        <v>75</v>
      </c>
      <c r="L29" s="10" t="s">
        <v>76</v>
      </c>
      <c r="M29" s="10" t="s">
        <v>406</v>
      </c>
      <c r="N29" s="12" t="s">
        <v>78</v>
      </c>
      <c r="O29" s="10" t="s">
        <v>52</v>
      </c>
      <c r="P29" s="10" t="s">
        <v>53</v>
      </c>
      <c r="Q29" s="10" t="s">
        <v>72</v>
      </c>
      <c r="R29" s="10" t="s">
        <v>55</v>
      </c>
      <c r="S29" s="10" t="s">
        <v>55</v>
      </c>
      <c r="T29" s="10" t="s">
        <v>55</v>
      </c>
      <c r="U29" s="10" t="s">
        <v>56</v>
      </c>
      <c r="V29" s="10" t="s">
        <v>56</v>
      </c>
      <c r="W29" s="10" t="s">
        <v>407</v>
      </c>
      <c r="X29" s="10" t="s">
        <v>47</v>
      </c>
      <c r="Y29" s="10" t="s">
        <v>74</v>
      </c>
    </row>
    <row r="30" ht="28" spans="1:25">
      <c r="A30" s="10">
        <v>30</v>
      </c>
      <c r="B30" s="11">
        <v>46213</v>
      </c>
      <c r="C30" s="10" t="s">
        <v>41</v>
      </c>
      <c r="D30" s="10" t="s">
        <v>64</v>
      </c>
      <c r="E30" s="10" t="s">
        <v>80</v>
      </c>
      <c r="F30" s="10" t="s">
        <v>66</v>
      </c>
      <c r="G30" s="10" t="s">
        <v>45</v>
      </c>
      <c r="H30" s="10" t="s">
        <v>45</v>
      </c>
      <c r="I30" s="10" t="s">
        <v>46</v>
      </c>
      <c r="J30" s="10" t="s">
        <v>47</v>
      </c>
      <c r="K30" s="10" t="s">
        <v>81</v>
      </c>
      <c r="L30" s="10" t="s">
        <v>82</v>
      </c>
      <c r="M30" s="10" t="s">
        <v>408</v>
      </c>
      <c r="N30" s="12" t="s">
        <v>84</v>
      </c>
      <c r="O30" s="10" t="s">
        <v>52</v>
      </c>
      <c r="P30" s="10" t="s">
        <v>53</v>
      </c>
      <c r="Q30" s="10" t="s">
        <v>85</v>
      </c>
      <c r="R30" s="10" t="s">
        <v>55</v>
      </c>
      <c r="S30" s="10" t="s">
        <v>55</v>
      </c>
      <c r="T30" s="10" t="s">
        <v>55</v>
      </c>
      <c r="U30" s="10" t="s">
        <v>56</v>
      </c>
      <c r="V30" s="10" t="s">
        <v>56</v>
      </c>
      <c r="W30" s="10" t="s">
        <v>407</v>
      </c>
      <c r="X30" s="10" t="s">
        <v>47</v>
      </c>
      <c r="Y30" s="10" t="s">
        <v>74</v>
      </c>
    </row>
    <row r="31" ht="84" spans="1:25">
      <c r="A31" s="10">
        <v>31</v>
      </c>
      <c r="B31" s="11">
        <v>46223</v>
      </c>
      <c r="C31" s="10" t="s">
        <v>41</v>
      </c>
      <c r="D31" s="10" t="s">
        <v>244</v>
      </c>
      <c r="E31" s="10" t="s">
        <v>409</v>
      </c>
      <c r="F31" s="10" t="s">
        <v>410</v>
      </c>
      <c r="G31" s="10" t="s">
        <v>45</v>
      </c>
      <c r="H31" s="10" t="s">
        <v>45</v>
      </c>
      <c r="I31" s="10" t="s">
        <v>46</v>
      </c>
      <c r="J31" s="10" t="s">
        <v>47</v>
      </c>
      <c r="K31" s="10" t="s">
        <v>245</v>
      </c>
      <c r="L31" s="10" t="s">
        <v>411</v>
      </c>
      <c r="M31" s="10" t="s">
        <v>412</v>
      </c>
      <c r="N31" s="12" t="s">
        <v>246</v>
      </c>
      <c r="O31" s="10" t="s">
        <v>52</v>
      </c>
      <c r="P31" s="10" t="s">
        <v>349</v>
      </c>
      <c r="Q31" s="10" t="s">
        <v>413</v>
      </c>
      <c r="R31" s="10" t="s">
        <v>55</v>
      </c>
      <c r="S31" s="10" t="s">
        <v>55</v>
      </c>
      <c r="T31" s="10" t="s">
        <v>55</v>
      </c>
      <c r="U31" s="10" t="s">
        <v>56</v>
      </c>
      <c r="V31" s="10" t="s">
        <v>56</v>
      </c>
      <c r="W31" s="10" t="s">
        <v>414</v>
      </c>
      <c r="X31" s="10" t="s">
        <v>47</v>
      </c>
      <c r="Y31" s="10" t="s">
        <v>56</v>
      </c>
    </row>
    <row r="32" ht="84" spans="1:25">
      <c r="A32" s="10">
        <v>32</v>
      </c>
      <c r="B32" s="11">
        <v>46223</v>
      </c>
      <c r="C32" s="10" t="s">
        <v>41</v>
      </c>
      <c r="D32" s="10" t="s">
        <v>244</v>
      </c>
      <c r="E32" s="10" t="s">
        <v>409</v>
      </c>
      <c r="F32" s="10" t="s">
        <v>410</v>
      </c>
      <c r="G32" s="10" t="s">
        <v>45</v>
      </c>
      <c r="H32" s="10" t="s">
        <v>45</v>
      </c>
      <c r="I32" s="10" t="s">
        <v>46</v>
      </c>
      <c r="J32" s="10" t="s">
        <v>47</v>
      </c>
      <c r="K32" s="10" t="s">
        <v>247</v>
      </c>
      <c r="L32" s="10" t="s">
        <v>415</v>
      </c>
      <c r="M32" s="10" t="s">
        <v>412</v>
      </c>
      <c r="N32" s="12" t="s">
        <v>248</v>
      </c>
      <c r="O32" s="10" t="s">
        <v>52</v>
      </c>
      <c r="P32" s="10" t="s">
        <v>349</v>
      </c>
      <c r="Q32" s="10" t="s">
        <v>413</v>
      </c>
      <c r="R32" s="10" t="s">
        <v>55</v>
      </c>
      <c r="S32" s="10" t="s">
        <v>55</v>
      </c>
      <c r="T32" s="10" t="s">
        <v>55</v>
      </c>
      <c r="U32" s="10" t="s">
        <v>56</v>
      </c>
      <c r="V32" s="10" t="s">
        <v>56</v>
      </c>
      <c r="W32" s="10" t="s">
        <v>414</v>
      </c>
      <c r="X32" s="10" t="s">
        <v>47</v>
      </c>
      <c r="Y32" s="10" t="s">
        <v>56</v>
      </c>
    </row>
    <row r="33" ht="70" spans="1:25">
      <c r="A33" s="10">
        <v>33</v>
      </c>
      <c r="B33" s="11">
        <v>46223</v>
      </c>
      <c r="C33" s="10" t="s">
        <v>41</v>
      </c>
      <c r="D33" s="10" t="s">
        <v>244</v>
      </c>
      <c r="E33" s="10" t="s">
        <v>409</v>
      </c>
      <c r="F33" s="10" t="s">
        <v>410</v>
      </c>
      <c r="G33" s="10" t="s">
        <v>45</v>
      </c>
      <c r="H33" s="10" t="s">
        <v>45</v>
      </c>
      <c r="I33" s="10" t="s">
        <v>46</v>
      </c>
      <c r="J33" s="10" t="s">
        <v>47</v>
      </c>
      <c r="K33" s="10" t="s">
        <v>249</v>
      </c>
      <c r="L33" s="10" t="s">
        <v>416</v>
      </c>
      <c r="M33" s="10" t="s">
        <v>412</v>
      </c>
      <c r="N33" s="12" t="s">
        <v>250</v>
      </c>
      <c r="O33" s="10" t="s">
        <v>52</v>
      </c>
      <c r="P33" s="10" t="s">
        <v>349</v>
      </c>
      <c r="Q33" s="10" t="s">
        <v>413</v>
      </c>
      <c r="R33" s="10" t="s">
        <v>55</v>
      </c>
      <c r="S33" s="10" t="s">
        <v>55</v>
      </c>
      <c r="T33" s="10" t="s">
        <v>55</v>
      </c>
      <c r="U33" s="10" t="s">
        <v>56</v>
      </c>
      <c r="V33" s="10" t="s">
        <v>56</v>
      </c>
      <c r="W33" s="10" t="s">
        <v>414</v>
      </c>
      <c r="X33" s="10" t="s">
        <v>47</v>
      </c>
      <c r="Y33" s="10" t="s">
        <v>56</v>
      </c>
    </row>
    <row r="34" ht="70" spans="1:25">
      <c r="A34" s="10">
        <v>34</v>
      </c>
      <c r="B34" s="11">
        <v>46223</v>
      </c>
      <c r="C34" s="10" t="s">
        <v>41</v>
      </c>
      <c r="D34" s="10" t="s">
        <v>244</v>
      </c>
      <c r="E34" s="10" t="s">
        <v>409</v>
      </c>
      <c r="F34" s="10" t="s">
        <v>410</v>
      </c>
      <c r="G34" s="10" t="s">
        <v>45</v>
      </c>
      <c r="H34" s="10" t="s">
        <v>45</v>
      </c>
      <c r="I34" s="10" t="s">
        <v>46</v>
      </c>
      <c r="J34" s="10" t="s">
        <v>47</v>
      </c>
      <c r="K34" s="10" t="s">
        <v>252</v>
      </c>
      <c r="L34" s="10" t="s">
        <v>417</v>
      </c>
      <c r="M34" s="10" t="s">
        <v>412</v>
      </c>
      <c r="N34" s="12" t="s">
        <v>253</v>
      </c>
      <c r="O34" s="10" t="s">
        <v>52</v>
      </c>
      <c r="P34" s="10" t="s">
        <v>349</v>
      </c>
      <c r="Q34" s="10" t="s">
        <v>413</v>
      </c>
      <c r="R34" s="10" t="s">
        <v>55</v>
      </c>
      <c r="S34" s="10" t="s">
        <v>55</v>
      </c>
      <c r="T34" s="10" t="s">
        <v>55</v>
      </c>
      <c r="U34" s="10" t="s">
        <v>56</v>
      </c>
      <c r="V34" s="10" t="s">
        <v>56</v>
      </c>
      <c r="W34" s="10" t="s">
        <v>414</v>
      </c>
      <c r="X34" s="10" t="s">
        <v>47</v>
      </c>
      <c r="Y34" s="10" t="s">
        <v>56</v>
      </c>
    </row>
  </sheetData>
  <conditionalFormatting sqref="P2:P27">
    <cfRule type="expression" dxfId="25" priority="1" stopIfTrue="1">
      <formula>P2="支持认可"</formula>
    </cfRule>
    <cfRule type="expression" dxfId="25" priority="2" stopIfTrue="1">
      <formula>P2="明确批评"</formula>
    </cfRule>
    <cfRule type="expression" dxfId="25" priority="3" stopIfTrue="1">
      <formula>P2="待核实信息"</formula>
    </cfRule>
  </conditionalFormatting>
  <pageMargins left="0.7" right="0.7" top="0.75" bottom="0.75" header="0.3" footer="0.3"/>
  <headerFooter/>
  <tableParts count="1">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0"/>
  <sheetViews>
    <sheetView workbookViewId="0">
      <selection activeCell="A1" sqref="A1"/>
    </sheetView>
  </sheetViews>
  <sheetFormatPr defaultColWidth="9" defaultRowHeight="14" outlineLevelCol="1"/>
  <cols>
    <col min="1" max="1" width="12" customWidth="1"/>
    <col min="2" max="2" width="44" customWidth="1"/>
  </cols>
  <sheetData>
    <row r="1" ht="15" customHeight="1" spans="1:2">
      <c r="A1" s="3" t="s">
        <v>418</v>
      </c>
      <c r="B1" s="3" t="s">
        <v>419</v>
      </c>
    </row>
    <row r="2" ht="39.6" customHeight="1" spans="1:2">
      <c r="A2" s="4">
        <v>1</v>
      </c>
      <c r="B2" s="4" t="s">
        <v>54</v>
      </c>
    </row>
    <row r="3" ht="39.6" customHeight="1" spans="1:2">
      <c r="A3" s="4">
        <v>2</v>
      </c>
      <c r="B3" s="4" t="s">
        <v>72</v>
      </c>
    </row>
    <row r="4" ht="39.6" customHeight="1" spans="1:2">
      <c r="A4" s="4">
        <v>3</v>
      </c>
      <c r="B4" s="7" t="s">
        <v>85</v>
      </c>
    </row>
    <row r="5" ht="39.6" customHeight="1" spans="1:2">
      <c r="A5" s="4"/>
      <c r="B5" s="8"/>
    </row>
    <row r="6" ht="66" customHeight="1" spans="1:2">
      <c r="A6" s="4"/>
      <c r="B6" s="8"/>
    </row>
    <row r="7" ht="39.6" customHeight="1" spans="1:2">
      <c r="A7" s="4"/>
      <c r="B7" s="8"/>
    </row>
    <row r="8" ht="39.6" customHeight="1" spans="1:2">
      <c r="A8" s="4"/>
      <c r="B8" s="8"/>
    </row>
    <row r="9" ht="39.6" customHeight="1" spans="1:2">
      <c r="A9" s="4"/>
      <c r="B9" s="8"/>
    </row>
    <row r="10" ht="66" customHeight="1" spans="1:2">
      <c r="A10" s="4"/>
      <c r="B10" s="8"/>
    </row>
    <row r="11" ht="39.6" customHeight="1" spans="1:2">
      <c r="A11" s="4"/>
      <c r="B11" s="8"/>
    </row>
    <row r="12" ht="39.6" customHeight="1" spans="1:2">
      <c r="A12" s="4"/>
      <c r="B12" s="8"/>
    </row>
    <row r="13" ht="39.6" customHeight="1" spans="1:2">
      <c r="A13" s="4"/>
      <c r="B13" s="8"/>
    </row>
    <row r="14" ht="39.6" customHeight="1" spans="1:2">
      <c r="A14" s="4"/>
      <c r="B14" s="4"/>
    </row>
    <row r="15" ht="39.6" customHeight="1" spans="1:2">
      <c r="A15" s="4"/>
      <c r="B15" s="4"/>
    </row>
    <row r="16" ht="39.6" customHeight="1" spans="1:2">
      <c r="A16" s="4"/>
      <c r="B16" s="4"/>
    </row>
    <row r="17" ht="39.6" customHeight="1" spans="1:2">
      <c r="A17" s="4"/>
      <c r="B17" s="4"/>
    </row>
    <row r="18" ht="66" customHeight="1" spans="1:2">
      <c r="A18" s="4"/>
      <c r="B18" s="4"/>
    </row>
    <row r="19" ht="39.6" customHeight="1" spans="1:2">
      <c r="A19" s="4"/>
      <c r="B19" s="4"/>
    </row>
    <row r="20" ht="39.6" customHeight="1" spans="1:2">
      <c r="A20" s="4"/>
      <c r="B20" s="4"/>
    </row>
    <row r="21" ht="39.6" customHeight="1" spans="1:2">
      <c r="A21" s="4"/>
      <c r="B21" s="4"/>
    </row>
    <row r="22" ht="39.6" customHeight="1" spans="1:2">
      <c r="A22" s="4"/>
      <c r="B22" s="4"/>
    </row>
    <row r="23" ht="39.6" customHeight="1" spans="1:2">
      <c r="A23" s="4"/>
      <c r="B23" s="4"/>
    </row>
    <row r="24" ht="39.6" customHeight="1" spans="1:2">
      <c r="A24" s="4"/>
      <c r="B24" s="4"/>
    </row>
    <row r="25" ht="39.6" customHeight="1" spans="1:2">
      <c r="A25" s="4"/>
      <c r="B25" s="4"/>
    </row>
    <row r="26" ht="39.6" customHeight="1" spans="1:2">
      <c r="A26" s="4"/>
      <c r="B26" s="4"/>
    </row>
    <row r="27" ht="39.6" customHeight="1" spans="1:2">
      <c r="A27" s="4"/>
      <c r="B27" s="4"/>
    </row>
    <row r="28" ht="39.6" customHeight="1" spans="1:2">
      <c r="A28" s="4"/>
      <c r="B28" s="4"/>
    </row>
    <row r="29" ht="39.6" customHeight="1" spans="1:2">
      <c r="A29" s="4"/>
      <c r="B29" s="4"/>
    </row>
    <row r="30" ht="39.6" customHeight="1" spans="1:2">
      <c r="A30" s="4"/>
      <c r="B30" s="4"/>
    </row>
    <row r="31" ht="39.6" customHeight="1" spans="1:2">
      <c r="A31" s="4"/>
      <c r="B31" s="4"/>
    </row>
    <row r="32" ht="39.6" customHeight="1" spans="1:2">
      <c r="A32" s="4"/>
      <c r="B32" s="4"/>
    </row>
    <row r="33" ht="39.6" customHeight="1" spans="1:2">
      <c r="A33" s="4"/>
      <c r="B33" s="4"/>
    </row>
    <row r="34" ht="39.6" customHeight="1" spans="1:2">
      <c r="A34" s="4"/>
      <c r="B34" s="4"/>
    </row>
    <row r="35" ht="66" customHeight="1" spans="1:2">
      <c r="A35" s="4"/>
      <c r="B35" s="4"/>
    </row>
    <row r="36" ht="39.6" customHeight="1" spans="1:2">
      <c r="A36" s="4"/>
      <c r="B36" s="4"/>
    </row>
    <row r="37" ht="39.6" customHeight="1" spans="1:2">
      <c r="A37" s="4"/>
      <c r="B37" s="4"/>
    </row>
    <row r="38" ht="15" customHeight="1" spans="1:2">
      <c r="A38" s="4"/>
      <c r="B38" s="4"/>
    </row>
    <row r="39" ht="39.6" customHeight="1" spans="1:2">
      <c r="A39" s="4"/>
      <c r="B39" s="4"/>
    </row>
    <row r="40" ht="39.6" customHeight="1" spans="1:2">
      <c r="A40" s="4"/>
      <c r="B40" s="4"/>
    </row>
  </sheetData>
  <pageMargins left="0.7" right="0.7" top="0.75" bottom="0.75" header="0.3" footer="0.3"/>
  <headerFooter/>
  <tableParts count="1">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7"/>
  <sheetViews>
    <sheetView workbookViewId="0">
      <selection activeCell="A1" sqref="A1"/>
    </sheetView>
  </sheetViews>
  <sheetFormatPr defaultColWidth="9" defaultRowHeight="14" outlineLevelRow="6" outlineLevelCol="4"/>
  <cols>
    <col min="1" max="1" width="17" customWidth="1"/>
    <col min="2" max="2" width="42" customWidth="1"/>
    <col min="3" max="3" width="18" customWidth="1"/>
    <col min="4" max="4" width="60" customWidth="1"/>
    <col min="5" max="5" width="55" customWidth="1"/>
  </cols>
  <sheetData>
    <row r="1" ht="15" customHeight="1" spans="1:5">
      <c r="A1" s="3" t="s">
        <v>420</v>
      </c>
      <c r="B1" s="3" t="s">
        <v>421</v>
      </c>
      <c r="C1" s="3" t="s">
        <v>17</v>
      </c>
      <c r="D1" s="3" t="s">
        <v>422</v>
      </c>
      <c r="E1" s="3" t="s">
        <v>423</v>
      </c>
    </row>
    <row r="2" ht="184.8" customHeight="1" spans="1:5">
      <c r="A2" s="4" t="s">
        <v>424</v>
      </c>
      <c r="B2" s="4" t="s">
        <v>425</v>
      </c>
      <c r="C2" s="5">
        <v>46094</v>
      </c>
      <c r="D2" s="4" t="s">
        <v>426</v>
      </c>
      <c r="E2" s="6" t="s">
        <v>427</v>
      </c>
    </row>
    <row r="3" ht="158.45" customHeight="1" spans="1:5">
      <c r="A3" s="4" t="s">
        <v>428</v>
      </c>
      <c r="B3" s="4" t="s">
        <v>429</v>
      </c>
      <c r="C3" s="5">
        <v>46093</v>
      </c>
      <c r="D3" s="4" t="s">
        <v>430</v>
      </c>
      <c r="E3" s="6" t="s">
        <v>431</v>
      </c>
    </row>
    <row r="4" ht="79.25" customHeight="1" spans="1:5">
      <c r="A4" s="4" t="s">
        <v>432</v>
      </c>
      <c r="B4" s="4" t="s">
        <v>433</v>
      </c>
      <c r="C4" s="5">
        <v>46197</v>
      </c>
      <c r="D4" s="4" t="s">
        <v>434</v>
      </c>
      <c r="E4" s="6" t="s">
        <v>435</v>
      </c>
    </row>
    <row r="5" ht="132" customHeight="1" spans="1:5">
      <c r="A5" s="4" t="s">
        <v>436</v>
      </c>
      <c r="B5" s="4" t="s">
        <v>437</v>
      </c>
      <c r="C5" s="5" t="s">
        <v>438</v>
      </c>
      <c r="D5" s="4" t="s">
        <v>439</v>
      </c>
      <c r="E5" s="6" t="s">
        <v>440</v>
      </c>
    </row>
    <row r="6" ht="158.45" customHeight="1" spans="1:5">
      <c r="A6" s="4" t="s">
        <v>441</v>
      </c>
      <c r="B6" s="4" t="s">
        <v>442</v>
      </c>
      <c r="C6" s="5" t="s">
        <v>440</v>
      </c>
      <c r="D6" s="4" t="s">
        <v>443</v>
      </c>
      <c r="E6" s="6" t="s">
        <v>440</v>
      </c>
    </row>
    <row r="7" ht="105.6" customHeight="1" spans="1:5">
      <c r="A7" s="4" t="s">
        <v>30</v>
      </c>
      <c r="B7" s="4" t="s">
        <v>444</v>
      </c>
      <c r="C7" s="5" t="s">
        <v>440</v>
      </c>
      <c r="D7" s="4" t="s">
        <v>445</v>
      </c>
      <c r="E7" s="6" t="s">
        <v>440</v>
      </c>
    </row>
  </sheetData>
  <pageMargins left="0.7" right="0.7" top="0.75" bottom="0.75" header="0.3" footer="0.3"/>
  <headerFooter/>
  <tableParts count="1">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9"/>
  <sheetViews>
    <sheetView workbookViewId="0">
      <selection activeCell="A1" sqref="A1"/>
    </sheetView>
  </sheetViews>
  <sheetFormatPr defaultColWidth="9" defaultRowHeight="14" outlineLevelCol="2"/>
  <cols>
    <col min="1" max="1" width="16.1333333333333" customWidth="1"/>
    <col min="2" max="2" width="10.4" customWidth="1"/>
  </cols>
  <sheetData>
    <row r="1" spans="1:3">
      <c r="A1" t="s">
        <v>446</v>
      </c>
      <c r="B1" t="s">
        <v>89</v>
      </c>
      <c r="C1" t="s">
        <v>447</v>
      </c>
    </row>
    <row r="2" spans="1:3">
      <c r="A2" t="s">
        <v>448</v>
      </c>
      <c r="B2">
        <v>3</v>
      </c>
      <c r="C2" t="s">
        <v>449</v>
      </c>
    </row>
    <row r="3" spans="1:3">
      <c r="A3" t="s">
        <v>450</v>
      </c>
      <c r="B3">
        <v>2</v>
      </c>
      <c r="C3" t="s">
        <v>43</v>
      </c>
    </row>
    <row r="4" spans="1:3">
      <c r="A4" t="s">
        <v>451</v>
      </c>
      <c r="B4">
        <v>2</v>
      </c>
      <c r="C4" t="s">
        <v>452</v>
      </c>
    </row>
    <row r="5" spans="1:3">
      <c r="A5" t="s">
        <v>453</v>
      </c>
      <c r="B5">
        <v>1</v>
      </c>
      <c r="C5" t="s">
        <v>409</v>
      </c>
    </row>
    <row r="6" spans="1:3">
      <c r="A6" t="s">
        <v>454</v>
      </c>
      <c r="B6">
        <v>25</v>
      </c>
      <c r="C6" t="s">
        <v>455</v>
      </c>
    </row>
    <row r="7" spans="1:3">
      <c r="A7" t="s">
        <v>456</v>
      </c>
      <c r="B7">
        <v>4</v>
      </c>
      <c r="C7" t="s">
        <v>457</v>
      </c>
    </row>
    <row r="8" spans="1:3">
      <c r="A8" t="s">
        <v>458</v>
      </c>
      <c r="B8">
        <v>4</v>
      </c>
      <c r="C8" t="s">
        <v>459</v>
      </c>
    </row>
    <row r="9" spans="1:3">
      <c r="A9" t="s">
        <v>460</v>
      </c>
      <c r="B9">
        <v>33</v>
      </c>
    </row>
  </sheetData>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
  <sheetViews>
    <sheetView workbookViewId="0">
      <selection activeCell="A1" sqref="A1"/>
    </sheetView>
  </sheetViews>
  <sheetFormatPr defaultColWidth="9" defaultRowHeight="14" outlineLevelRow="2" outlineLevelCol="3"/>
  <cols>
    <col min="1" max="1" width="22.6666666666667" customWidth="1"/>
  </cols>
  <sheetData>
    <row r="1" spans="1:4">
      <c r="A1" t="s">
        <v>461</v>
      </c>
      <c r="B1" t="s">
        <v>89</v>
      </c>
      <c r="C1" t="s">
        <v>462</v>
      </c>
      <c r="D1" t="s">
        <v>105</v>
      </c>
    </row>
    <row r="2" spans="1:4">
      <c r="A2" t="s">
        <v>463</v>
      </c>
      <c r="B2">
        <v>5</v>
      </c>
      <c r="C2" s="2">
        <v>1</v>
      </c>
      <c r="D2" t="s">
        <v>464</v>
      </c>
    </row>
    <row r="3" spans="1:4">
      <c r="A3" t="s">
        <v>465</v>
      </c>
      <c r="B3">
        <v>5</v>
      </c>
      <c r="C3" s="2">
        <v>1</v>
      </c>
      <c r="D3" t="s">
        <v>466</v>
      </c>
    </row>
  </sheetData>
  <pageMargins left="0.7" right="0.7" top="0.75" bottom="0.75" header="0.3" footer="0.3"/>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6"/>
  <sheetViews>
    <sheetView workbookViewId="0">
      <selection activeCell="A1" sqref="A1"/>
    </sheetView>
  </sheetViews>
  <sheetFormatPr defaultColWidth="9" defaultRowHeight="14" outlineLevelRow="5" outlineLevelCol="3"/>
  <sheetData>
    <row r="1" ht="42" spans="1:4">
      <c r="A1" s="1" t="s">
        <v>467</v>
      </c>
      <c r="B1" s="1" t="s">
        <v>89</v>
      </c>
      <c r="C1" s="1" t="s">
        <v>468</v>
      </c>
      <c r="D1" s="1" t="s">
        <v>337</v>
      </c>
    </row>
    <row r="2" ht="56" spans="1:4">
      <c r="A2" s="1" t="s">
        <v>349</v>
      </c>
      <c r="B2" s="1">
        <v>0</v>
      </c>
      <c r="C2" s="1" t="s">
        <v>469</v>
      </c>
      <c r="D2" s="1" t="s">
        <v>470</v>
      </c>
    </row>
    <row r="3" spans="1:4">
      <c r="A3" s="1" t="s">
        <v>471</v>
      </c>
      <c r="B3" s="1">
        <v>0</v>
      </c>
      <c r="C3" s="1" t="s">
        <v>469</v>
      </c>
      <c r="D3" s="1" t="s">
        <v>472</v>
      </c>
    </row>
    <row r="4" spans="1:4">
      <c r="A4" s="1" t="s">
        <v>473</v>
      </c>
      <c r="B4" s="1">
        <v>0</v>
      </c>
      <c r="C4" s="1" t="s">
        <v>469</v>
      </c>
      <c r="D4" s="1" t="s">
        <v>472</v>
      </c>
    </row>
    <row r="5" spans="1:4">
      <c r="A5" s="1" t="s">
        <v>474</v>
      </c>
      <c r="B5" s="1">
        <v>0</v>
      </c>
      <c r="C5" s="1" t="s">
        <v>469</v>
      </c>
      <c r="D5" s="1" t="s">
        <v>472</v>
      </c>
    </row>
    <row r="6" ht="28" spans="1:4">
      <c r="A6" s="1" t="s">
        <v>475</v>
      </c>
      <c r="B6" s="1">
        <v>0</v>
      </c>
      <c r="C6" s="1" t="s">
        <v>469</v>
      </c>
      <c r="D6" s="1" t="s">
        <v>472</v>
      </c>
    </row>
  </sheetData>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8"/>
  <sheetViews>
    <sheetView workbookViewId="0">
      <selection activeCell="A1" sqref="A1"/>
    </sheetView>
  </sheetViews>
  <sheetFormatPr defaultColWidth="9" defaultRowHeight="14" outlineLevelRow="7" outlineLevelCol="3"/>
  <sheetData>
    <row r="1" spans="1:4">
      <c r="A1" t="s">
        <v>476</v>
      </c>
      <c r="B1" t="s">
        <v>477</v>
      </c>
      <c r="C1" t="s">
        <v>478</v>
      </c>
      <c r="D1" t="s">
        <v>479</v>
      </c>
    </row>
    <row r="2" spans="1:4">
      <c r="A2" t="s">
        <v>46</v>
      </c>
      <c r="B2">
        <v>5</v>
      </c>
      <c r="C2" t="s">
        <v>480</v>
      </c>
      <c r="D2" t="s">
        <v>481</v>
      </c>
    </row>
    <row r="3" spans="1:4">
      <c r="A3" t="s">
        <v>482</v>
      </c>
      <c r="B3">
        <v>0</v>
      </c>
      <c r="C3" t="s">
        <v>469</v>
      </c>
      <c r="D3" t="s">
        <v>472</v>
      </c>
    </row>
    <row r="4" spans="1:4">
      <c r="A4" t="s">
        <v>483</v>
      </c>
      <c r="B4">
        <v>0</v>
      </c>
      <c r="C4" t="s">
        <v>469</v>
      </c>
      <c r="D4" t="s">
        <v>472</v>
      </c>
    </row>
    <row r="5" spans="1:4">
      <c r="A5" t="s">
        <v>484</v>
      </c>
      <c r="B5">
        <v>0</v>
      </c>
      <c r="C5" t="s">
        <v>469</v>
      </c>
      <c r="D5" t="s">
        <v>472</v>
      </c>
    </row>
    <row r="6" spans="1:4">
      <c r="A6" t="s">
        <v>485</v>
      </c>
      <c r="B6">
        <v>0</v>
      </c>
      <c r="C6" t="s">
        <v>469</v>
      </c>
      <c r="D6" t="s">
        <v>472</v>
      </c>
    </row>
    <row r="7" spans="1:4">
      <c r="A7" t="s">
        <v>486</v>
      </c>
      <c r="B7">
        <v>0</v>
      </c>
      <c r="C7" t="s">
        <v>469</v>
      </c>
      <c r="D7" t="s">
        <v>472</v>
      </c>
    </row>
    <row r="8" spans="1:4">
      <c r="A8" t="s">
        <v>487</v>
      </c>
      <c r="B8">
        <v>0</v>
      </c>
      <c r="C8" t="s">
        <v>469</v>
      </c>
      <c r="D8" t="s">
        <v>472</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14</vt:i4>
      </vt:variant>
    </vt:vector>
  </HeadingPairs>
  <TitlesOfParts>
    <vt:vector size="14" baseType="lpstr">
      <vt:lpstr>说明与结论</vt:lpstr>
      <vt:lpstr>有效舆情明细</vt:lpstr>
      <vt:lpstr>公众意见汇总</vt:lpstr>
      <vt:lpstr>官方实施信息</vt:lpstr>
      <vt:lpstr>排除记录</vt:lpstr>
      <vt:lpstr>人工补查入口</vt:lpstr>
      <vt:lpstr>检索日志</vt:lpstr>
      <vt:lpstr>扁平化数据</vt:lpstr>
      <vt:lpstr>议题标签</vt:lpstr>
      <vt:lpstr>核验依据</vt:lpstr>
      <vt:lpstr>检测来源与查看信息</vt:lpstr>
      <vt:lpstr>有效相关信息数</vt:lpstr>
      <vt:lpstr>非支持态度复核</vt:lpstr>
      <vt:lpstr>少数民族语言复核</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谢依宸</cp:lastModifiedBy>
  <dcterms:created xsi:type="dcterms:W3CDTF">2026-08-11T06:02:07Z</dcterms:created>
  <dcterms:modified xsi:type="dcterms:W3CDTF">2026-08-11T06:02:12Z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1EB36EB9636D422CA0444217A4E3D9AC_13</vt:lpwstr>
  </property>
  <property fmtid="{D5CDD505-2E9C-101B-9397-08002B2CF9AE}" pid="3" name="KSOProductBuildVer">
    <vt:lpwstr>2052-12.1.0.28043</vt:lpwstr>
  </property>
  <property fmtid="{D5CDD505-2E9C-101B-9397-08002B2CF9AE}" pid="4" name="CalculationRule">
    <vt:i4>0</vt:i4>
  </property>
</Properties>
</file>