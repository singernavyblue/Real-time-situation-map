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activeTab="2"/>
  </bookViews>
  <sheets>
    <sheet name="说明与结论" sheetId="1" r:id="rId1"/>
    <sheet name="有效舆情明细" sheetId="2" r:id="rId2"/>
    <sheet name="官方实施信息" sheetId="3" r:id="rId3"/>
    <sheet name="公众意见汇总" sheetId="4" r:id="rId4"/>
    <sheet name="排除记录" sheetId="5" r:id="rId5"/>
    <sheet name="人工补查入口" sheetId="6" r:id="rId6"/>
    <sheet name="检索日志" sheetId="7" r:id="rId7"/>
    <sheet name="扁平化数据" sheetId="8" r:id="rId8"/>
    <sheet name="议题标签" sheetId="9" r:id="rId9"/>
    <sheet name="核验依据" sheetId="10" r:id="rId10"/>
    <sheet name="统计与专项复核"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<sst xmlns="http://schemas.openxmlformats.org/spreadsheetml/2006/main" count="2150" uniqueCount="705">
  <si>
    <t>《民族团结进步促进法》实施舆情回溯</t>
  </si>
  <si>
    <t>研究窗口</t>
  </si>
  <si>
    <t>2026-07-01 00:00—2026-08-05 23:59（北京时间）</t>
  </si>
  <si>
    <t>链接复核时间</t>
  </si>
  <si>
    <t>2026-08-07（北京时间，专项复核）</t>
  </si>
  <si>
    <t>有效明细条目</t>
  </si>
  <si>
    <t>唯一可用链接</t>
  </si>
  <si>
    <t>官方实施明细</t>
  </si>
  <si>
    <t>有效公众意见</t>
  </si>
  <si>
    <t>剔除候选记录</t>
  </si>
  <si>
    <t>直接可打开链接</t>
  </si>
  <si>
    <t>保留链接可用率</t>
  </si>
  <si>
    <t>核心结论</t>
  </si>
  <si>
    <t>1）原48条有效候选经链接和正文复核后保留37条，使用28个可直接打开的具体内容链接；其余记录不进入正式统计。</t>
  </si>
  <si>
    <t>2）保留资料仍以官方贯彻实施、学习宣讲和媒体报道为主；官方实施表保留25条实施明细。</t>
  </si>
  <si>
    <t>3）可独立计入公众意见的记录共8条，均有正文证据支持且均为支持认可。样本主要来自媒体采访和社会组织负责人引语，不宜据此推断整体公众态度。</t>
  </si>
  <si>
    <t>4）侗语、苗语、畲语3条记录均已完成页面事实复核：网页能够证明存在相关双语/民族语言宣讲活动，但未公开少数民族语言逐字原文，因此不能进行逐字翻译或语言内容核验，也不将其统计为少数民族语言公众意见。</t>
  </si>
  <si>
    <t>5）本次补充采用可追溯去重口径：监测来源24个，查看候选信息约48条；37条民族议题相关有效信息中，36条与本法及其实施明确相关，1条间接相关。</t>
  </si>
  <si>
    <t>重要边界说明</t>
  </si>
  <si>
    <r>
      <rPr>
        <sz val="1000"/>
        <color rgb="FF173042"/>
        <rFont val="宋体"/>
        <charset val="134"/>
      </rPr>
      <t>本报告是一次性历史回溯，不是实时监测。实际检索截止为</t>
    </r>
    <r>
      <rPr>
        <sz val="1000"/>
        <color rgb="FF173042"/>
        <rFont val="Noto Sans CJK SC"/>
        <charset val="134"/>
      </rPr>
      <t>2026</t>
    </r>
    <r>
      <rPr>
        <sz val="1000"/>
        <color rgb="FF173042"/>
        <rFont val="宋体"/>
        <charset val="134"/>
      </rPr>
      <t>年</t>
    </r>
    <r>
      <rPr>
        <sz val="1000"/>
        <color rgb="FF173042"/>
        <rFont val="Noto Sans CJK SC"/>
        <charset val="134"/>
      </rPr>
      <t>8</t>
    </r>
    <r>
      <rPr>
        <sz val="1000"/>
        <color rgb="FF173042"/>
        <rFont val="宋体"/>
        <charset val="134"/>
      </rPr>
      <t>月</t>
    </r>
    <r>
      <rPr>
        <sz val="1000"/>
        <color rgb="FF173042"/>
        <rFont val="Noto Sans CJK SC"/>
        <charset val="134"/>
      </rPr>
      <t>5</t>
    </r>
    <r>
      <rPr>
        <sz val="1000"/>
        <color rgb="FF173042"/>
        <rFont val="宋体"/>
        <charset val="134"/>
      </rPr>
      <t>日</t>
    </r>
    <r>
      <rPr>
        <sz val="1000"/>
        <color rgb="FF173042"/>
        <rFont val="Noto Sans CJK SC"/>
        <charset val="134"/>
      </rPr>
      <t>17:25</t>
    </r>
    <r>
      <rPr>
        <sz val="1000"/>
        <color rgb="FF173042"/>
        <rFont val="宋体"/>
        <charset val="134"/>
      </rPr>
      <t>；之后发生或尚未被索引的内容不在覆盖范围。</t>
    </r>
  </si>
  <si>
    <t>‘所有链接可用’指本次复核时能直接返回HTTP 200、落到具体内容路径且标题或正文与记录相关；不代表网页未来不会改版、下线或改变访问策略。</t>
  </si>
  <si>
    <t>不可访问平台上的意见被剔除后，统计会更可靠但覆盖面更窄；‘未检出’不等于相关意见不存在。</t>
  </si>
  <si>
    <t>序号</t>
  </si>
  <si>
    <t>发布日期</t>
  </si>
  <si>
    <t>采集来源</t>
  </si>
  <si>
    <t>平台或网站</t>
  </si>
  <si>
    <t>账号或栏目名称</t>
  </si>
  <si>
    <t>来源类型</t>
  </si>
  <si>
    <t>涉及地区</t>
  </si>
  <si>
    <t>行政层级</t>
  </si>
  <si>
    <t>原始语言</t>
  </si>
  <si>
    <t>中文翻译</t>
  </si>
  <si>
    <t>标题或话题</t>
  </si>
  <si>
    <t>原文证据摘录</t>
  </si>
  <si>
    <t>客观摘要</t>
  </si>
  <si>
    <t>原始链接</t>
  </si>
  <si>
    <t>关联度</t>
  </si>
  <si>
    <t>意见类型</t>
  </si>
  <si>
    <t>具体议题</t>
  </si>
  <si>
    <t>点赞量</t>
  </si>
  <si>
    <t>评论量</t>
  </si>
  <si>
    <t>转发量</t>
  </si>
  <si>
    <t>是否重复</t>
  </si>
  <si>
    <t>是否待核实</t>
  </si>
  <si>
    <t>人工复核说明</t>
  </si>
  <si>
    <t>其他转载平台</t>
  </si>
  <si>
    <t>是否计入公众意见统计</t>
  </si>
  <si>
    <t>全网检索（原始页已打开）</t>
  </si>
  <si>
    <t>中央统战部网站</t>
  </si>
  <si>
    <t>时政要闻</t>
  </si>
  <si>
    <t>媒体报道</t>
  </si>
  <si>
    <t>全国</t>
  </si>
  <si>
    <t>国家级</t>
  </si>
  <si>
    <t>中文</t>
  </si>
  <si>
    <t>《中华人民共和国民族团结进步促进法》今起施行</t>
  </si>
  <si>
    <t>“这部法律今天（7月1日）起正式施行。”</t>
  </si>
  <si>
    <t>转载央视新闻客户端，对法律施行时间、65条结构和基本法定位作中性介绍。</t>
  </si>
  <si>
    <t>https://www.zytzb.gov.cn/zytzb/2026-07/01/article_15367.shtml</t>
  </si>
  <si>
    <t>A类</t>
  </si>
  <si>
    <t>中性信息</t>
  </si>
  <si>
    <t>法律施行与权威解读</t>
  </si>
  <si>
    <t>否</t>
  </si>
  <si>
    <t>可用性复核通过：HTTP 200；页面标题相符；正文证据摘录命中；正文含法律名称；核验时间 2026-08-05 18:38:45（北京时间）。</t>
  </si>
  <si>
    <t>国家民族事务委员会</t>
  </si>
  <si>
    <t>学习宣传贯彻专题/评论综述</t>
  </si>
  <si>
    <t>官方实施信息</t>
  </si>
  <si>
    <t>中国特色解决民族问题正确道路的法治里程碑</t>
  </si>
  <si>
    <t>“《中华人民共和国民族团结进步促进法》于2026年7月1日起正式施行。”</t>
  </si>
  <si>
    <t>求是网评论由国家民委专题页收录，围绕立法意义、依法治理民族事务和共同体建设展开阐释。</t>
  </si>
  <si>
    <t>https://www.neac.gov.cn/seac/c103755/202607/1192237.shtml</t>
  </si>
  <si>
    <t>官方政策信息</t>
  </si>
  <si>
    <t>政策解读与法律定位</t>
  </si>
  <si>
    <t>可用性复核通过：HTTP 200；正文证据摘录命中；正文含法律名称；核验时间 2026-08-05 18:38:45（北京时间）。</t>
  </si>
  <si>
    <t>委属动态</t>
  </si>
  <si>
    <t>全国/北京</t>
  </si>
  <si>
    <t>民族团结进步促进法示范宣讲在中央民族大学举办</t>
  </si>
  <si>
    <t>“由国家民委铸牢中华民族共同体意识宣讲团主办……示范宣讲在海淀校区举行。”</t>
  </si>
  <si>
    <t>国家民委在中央民族大学组织正式施行后的示范宣讲，介绍立法背景、制度规范和宣传贯彻要求。</t>
  </si>
  <si>
    <t>https://www.neac.gov.cn/seac/xwzx/202607/1192439.shtml</t>
  </si>
  <si>
    <t>高校宣讲与示范普法</t>
  </si>
  <si>
    <t>俄罗斯卫星通讯社中文网</t>
  </si>
  <si>
    <t>中国/国际新闻</t>
  </si>
  <si>
    <t>全国/境外舆论场</t>
  </si>
  <si>
    <t>跨区域</t>
  </si>
  <si>
    <t>不适用（原页为中文）</t>
  </si>
  <si>
    <t>《民族团结进步促进法》正式施行，美欧及台湾地区表示关切</t>
  </si>
  <si>
    <t>“担忧该法进一步限制少数民族文化、语言及宗教权利”。</t>
  </si>
  <si>
    <t>报道汇集欧盟、美国和台湾方面对少数民族文化语言权利及域外适用的担忧，并同时转述中方回应。</t>
  </si>
  <si>
    <t>https://sputniknews.cn/20260703/1072164285.html</t>
  </si>
  <si>
    <t>担忧影响（媒体转述第三方关切）</t>
  </si>
  <si>
    <t>第63条域外适用；少数民族语言文化权利；国际回应</t>
  </si>
  <si>
    <t>原始页面复核通过（HTTP 200，2026-08-07，北京时间）。该页为中文媒体报道，正文明确转述欧盟、美国及台湾方面的担忧，并同时刊载中方回应；态度类型确认为“担忧影响（媒体转述）”，不作为公众原创意见计数。</t>
  </si>
  <si>
    <t>中共中央台办、国务院台办</t>
  </si>
  <si>
    <t>要闻</t>
  </si>
  <si>
    <t>政府公开答复</t>
  </si>
  <si>
    <t>国台办：民进党当局造谣抹黑民族团结进步法不会得逞</t>
  </si>
  <si>
    <t>“有民进党政客称……扩大‘跨境镇压’。请问对此有何评论？”</t>
  </si>
  <si>
    <t>国务院台办发布会对有关“跨境镇压”说法作公开回应，并阐释该法的促进型法律定位。</t>
  </si>
  <si>
    <t>https://www.gwytb.gov.cn/xwdt/xwfb/wyly/202607/t20260702_12774061.htm</t>
  </si>
  <si>
    <t>已确认误读</t>
  </si>
  <si>
    <t>官方回应；域外适用争议</t>
  </si>
  <si>
    <t>发言人表态</t>
  </si>
  <si>
    <t>国台办：民族团结进步促进法维护中华民族根本利益和整体利益</t>
  </si>
  <si>
    <t>“针对民族团结进步促进法实施……请问对此有何评论？”</t>
  </si>
  <si>
    <t>针对台湾方面设立相关协处平台和拟议反制措施，国台办再次公开回应并重申法律定位。</t>
  </si>
  <si>
    <t>https://www.gwytb.gov.cn/m/fyrbt/202607/t20260708_12775119.htm</t>
  </si>
  <si>
    <t>政府回应；两岸舆论争议</t>
  </si>
  <si>
    <t>定向检索（原始页已打开）</t>
  </si>
  <si>
    <t>地方动态/宁夏民委、宁夏日报供稿</t>
  </si>
  <si>
    <t>宁夏回族自治区</t>
  </si>
  <si>
    <t>省级</t>
  </si>
  <si>
    <t>宁夏以务实举措确保民族团结进步促进法落地生根</t>
  </si>
  <si>
    <t>“印发学习宣传贯彻工作方案和专题宣讲方案。”</t>
  </si>
  <si>
    <t>宁夏公布贯彻实施总体安排，包括媒体矩阵、基层普法、2万余人机关课堂、40人宣讲团、199场宣讲及地方条例衔接。</t>
  </si>
  <si>
    <t>https://www.neac.gov.cn/seac/xwzx/202608/1193293.shtml</t>
  </si>
  <si>
    <t>实施方案；宣传矩阵；宣讲培训；地方配套立法</t>
  </si>
  <si>
    <t>宁夏大学</t>
  </si>
  <si>
    <t>宁大要闻</t>
  </si>
  <si>
    <t>宁夏回族自治区/银川市</t>
  </si>
  <si>
    <t>高校</t>
  </si>
  <si>
    <t>宁夏大学召开党委理论学习中心组学习会暨促进法宣讲报告会</t>
  </si>
  <si>
    <t>“将法律法规的核心主旨、法治精神、重点条文全面融入人才培养全过程、校园育人各场景。”</t>
  </si>
  <si>
    <t>宁夏大学组织校级宣讲，解读“序言+7章65条”及宁夏地方条例，并部署融入人才培养和依法治校。</t>
  </si>
  <si>
    <t>https://www.nxu.edu.cn/info/1569/35780.htm</t>
  </si>
  <si>
    <t>高校教育；人才培养；依法治校</t>
  </si>
  <si>
    <t>贵州民族报</t>
  </si>
  <si>
    <t>贵州民族报全媒体</t>
  </si>
  <si>
    <t>贵州省</t>
  </si>
  <si>
    <t>以法治之力夯实共同体根基——全省各族干部群众热议促进法实施（六）</t>
  </si>
  <si>
    <t>“全省各族干部群众热议民族团结进步促进法实施（六）。”</t>
  </si>
  <si>
    <t>集中报道贵州省民族团结进步协会及苗、土家、侗、仡佬、水、回族学会负责人对法律实施的评价和落实计划。</t>
  </si>
  <si>
    <t>https://szb.gzmzb.cn/content/202607/14/content_66850.html</t>
  </si>
  <si>
    <t>社会组织学习贯彻；多语言普法</t>
  </si>
  <si>
    <t>贵州省民族团结进步协会副秘书长瞿大喜</t>
  </si>
  <si>
    <t>个人原创观点（媒体采访）</t>
  </si>
  <si>
    <t>省级社会组织</t>
  </si>
  <si>
    <t>贵州省民族团结进步协会负责人观点</t>
  </si>
  <si>
    <t>“民族团结进步促进法在‘十五五’开局之年颁布实施，意义重大。”</t>
  </si>
  <si>
    <t>受访者支持法律实施，并表示将通过会议、专题学习、宣讲和知识问答等形式贯彻。</t>
  </si>
  <si>
    <t>支持认可</t>
  </si>
  <si>
    <t>社会组织学习贯彻</t>
  </si>
  <si>
    <t>是</t>
  </si>
  <si>
    <t>贵州省苗学会常务副会长杨政洪</t>
  </si>
  <si>
    <t>贵州省苗学会负责人观点</t>
  </si>
  <si>
    <t>“正式实施，为民族团结进步事业提供了坚实法治保障。”</t>
  </si>
  <si>
    <t>受访者明确表示支持，并提出组织会员专题学习、引导群众尊法学法守法用法。</t>
  </si>
  <si>
    <t>苗族学术社团；普法学习</t>
  </si>
  <si>
    <t>贵州省侗学研究会副会长、秘书长杨正学</t>
  </si>
  <si>
    <t>贵州省/黔东南等</t>
  </si>
  <si>
    <t>不适用：原页未刊侗语逐字文本</t>
  </si>
  <si>
    <t>贵州省侗学研究会双语普法计划</t>
  </si>
  <si>
    <t>“用‘普通话+侗语’双语宣讲法律要义。”</t>
  </si>
  <si>
    <t>受访者支持实施，并计划依托侗年、大歌节和村落调研开展普通话与侗语双语宣讲。</t>
  </si>
  <si>
    <t>侗语双语宣讲；文化节庆；合法权益</t>
  </si>
  <si>
    <t>页面事实已复核：原页为中文报道，明确说明计划采用“普通话+侗语”开展线下宣讲。页面未公开侗语逐字原文，因此不存在可供进一步翻译或逐字语言核验的公开原始语料。支持态度仅依据页面已刊中文引语确认；不将该记录统计为侗语公众意见。</t>
  </si>
  <si>
    <t>贵州省仡佬学会会长申波</t>
  </si>
  <si>
    <t>贵州省仡佬学会负责人观点</t>
  </si>
  <si>
    <t>“组织全体会员学习民族团结进步促进法，解读法律核心要义。”</t>
  </si>
  <si>
    <t>受访者支持法律实施，提出集中宣讲、座谈研讨和线上研学等落实方式。</t>
  </si>
  <si>
    <t>仡佬族学术社团；普法学习</t>
  </si>
  <si>
    <t>贵州省水家学会会长韦祖宏</t>
  </si>
  <si>
    <t>贵州省/三都、荔波</t>
  </si>
  <si>
    <t>县级及省级社会组织</t>
  </si>
  <si>
    <t>不适用：原页未出现水语原文</t>
  </si>
  <si>
    <t>贵州省水家学会宣讲与实施建议</t>
  </si>
  <si>
    <t>“先后在三都、荔波等地开展宣讲……覆盖会员和群众300余人。”</t>
  </si>
  <si>
    <t>受访者支持实施，主张将法律学习与民族文化研究、乡村振兴和地方政策咨询结合。</t>
  </si>
  <si>
    <t>水族地区宣讲；文化研究；地方实施</t>
  </si>
  <si>
    <t>原始页面复核通过（HTTP 200，2026-08-07，北京时间）。页面虽报道贵州省水家学会，但正文未提供水语文本，也未说明使用水语；语言类别更正为中文。支持态度依据已刊中文引语确认。</t>
  </si>
  <si>
    <t>贵州省回族学学会党支部书记杨先勤</t>
  </si>
  <si>
    <t>贵州省/黔西南、毕节</t>
  </si>
  <si>
    <t>州/市级社会组织</t>
  </si>
  <si>
    <t>贵州省回族学学会负责人观点</t>
  </si>
  <si>
    <t>“让法律知识通俗易懂、落地可用……融入百姓生活。”</t>
  </si>
  <si>
    <t>受访者支持通过深入基层宣讲提升法律可理解性和可操作性。</t>
  </si>
  <si>
    <t>回族地区基层宣讲；政策可理解性</t>
  </si>
  <si>
    <t>腾讯新闻/金台资讯</t>
  </si>
  <si>
    <t>人民网资讯精选官方账号</t>
  </si>
  <si>
    <t>贵州省/黔西南州</t>
  </si>
  <si>
    <t>州级</t>
  </si>
  <si>
    <t>舞动团结情，唱响新风尚！2026年黔西南州移风易俗文艺巡演润民心</t>
  </si>
  <si>
    <t>“推动《中华人民共和国民族团结进步促进法》落地生根。”</t>
  </si>
  <si>
    <t>黔西南州民宗委在互嵌式社区组织文艺巡演、知识抢答和宣传手册发放，报道现场600余名群众参与。</t>
  </si>
  <si>
    <t>https://news.qq.com/rain/a/20260724A0BH9Y00</t>
  </si>
  <si>
    <t>文艺普法；互嵌式社区；移风易俗</t>
  </si>
  <si>
    <t>受访群众李光芬</t>
  </si>
  <si>
    <t>贵州省/黔西南州/贞丰县</t>
  </si>
  <si>
    <t>社区</t>
  </si>
  <si>
    <t>群众对文艺普法形式的评价</t>
  </si>
  <si>
    <t>“没想到小品里的‘高价彩礼’‘大操大办’就在我们身边，一看就明白了！”</t>
  </si>
  <si>
    <t>受访群众认为文艺小品使法治政策和移风易俗议题更易理解，体现对传播形式的认可。</t>
  </si>
  <si>
    <t>B类</t>
  </si>
  <si>
    <t>基层普法可理解性；高价彩礼；移风易俗</t>
  </si>
  <si>
    <t>黔东南州人大常委会</t>
  </si>
  <si>
    <t>人大要闻</t>
  </si>
  <si>
    <t>贵州省/黔东南州</t>
  </si>
  <si>
    <t>州人大常委会机关第二党支部举行7月集中学习会暨主题党日活动</t>
  </si>
  <si>
    <t>“讲授《中华人民共和国民族团结进步促进法》微党课。”</t>
  </si>
  <si>
    <t>黔东南州人大机关组织微党课，并要求宣传普及法律核心内容、转化学习成效。</t>
  </si>
  <si>
    <t>https://www.qdnrd.gov.cn/rdyw/7177.jhtml</t>
  </si>
  <si>
    <t>机关学习；微党课；自治州落实</t>
  </si>
  <si>
    <t>民委要闻</t>
  </si>
  <si>
    <t>杨进率中央有关部门祝贺团出席黔东南州成立70周年庆祝活动</t>
  </si>
  <si>
    <t>“黔东南州要……深入贯彻实施民族团结进步促进法。”</t>
  </si>
  <si>
    <t>国家民委在自治州成立70周年活动中提出结合共同体建设、共同繁荣和文旅融合贯彻法律。</t>
  </si>
  <si>
    <t>https://www.neac.gov.cn/seac/xwzx/202607/1193024.shtml</t>
  </si>
  <si>
    <t>自治州贯彻；共同繁荣；文旅融合</t>
  </si>
  <si>
    <t>定向检索（转载页已打开）</t>
  </si>
  <si>
    <t>搜狐号</t>
  </si>
  <si>
    <t>云贵高原生活指南（来源标注：长顺县民宗局）</t>
  </si>
  <si>
    <t>贵州省/黔南州/长顺县</t>
  </si>
  <si>
    <t>县级</t>
  </si>
  <si>
    <t>不适用：原页未刊苗语逐字文本</t>
  </si>
  <si>
    <t>长顺县开展《中华人民共和国民族团结进步促进法》双语宣讲</t>
  </si>
  <si>
    <t>“采用汉语+苗语双语宣讲模式，面向社区100余名各族群众。”</t>
  </si>
  <si>
    <t>长顺县在社区开展汉语与苗语双语讲解、文艺演出和知识抢答，报道来源标注为长顺县民宗局。</t>
  </si>
  <si>
    <t>https://www.sohu.com/a/1056317221_121106902</t>
  </si>
  <si>
    <t>苗语双语宣讲；互嵌式社区；群众参与</t>
  </si>
  <si>
    <t>页面事实已复核：原页为中文报道，明确说明现场采用“汉语+苗语”双语宣讲。页面未公开苗语逐字原文，因此不存在可供进一步翻译或逐字语言核验的公开原始语料。该记录作为官方实施信息保留，不统计为苗语公众意见。</t>
  </si>
  <si>
    <t>云贵高原生活指南</t>
  </si>
  <si>
    <t>7月1日起施行！促进法核心内容全梳理</t>
  </si>
  <si>
    <t>“于2026年7月1日正式施行……带大家读懂法律核心内容。”</t>
  </si>
  <si>
    <t>以长图形式梳理法律核心内容和法定责任义务；搜索线索显示与黔西南残联系统传播有关，但页面未标出明确原始部门。</t>
  </si>
  <si>
    <t>https://www.sohu.com/a/1044838928_121106902</t>
  </si>
  <si>
    <t>图解政策；法律责任</t>
  </si>
  <si>
    <t>重庆市民族宗教事务委员会</t>
  </si>
  <si>
    <t>地方动态/巫溪县</t>
  </si>
  <si>
    <t>重庆市/巫溪县</t>
  </si>
  <si>
    <t>巫溪县多措并举开展促进法学习宣传工作</t>
  </si>
  <si>
    <t>“累计赠送法律书籍、宣传资料200余册。”</t>
  </si>
  <si>
    <t>巫溪开展专题学习、赠书送学、面对面答疑和政务新媒体矩阵传播。</t>
  </si>
  <si>
    <t>https://mzzjw.cq.gov.cn/sy_188/qxdt/202607/t20260703_15797460.html</t>
  </si>
  <si>
    <t>基层普法；赠书送学；政务新媒体</t>
  </si>
  <si>
    <t>地方动态/忠县、秀山自治县</t>
  </si>
  <si>
    <t>重庆市/秀山自治县</t>
  </si>
  <si>
    <t>民族宗教系统开展庆祝建党105周年系列主题活动</t>
  </si>
  <si>
    <t>“秀山县围绕新施行的《中华人民共和国民族团结进步促进法》逐条研学。”</t>
  </si>
  <si>
    <t>秀山民族宗教系统将逐条研学与正确政绩观专题党课、为民服务和安全稳定任务结合。</t>
  </si>
  <si>
    <t>https://mzzjw.cq.gov.cn/sy_188/qxdt/202607/t20260702_15793268.html</t>
  </si>
  <si>
    <t>干部学习；逐条研学；基层履职</t>
  </si>
  <si>
    <t>部门动态</t>
  </si>
  <si>
    <t>重庆市</t>
  </si>
  <si>
    <t>省级/直辖市级</t>
  </si>
  <si>
    <t>重庆市民族团结进步促进法专题宣讲</t>
  </si>
  <si>
    <t>“注重求真务实，力戒形式主义、官僚主义。”</t>
  </si>
  <si>
    <t>市级专题宣讲部署纳入“九五”普法、六进宣传、部门协同和区县联动，并明确反对形式主义、官僚主义。</t>
  </si>
  <si>
    <t>https://mzzjw.cq.gov.cn/sy_188/bmdt/202607/t20260724_15851791.html</t>
  </si>
  <si>
    <t>市级宣讲；六进普法；防止形式主义</t>
  </si>
  <si>
    <t>地方动态/秀山自治县</t>
  </si>
  <si>
    <t>重庆市/秀山土家族苗族自治县</t>
  </si>
  <si>
    <t>秀山学习《中华人民共和国民族团结进步促进法》</t>
  </si>
  <si>
    <t>“推动法律宣传进机关、进乡镇、进社区、进校园、进企业、进宗教活动场所。”</t>
  </si>
  <si>
    <t>秀山组织理论学习中心组扩大会议，部署法治化治理和分层分类全域宣讲。</t>
  </si>
  <si>
    <t>https://mzzjw.cq.gov.cn/sy_188/qxdt/202607/t20260731_15876659.html</t>
  </si>
  <si>
    <t>自治县落实；全域宣讲；法治化治理</t>
  </si>
  <si>
    <t>地方动态/巴南区</t>
  </si>
  <si>
    <t>重庆市/巴南区</t>
  </si>
  <si>
    <t>区级</t>
  </si>
  <si>
    <t>巴南区召开《中华人民共和国民族团结进步促进法》宣讲会</t>
  </si>
  <si>
    <t>“精准做好……就业、就医、子女入学等服务保障。”</t>
  </si>
  <si>
    <t>巴南区专题宣讲提出结合城市民族工作品牌落实就业、医疗和子女入学服务。</t>
  </si>
  <si>
    <t>https://mzzjw.cq.gov.cn/sy_188/qxdt/202607/t20260731_15878575.html</t>
  </si>
  <si>
    <t>就业；就医；子女入学；城市民族工作</t>
  </si>
  <si>
    <t>新湖南客户端</t>
  </si>
  <si>
    <t>媒体解读</t>
  </si>
  <si>
    <t>湖南省</t>
  </si>
  <si>
    <t>转载央视新闻客户端，介绍法律结构、定位和主要内容。</t>
  </si>
  <si>
    <t>https://www.hunantoday.cn/news/xhn/202607/33044675.html</t>
  </si>
  <si>
    <t>法律施行；媒体解读</t>
  </si>
  <si>
    <t>腾讯新闻/红网</t>
  </si>
  <si>
    <t>湖南红网官方账号</t>
  </si>
  <si>
    <t>湖南省/邵阳市</t>
  </si>
  <si>
    <t>市级</t>
  </si>
  <si>
    <t>促进法7月1日起施行，邵阳各界反响热烈</t>
  </si>
  <si>
    <t>“大家纷纷表示，将以法律实施为契机……”</t>
  </si>
  <si>
    <t>报道邵阳市民宗部门、洞口县和东江村负责人对法律实施的评价及后续规划，涉及2026—2030年规划和共同富裕。</t>
  </si>
  <si>
    <t>https://news.qq.com/rain/a/20260701A06ZCY00</t>
  </si>
  <si>
    <t>地方反响；规划编制；共同繁荣</t>
  </si>
  <si>
    <t>东江村党总支书记、村委会主任杨卫东</t>
  </si>
  <si>
    <t>村级</t>
  </si>
  <si>
    <t>基层负责人谈共同繁荣</t>
  </si>
  <si>
    <t>“接下来，我们要以法律实施为契机……带领各族群众共同致富。”</t>
  </si>
  <si>
    <t>基层村干部将法律实施与肉牛养殖、中药材种植和村集体经济发展相联系。</t>
  </si>
  <si>
    <t>共同繁荣；产业发展</t>
  </si>
  <si>
    <t>部门要情</t>
  </si>
  <si>
    <t>湖南省/湘西州</t>
  </si>
  <si>
    <t>国家民委民族团结进步促进法示范宣讲在湘西举行</t>
  </si>
  <si>
    <t>“推动法律规定以及保障措施、法律责任在湘西州落地落实。”</t>
  </si>
  <si>
    <t>国家民委示范宣讲走进湘西，州直单位及各县市分会场参加，主会场150余人。</t>
  </si>
  <si>
    <t>https://www.hunantoday.cn/news/xhn/202607/33183770.html</t>
  </si>
  <si>
    <t>自治州宣讲；保障监督；法律责任</t>
  </si>
  <si>
    <t>红网</t>
  </si>
  <si>
    <t>湖南频道/泸溪县</t>
  </si>
  <si>
    <t>湖南省/湘西州/泸溪县</t>
  </si>
  <si>
    <t>乡镇/村级</t>
  </si>
  <si>
    <t>泸溪县小章乡：党群服务中心绘就民族山乡“同心图景”</t>
  </si>
  <si>
    <t>“活动室的大屏幕正在播放《中华人民共和国民族团结进步促进法》宣传视频。”</t>
  </si>
  <si>
    <t>报道少数民族聚居乡在党群服务中心播放法律宣传视频，并将普法与便民服务、基层治理结合。</t>
  </si>
  <si>
    <t>https://hn.rednet.cn/content/646041/95/16055856.html</t>
  </si>
  <si>
    <t>村级宣传视频；党群服务中心；基层治理</t>
  </si>
  <si>
    <t>湖北省民族宗教事务委员会</t>
  </si>
  <si>
    <t>综合要闻</t>
  </si>
  <si>
    <t>湖北省</t>
  </si>
  <si>
    <t>湖北全域推进民族团结进步促进法落地实施</t>
  </si>
  <si>
    <t>“省民宗委出台16条贯彻落实具体举措。”</t>
  </si>
  <si>
    <t>湖北部署宣传教育、制度衔接、品牌融合和组织保障，推进地方条例筹备；报道多地课堂、社区服务和现场回应群众关切。</t>
  </si>
  <si>
    <t>https://mzw.hubei.gov.cn/bmdt/mzyw/zhyw/202607/t20260701_5968454.shtml</t>
  </si>
  <si>
    <t>16条措施；地方立法；社区普法；群众关切</t>
  </si>
  <si>
    <t>国家民委在湖北举行民族团结进步促进法宣讲</t>
  </si>
  <si>
    <t>“全省线上线下共计2000余人参加听讲。”</t>
  </si>
  <si>
    <t>国家民委在武汉设主会场、16个市州设分会场，部署深化理解、宣传宣讲和统战协同。</t>
  </si>
  <si>
    <t>https://mzw.hubei.gov.cn/bmdt/mzyw/zhyw/202607/t20260730_5986003.shtml</t>
  </si>
  <si>
    <t>省级宣讲；视频会议；部门协同</t>
  </si>
  <si>
    <t>视频/恩施市民宗局</t>
  </si>
  <si>
    <t>湖北省/恩施州/恩施市</t>
  </si>
  <si>
    <t>不适用：原页未刊土家语原文</t>
  </si>
  <si>
    <t>湖北恩施：土家新歌唱普法 茶香润心聚团结</t>
  </si>
  <si>
    <t>“将《中华人民共和国民族团结进步促进法》内涵要义……浸润人心。”</t>
  </si>
  <si>
    <t>恩施将法律内涵改编融入《民族团结六口茶》，以土家经典民歌形式开展基层普法。</t>
  </si>
  <si>
    <t>https://mzw.hubei.gov.cn/ztzl/yccrcxtdgmzjwjljr/wsp/202607/t20260716_5978310.shtml</t>
  </si>
  <si>
    <t>土家民歌载体；文艺普法</t>
  </si>
  <si>
    <t>原始页面复核通过（HTTP 200，2026-08-07，北京时间）。原页仅称歌曲“以土家经典民歌为载体”，未说明使用土家语，也未刊土家语文本；不得由文化载体推断原始语言，语言类别更正为中文。</t>
  </si>
  <si>
    <t>中新网湖北</t>
  </si>
  <si>
    <t>荆楚统战</t>
  </si>
  <si>
    <t>湖北省/恩施州/宣恩县</t>
  </si>
  <si>
    <t>县/村级</t>
  </si>
  <si>
    <t>促进法主题宣传活动在宣恩举行</t>
  </si>
  <si>
    <t>“主会场集中宣讲+多区域沉浸式学法+产业助农交融。”</t>
  </si>
  <si>
    <t>宣恩县黄坪村举办进乡村活动，400余名基层干部群众及80名观摩代表参加。</t>
  </si>
  <si>
    <t>https://www.hb.chinanews.com.cn/news/2026/0720/431417.html</t>
  </si>
  <si>
    <t>进乡村普法；沉浸式学法；产业助农</t>
  </si>
  <si>
    <t>中新网浙江</t>
  </si>
  <si>
    <t>记者客浙江</t>
  </si>
  <si>
    <t>浙江省/丽水市/景宁畲族自治县</t>
  </si>
  <si>
    <t>不适用：原页未刊畲语逐字文本</t>
  </si>
  <si>
    <t>浙江丽水农民大学生用乡音传党音</t>
  </si>
  <si>
    <t>“宣讲团成员蓝真平便用畲语向当地畲民进行宣讲解读。”</t>
  </si>
  <si>
    <t>法律施行当日，景宁敕木山村开展畲语宣讲；报道明确关联促进法，并记录群众反馈。</t>
  </si>
  <si>
    <t>https://www.zj.chinanews.com.cn/jzkzj/2026-07-03/detail-ihffxrfa8354601.shtml</t>
  </si>
  <si>
    <t>畲语宣讲；基层政策传播</t>
  </si>
  <si>
    <t>页面事实已复核：原页为中文报道，明确说明宣讲员使用畲语开展线下宣讲。页面未公开畲语逐字原文，因此不存在可供进一步翻译或逐字语言核验的公开原始语料。该记录作为畲语传播活动保留，不统计为畲语公众意见。</t>
  </si>
  <si>
    <t>敕木山村畲民蓝昌梅</t>
  </si>
  <si>
    <t>不适用：原页刊载中文引语</t>
  </si>
  <si>
    <t>畲民对畲语宣讲和“三月三”条款的反馈</t>
  </si>
  <si>
    <t>“以前听政策总觉得云里雾里，现在一听就懂了！”</t>
  </si>
  <si>
    <t>受访村民肯定畲语宣讲的可理解性，并关注法律对共同参与传统节日活动的支持。</t>
  </si>
  <si>
    <t>畲语宣讲；传统节日；政策可理解性</t>
  </si>
  <si>
    <t>原始页面复核通过（HTTP 200，2026-08-07，北京时间）。原页刊载受访者中文引语，未说明该引语的原始口语；不得根据受访者民族身份推断为畲语。支持态度仅依据已刊中文引语确认。</t>
  </si>
  <si>
    <t>地区</t>
  </si>
  <si>
    <t>发布部门</t>
  </si>
  <si>
    <t>文件或活动名称</t>
  </si>
  <si>
    <t>主要实施内容</t>
  </si>
  <si>
    <t>是否包含意见征集、群众留言或公开答复</t>
  </si>
  <si>
    <t>自治区党委、政府/自治区民委</t>
  </si>
  <si>
    <t>学习宣传贯彻工作方案和专题宣讲方案</t>
  </si>
  <si>
    <t>召开党委常委会、政府常务会部署，印发工作方案和专题宣讲方案。</t>
  </si>
  <si>
    <t>自治区民委等</t>
  </si>
  <si>
    <t>线上线下媒体矩阵与“机关大课堂”</t>
  </si>
  <si>
    <t>统筹网、报、台、端、微、屏，制作短视频和微动漫；一次性覆盖区市县机关干部2万余人。</t>
  </si>
  <si>
    <t>自治区民委</t>
  </si>
  <si>
    <t>40人宣讲团与199场集中宣讲</t>
  </si>
  <si>
    <t>成立40人专题宣讲团，安排199场次，覆盖市县、区直机关、人民团体、高校和国企。</t>
  </si>
  <si>
    <t>自治区人大常委会</t>
  </si>
  <si>
    <t>《宁夏回族自治区民族团结进步促进条例》衔接实施</t>
  </si>
  <si>
    <t>报道确认地方条例已通过并将于2026年9月1日起施行，形成“一法一条例”衔接。</t>
  </si>
  <si>
    <t>党委理论学习中心组扩大会议暨宣讲报告会</t>
  </si>
  <si>
    <t>解读国家法律及宁夏地方条例，部署融入人才培养、校园育人和依法治校。</t>
  </si>
  <si>
    <t>贵州省侗学研究会（贵州民族报报道）</t>
  </si>
  <si>
    <t>“普通话+侗语”双语宣讲计划</t>
  </si>
  <si>
    <t>依托侗年、大歌节和村落调研，以普通话和侗语讲解法律要义。</t>
  </si>
  <si>
    <t>贵州省水家学会（贵州民族报报道）</t>
  </si>
  <si>
    <t>三都、荔波宣讲和民族文化传承提升班</t>
  </si>
  <si>
    <t>覆盖会员和群众300余人，将法律学习与民族文化研究、乡村振兴结合。</t>
  </si>
  <si>
    <t>黔西南州民族宗教事务委员会</t>
  </si>
  <si>
    <t>移风易俗文艺巡演暨促进法宣传</t>
  </si>
  <si>
    <t>在互嵌式社区组织12个节目、知识抢答，发放宣传手册和用品1000余份。</t>
  </si>
  <si>
    <t>否（含群众采访观点）</t>
  </si>
  <si>
    <t>黔东南州人大常委会机关第二党支部</t>
  </si>
  <si>
    <t>促进法微党课</t>
  </si>
  <si>
    <t>机关支部集中学习并由法工委负责人讲授微党课，部署宣传普及。</t>
  </si>
  <si>
    <t>国家民委/中央祝贺团</t>
  </si>
  <si>
    <t>自治州成立70周年活动中的贯彻要求</t>
  </si>
  <si>
    <t>提出在共有精神家园、交往交流交融、共同繁荣发展等方面深入贯彻实施。</t>
  </si>
  <si>
    <t>长顺县民宗局（转载页标注）</t>
  </si>
  <si>
    <t>汉语+苗语进社区双语宣讲</t>
  </si>
  <si>
    <t>面向100余名群众讲解互嵌式社区、人口流动服务等内容，设置知识抢答。</t>
  </si>
  <si>
    <t>否；原始首发链接待补</t>
  </si>
  <si>
    <t>巫溪县委统战部</t>
  </si>
  <si>
    <t>多措并举学习宣传</t>
  </si>
  <si>
    <t>专题学习、赠送资料200余册、面对面答疑，并依托“巫溪发布”传播。</t>
  </si>
  <si>
    <t>包含面对面答疑，但未公开具体问答</t>
  </si>
  <si>
    <t>秀山县民族宗教系统</t>
  </si>
  <si>
    <t>逐条研学和专题党课</t>
  </si>
  <si>
    <t>围绕新施行法律逐条研学，结合为民服务和安全稳定任务落实。</t>
  </si>
  <si>
    <t>市级专题宣讲</t>
  </si>
  <si>
    <t>纳入“九五”普法，推动六进宣传、部门协同和区县联动，明确力戒形式主义。</t>
  </si>
  <si>
    <t>秀山县委</t>
  </si>
  <si>
    <t>理论学习中心组扩大会议与全域宣讲部署</t>
  </si>
  <si>
    <t>部署法律宣传进机关、乡镇、社区、校园、企业和宗教活动场所。</t>
  </si>
  <si>
    <t>巴南区委、区政府有关部门</t>
  </si>
  <si>
    <t>促进法宣讲会</t>
  </si>
  <si>
    <t>结合巴南实际提出就业、就医、子女入学等城市民族工作服务保障。</t>
  </si>
  <si>
    <t>邵阳市民宗局等</t>
  </si>
  <si>
    <t>法律实施后地方规划与工作安排</t>
  </si>
  <si>
    <t>拟将法律内涵融入《邵阳市民族团结进步促进规划（2026—2030年）》并推进发展权益保障。</t>
  </si>
  <si>
    <t>国家民委宣讲团、湘西州</t>
  </si>
  <si>
    <t>示范宣讲</t>
  </si>
  <si>
    <t>主会场150余人、各县市设分会场，讲解保障监督、法律责任和贯彻实施。</t>
  </si>
  <si>
    <t>小章乡党群服务中心</t>
  </si>
  <si>
    <t>播放促进法宣传视频</t>
  </si>
  <si>
    <t>在少数民族聚居乡村党群服务中心播放法律宣传视频并与基层服务结合。</t>
  </si>
  <si>
    <t>16条贯彻落实具体举措</t>
  </si>
  <si>
    <t>推进宣传宣讲、教育培训、制度衔接、品牌融合和组织保障，并筹备地方条例。</t>
  </si>
  <si>
    <t>是（报道石首现场回应群众关切，未公开具体问答）</t>
  </si>
  <si>
    <t>国家民委、湖北省有关部门</t>
  </si>
  <si>
    <t>全省视频宣讲</t>
  </si>
  <si>
    <t>武汉主会场和16个市州分会场，线上线下2000余人参加。</t>
  </si>
  <si>
    <t>恩施市民族宗教事务局</t>
  </si>
  <si>
    <t>《民族团结六口茶》文艺普法</t>
  </si>
  <si>
    <t>以土家经典民歌为载体，将法律内涵融入一问一答式歌曲。</t>
  </si>
  <si>
    <t>湖北省民宗委、恩施州政府、宣恩县政府</t>
  </si>
  <si>
    <t>促进法进乡村主题活动</t>
  </si>
  <si>
    <t>集中宣讲、沉浸式学法和产业助农交融，400余名基层干部群众参加。</t>
  </si>
  <si>
    <t>丽水开放大学农民大学生宣讲团</t>
  </si>
  <si>
    <t>畲语宣讲</t>
  </si>
  <si>
    <t>在敕木山村用畲语向当地畲民解读新施行法律，报道记录群众反馈。</t>
  </si>
  <si>
    <t>是（媒体公开群众反馈）</t>
  </si>
  <si>
    <t>国家民委、中央民族大学</t>
  </si>
  <si>
    <t>正式施行示范宣讲</t>
  </si>
  <si>
    <t>围绕立法背景、制度规范、创新亮点和学习宣传贯彻开展示范讲解。</t>
  </si>
  <si>
    <t>公众意见汇总（仅含可用链接）</t>
  </si>
  <si>
    <t>统计口径：仅计算‘是否计入公众意见统计=是’的记录；所有保留记录均已通过直接访问和正文相关性复核。</t>
  </si>
  <si>
    <t>统计项</t>
  </si>
  <si>
    <t>数量</t>
  </si>
  <si>
    <t>有效公众意见总数</t>
  </si>
  <si>
    <t>严格清洗后保留的公众意见均有可直接打开的具体页面支持。</t>
  </si>
  <si>
    <t>支持认可数量</t>
  </si>
  <si>
    <t>保留的8条公众意见均为支持认可；这反映可访问样本，不代表总体民意。</t>
  </si>
  <si>
    <t>咨询疑问数量</t>
  </si>
  <si>
    <t>未检出可纳入的咨询疑问。</t>
  </si>
  <si>
    <t>担忧影响数量</t>
  </si>
  <si>
    <t>未检出可纳入的担忧影响。</t>
  </si>
  <si>
    <t>明确批评数量</t>
  </si>
  <si>
    <t>未检出可纳入的明确批评。</t>
  </si>
  <si>
    <t>投诉维权数量</t>
  </si>
  <si>
    <t>未检出可纳入的投诉维权。</t>
  </si>
  <si>
    <t>实施问题数量</t>
  </si>
  <si>
    <t>未检出可纳入的实施问题。</t>
  </si>
  <si>
    <t>公平争议数量</t>
  </si>
  <si>
    <t>未检出可纳入的公平争议。</t>
  </si>
  <si>
    <t>中性信息数量</t>
  </si>
  <si>
    <t>未检出可纳入的中性公众意见。</t>
  </si>
  <si>
    <t>待核实数量</t>
  </si>
  <si>
    <t>待核实公众态度为0。侗语、苗语、畲语页面均已完成事实复核；未公开逐字原文只意味着无法核验语言内容本身，不影响基于中文页面证据作出的态度或信息类型判断。</t>
  </si>
  <si>
    <t>主要议题（按保留明细的议题标签出现次数）</t>
  </si>
  <si>
    <t>问题</t>
  </si>
  <si>
    <t>出现次数</t>
  </si>
  <si>
    <t>代表来源</t>
  </si>
  <si>
    <t>说明</t>
  </si>
  <si>
    <t>基层学习宣传与可理解性</t>
  </si>
  <si>
    <t>按原明细议题映射统计。</t>
  </si>
  <si>
    <t>民族语言和双语普法</t>
  </si>
  <si>
    <t>传统文化、节庆和文艺传播</t>
  </si>
  <si>
    <t>共同繁荣、产业和公共服务</t>
  </si>
  <si>
    <t>互嵌式社区与人口流动服务</t>
  </si>
  <si>
    <t>第63条域外适用及出行风险</t>
  </si>
  <si>
    <t>国内外叙事冲突与官方回应</t>
  </si>
  <si>
    <t>学校教育、人才培养和国家通用语言文字</t>
  </si>
  <si>
    <t>原记录ID</t>
  </si>
  <si>
    <t>标题或线索</t>
  </si>
  <si>
    <t>链接处理</t>
  </si>
  <si>
    <t>排除原因</t>
  </si>
  <si>
    <t>中央社 CNA</t>
  </si>
  <si>
    <t>国安人士：中共藉民族团结之名 将跨国镇压法律化</t>
  </si>
  <si>
    <t>已移除（不保留原链接）</t>
  </si>
  <si>
    <t>无法连接或连接超时，按用户要求放弃</t>
  </si>
  <si>
    <t>未进入有效明细、汇总、检索日志和核验依据，避免不可用链接进入成品。</t>
  </si>
  <si>
    <t>知乎</t>
  </si>
  <si>
    <t>《中华人民共和国民族团结进步促进法》7月1日起施行（知乎动态）</t>
  </si>
  <si>
    <t>HTTP 403</t>
  </si>
  <si>
    <t>知乎专栏</t>
  </si>
  <si>
    <t>一部民族团结进步促进法，让西方集体破防</t>
  </si>
  <si>
    <t>丁刚：一部法律，两种语言——对外传播中的定义权之争</t>
  </si>
  <si>
    <t>新·品葱</t>
  </si>
  <si>
    <t>民族团结促进法第六十三条与刑法自相矛盾</t>
  </si>
  <si>
    <t>对执行方式的评论</t>
  </si>
  <si>
    <t>对第63条与刑法衔接的法律解释</t>
  </si>
  <si>
    <t>对法律明确性的批评</t>
  </si>
  <si>
    <t>Apple Podcasts</t>
  </si>
  <si>
    <t>中共就是要你怕｜跨国暴力无限上纲</t>
  </si>
  <si>
    <t>异常重定向或落到通用入口</t>
  </si>
  <si>
    <t>Instagram</t>
  </si>
  <si>
    <t>不“团结”就犯法？中国7月1日开始实施……</t>
  </si>
  <si>
    <t>页面内容未检出与记录相符的标题、法律名称或摘录</t>
  </si>
  <si>
    <t>Threads</t>
  </si>
  <si>
    <t>对新法施行的批评性帖子</t>
  </si>
  <si>
    <t>平台或账号</t>
  </si>
  <si>
    <t>未自动获取的原因</t>
  </si>
  <si>
    <t>建议人工复核方式</t>
  </si>
  <si>
    <t>重点核对位置</t>
  </si>
  <si>
    <t>微博及微博评论</t>
  </si>
  <si>
    <t>登录、robots或动态加载限制，未能取得可核验原文。</t>
  </si>
  <si>
    <t>仅在能够打开具体帖子并核对时间、正文和账号后再补录。</t>
  </si>
  <si>
    <t>正文、发布时间、账号、评论上下文</t>
  </si>
  <si>
    <t>候选页面返回HTTP 403，已从本报告剔除。</t>
  </si>
  <si>
    <t>由人工登录后打开具体文章；如仍受限，不纳入正式统计。</t>
  </si>
  <si>
    <t>作者、全文、发布时间、评论区语境</t>
  </si>
  <si>
    <t>匿名论坛</t>
  </si>
  <si>
    <t>本次候选链接无法建立连接，已放弃。</t>
  </si>
  <si>
    <t>只有在取得稳定具体内容页和原始发布时间后才能重新纳入。</t>
  </si>
  <si>
    <t>原帖、独立评论、时间、账号连续性</t>
  </si>
  <si>
    <t>Instagram / Threads</t>
  </si>
  <si>
    <t>候选页面为通用登录页或无法连接，已放弃。</t>
  </si>
  <si>
    <t>人工浏览器能够打开具体内容且核对完整上下文后再补录。</t>
  </si>
  <si>
    <t>原帖、字幕、发布时间、账号真实性</t>
  </si>
  <si>
    <t>播客平台</t>
  </si>
  <si>
    <t>候选链接重定向至通用入口，无法落到对应单集。</t>
  </si>
  <si>
    <t>找到可直接播放的单集永久链接，并核对节目时间点与原话。</t>
  </si>
  <si>
    <t>单集标题、上线时间、节目时间点、逐字内容</t>
  </si>
  <si>
    <t>微信公众号及视频号</t>
  </si>
  <si>
    <t>搜索索引和客户端访问存在限制。</t>
  </si>
  <si>
    <t>只接受能打开的具体原文页或权威转载，并核对原始发布主体。</t>
  </si>
  <si>
    <t>原文、留言、发布时间、转载来源</t>
  </si>
  <si>
    <t>网站入口</t>
  </si>
  <si>
    <t>检查方式</t>
  </si>
  <si>
    <t>可访问情况</t>
  </si>
  <si>
    <t>有效发现</t>
  </si>
  <si>
    <t>备注</t>
  </si>
  <si>
    <t>GET请求；跟随重定向；utf-8解码；标题与正文核对</t>
  </si>
  <si>
    <t>HTTP 200</t>
  </si>
  <si>
    <t>泸溪县小章乡：党群服务中心绘就民族山乡“同心图景”_泸溪县_湖南频道_红网</t>
  </si>
  <si>
    <t>原记录ID：42；正文相关性已复核</t>
  </si>
  <si>
    <t>湖北全域推进民族团结进步促进法落地实施 -湖北省民族宗教事务委员会</t>
  </si>
  <si>
    <t>原记录ID：43；正文相关性已复核</t>
  </si>
  <si>
    <t>国家民委在湖北举行民族团结进步促进法宣讲 -湖北省民族宗教事务委员会</t>
  </si>
  <si>
    <t>原记录ID：44；正文相关性已复核</t>
  </si>
  <si>
    <t>湖北恩施：土家新歌唱普法 茶香润心聚团结 -湖北省民族宗教事务委员会</t>
  </si>
  <si>
    <t>原记录ID：45；正文相关性已复核</t>
  </si>
  <si>
    <t>重庆组织宣讲团开展民族团结进步促进法专题宣讲_重庆市民族宗教事务委员会</t>
  </si>
  <si>
    <t>原记录ID：35；正文相关性已复核</t>
  </si>
  <si>
    <t>【忠县 秀山自治县】民族宗教系统开展庆祝建党105周年系列主题活动_重庆市民族宗教事务委员会</t>
  </si>
  <si>
    <t>原记录ID：34；正文相关性已复核</t>
  </si>
  <si>
    <t>【巫溪县】多措并举开展民族团结进步促进法学习宣传工作_重庆市民族宗教事务委员会</t>
  </si>
  <si>
    <t>原记录ID：33；正文相关性已复核</t>
  </si>
  <si>
    <t>秀山学习《中华人民共和国民族团结进步促进法》_重庆市民族宗教事务委员会</t>
  </si>
  <si>
    <t>原记录ID：36；正文相关性已复核</t>
  </si>
  <si>
    <t>【巴南区】巴南区召开《中华人民共和国民族团结进步促进法》宣讲会_重庆市民族宗教事务委员会</t>
  </si>
  <si>
    <t>原记录ID：37；正文相关性已复核</t>
  </si>
  <si>
    <t>《中华人民共和国民族团结进步促进法》7月1日起施行，邵阳各界反响热烈_腾讯新闻</t>
  </si>
  <si>
    <t>原记录ID：39、40；正文相关性已复核</t>
  </si>
  <si>
    <t>舞动团结情，唱响新风尚！2026年黔西南州移风易俗文艺巡演润民心_腾讯新闻</t>
  </si>
  <si>
    <t>原记录ID：27、28；正文相关性已复核</t>
  </si>
  <si>
    <t>《民族团结进步促进法》正式施行，美欧及台湾地区表示关切 - 2026年7月3日, 俄罗斯卫星通讯社</t>
  </si>
  <si>
    <t>原记录ID：4；正文相关性已复核</t>
  </si>
  <si>
    <t>原记录ID：20、21、22、23、24、25、26；正文相关性已复核</t>
  </si>
  <si>
    <t>GET请求；跟随重定向；gbk解码；标题与正文核对</t>
  </si>
  <si>
    <t>国台办：民族团结进步促进法维护中华民族根本利益和整体利益_中共中央台湾工作办公室、国务院台湾事务办公室</t>
  </si>
  <si>
    <t>原记录ID：7；正文相关性已复核</t>
  </si>
  <si>
    <t>中共中央台湾工作办公室、国务院台湾事务办公室</t>
  </si>
  <si>
    <t>原记录ID：6；正文相关性已复核</t>
  </si>
  <si>
    <t>中新网湖北 湖北新闻网 《中华人民共和国民族团结进步促进法》主题宣传活动在宣恩举行</t>
  </si>
  <si>
    <t>原记录ID：46；正文相关性已复核</t>
  </si>
  <si>
    <t>《中华人民共和国民族团结进步促进法》今起施行 - 媒体解读 - 新湖南</t>
  </si>
  <si>
    <t>原记录ID：38；正文相关性已复核</t>
  </si>
  <si>
    <t>国家民委民族团结进步促进法示范宣讲在湘西举行 - 部门要情 - 新湖南</t>
  </si>
  <si>
    <t>原记录ID：41；正文相关性已复核</t>
  </si>
  <si>
    <t>学习宣传贯彻民族团结进步促进法</t>
  </si>
  <si>
    <t>原记录ID：2；正文相关性已复核</t>
  </si>
  <si>
    <t>原记录ID：3；正文相关性已复核</t>
  </si>
  <si>
    <t>杨进率中央有关部门祝贺团出席黔东南苗族侗族自治州成立70周年庆祝活动</t>
  </si>
  <si>
    <t>原记录ID：30；正文相关性已复核</t>
  </si>
  <si>
    <t>原记录ID：18；正文相关性已复核</t>
  </si>
  <si>
    <t>我校召开2026年校党委理论学习中心组（扩大）第7次学习会暨《中华人民共和国民族团结进步促进法》宣讲报告会-宁夏大学</t>
  </si>
  <si>
    <t>原记录ID：19；正文相关性已复核</t>
  </si>
  <si>
    <t>正文证据摘录已核对</t>
  </si>
  <si>
    <t>原记录ID：29；正文相关性已复核</t>
  </si>
  <si>
    <t>7月1日起施行！《中华人民共和国民族团结进步促进法》核心内容全梳理_法律_保障_准则</t>
  </si>
  <si>
    <t>原记录ID：32；正文相关性已复核</t>
  </si>
  <si>
    <t>【县市动态】长顺县开展《中华人民共和国民族团结进步促进法》双语宣讲_宣传_活动_群众</t>
  </si>
  <si>
    <t>原记录ID：31；正文相关性已复核</t>
  </si>
  <si>
    <t>十年覆盖受众超50万人次 浙江丽水农民大学生用乡音传党音-中国新闻网-浙江新闻</t>
  </si>
  <si>
    <t>原记录ID：47、48；正文相关性已复核</t>
  </si>
  <si>
    <t>原记录ID：1；正文相关性已复核</t>
  </si>
  <si>
    <t>明细序号</t>
  </si>
  <si>
    <t>议题标签</t>
  </si>
  <si>
    <t>类型</t>
  </si>
  <si>
    <t>名称</t>
  </si>
  <si>
    <t>核验要点</t>
  </si>
  <si>
    <t>链接</t>
  </si>
  <si>
    <t>施行信息</t>
  </si>
  <si>
    <t>法律施行与基本结构</t>
  </si>
  <si>
    <t>报道明确法律自2026年7月1日起施行并介绍法律结构。</t>
  </si>
  <si>
    <t>官方解读</t>
  </si>
  <si>
    <t>国家民委页面说明法律定位和贯彻要求。</t>
  </si>
  <si>
    <t>官方宣讲</t>
  </si>
  <si>
    <t>国家民委示范宣讲</t>
  </si>
  <si>
    <t>国家民委在中央民族大学组织示范宣讲。</t>
  </si>
  <si>
    <t>官方回应</t>
  </si>
  <si>
    <t>国务院台办回应</t>
  </si>
  <si>
    <t>公开回应法律目的、适用与相关解读。</t>
  </si>
  <si>
    <t>国台办发言人答记者问</t>
  </si>
  <si>
    <t>对有关说法作出进一步公开回应。</t>
  </si>
  <si>
    <t>地方实施</t>
  </si>
  <si>
    <t>宁夏贯彻实施</t>
  </si>
  <si>
    <t>公开列明地方方案、宣讲和制度衔接举措。</t>
  </si>
  <si>
    <t>《民族团结进步促进法》实施舆情—统计与专项复核</t>
  </si>
  <si>
    <t>复核日期：2026-08-07（北京时间）。数量采用可追溯记录口径；少数民族语言原文未公开时，不根据机器翻译或民族身份推断态度。</t>
  </si>
  <si>
    <t>关键补充统计</t>
  </si>
  <si>
    <t>口径说明</t>
  </si>
  <si>
    <t>监测来源数</t>
  </si>
  <si>
    <t>按平台/网站域名或独立平台去重；同域栏目和受访者不重复计数。</t>
  </si>
  <si>
    <t>查看信息数（约）</t>
  </si>
  <si>
    <t>可追溯候选记录=37条有效明细+11条排除记录；不含仅浏览、未形成候选记录的搜索结果。</t>
  </si>
  <si>
    <t>民族议题相关有效信息数</t>
  </si>
  <si>
    <t>有效舆情明细全部记录。</t>
  </si>
  <si>
    <t>与本法及其实施明确相关</t>
  </si>
  <si>
    <t>关联度=A类。</t>
  </si>
  <si>
    <t>与本法间接相关</t>
  </si>
  <si>
    <t>关联度=B类。</t>
  </si>
  <si>
    <t>少数民族语言传播活动（原始语料未公开）</t>
  </si>
  <si>
    <t>侗语、苗语、畲语各1条。页面事实均已复核；网页未公开逐字原文，因此无法核验语言内容本身，但不再列为“待相应语言人员复核”。</t>
  </si>
  <si>
    <t>监测来源清单（去重口径）</t>
  </si>
  <si>
    <t>来源/入口</t>
  </si>
  <si>
    <t>记录状态</t>
  </si>
  <si>
    <t>zytzb.gov.cn（中央统战部）</t>
  </si>
  <si>
    <t>官方网站</t>
  </si>
  <si>
    <t>有效记录</t>
  </si>
  <si>
    <t>见有效明细与检索日志</t>
  </si>
  <si>
    <t>neac.gov.cn（国家民委）</t>
  </si>
  <si>
    <t>gwytb.gov.cn（中央台办、国务院台办）</t>
  </si>
  <si>
    <t>sputniknews.cn（俄罗斯卫星通讯社中文网）</t>
  </si>
  <si>
    <t>媒体网站</t>
  </si>
  <si>
    <t>含1条担忧影响媒体转述</t>
  </si>
  <si>
    <t>szb.gzmzb.cn（贵州民族报）</t>
  </si>
  <si>
    <t>含侗语、水家学会相关复核</t>
  </si>
  <si>
    <t>news.qq.com（腾讯新闻）</t>
  </si>
  <si>
    <t>平台</t>
  </si>
  <si>
    <t>mzzjw.cq.gov.cn（重庆市民宗委）</t>
  </si>
  <si>
    <t>sohu.com（搜狐）</t>
  </si>
  <si>
    <t>含汉语+苗语宣讲报道</t>
  </si>
  <si>
    <t>nxu.edu.cn（宁夏大学）</t>
  </si>
  <si>
    <t>高校网站</t>
  </si>
  <si>
    <t>qdnrd.gov.cn（黔东南州人大常委会）</t>
  </si>
  <si>
    <t>hunantoday.cn（新湖南）</t>
  </si>
  <si>
    <t>hn.rednet.cn（红网）</t>
  </si>
  <si>
    <t>mzw.hubei.gov.cn（湖北省民宗委）</t>
  </si>
  <si>
    <t>含“土家经典民歌为载体”复核</t>
  </si>
  <si>
    <t>hb.chinanews.com.cn（中新网湖北）</t>
  </si>
  <si>
    <t>zj.chinanews.com.cn（中新网浙江）</t>
  </si>
  <si>
    <t>含畲语线下宣讲报道</t>
  </si>
  <si>
    <t>候选已检查、未纳入</t>
  </si>
  <si>
    <t>原链接无法连接或超时</t>
  </si>
  <si>
    <t>知乎（含专栏）</t>
  </si>
  <si>
    <t>HTTP 403，需人工登录复核</t>
  </si>
  <si>
    <t>新·品葱/匿名论坛</t>
  </si>
  <si>
    <t>无法连接或超时</t>
  </si>
  <si>
    <t>Apple Podcasts/播客平台</t>
  </si>
  <si>
    <t>异常重定向或通用入口</t>
  </si>
  <si>
    <t>无法核对具体内容</t>
  </si>
  <si>
    <t>受限，人工补查</t>
  </si>
  <si>
    <t>登录、robots或动态加载限制</t>
  </si>
  <si>
    <t>微信公众号</t>
  </si>
  <si>
    <t>平台/账号</t>
  </si>
  <si>
    <t>搜索索引和客户端访问受限</t>
  </si>
  <si>
    <t>微信视频号</t>
  </si>
  <si>
    <t>视频、评论及直播回放受客户端限制</t>
  </si>
  <si>
    <t>非支持态度与少数民族语言专项复核</t>
  </si>
  <si>
    <t>复核类别</t>
  </si>
  <si>
    <t>原始页面/平台</t>
  </si>
  <si>
    <t>原始页面语言</t>
  </si>
  <si>
    <t>具体原话/语言情况</t>
  </si>
  <si>
    <t>翻译方式</t>
  </si>
  <si>
    <t>复核后态度类型</t>
  </si>
  <si>
    <t>复核结果</t>
  </si>
  <si>
    <t>状态</t>
  </si>
  <si>
    <t>复核日期</t>
  </si>
  <si>
    <t>非支持态度</t>
  </si>
  <si>
    <t>不适用</t>
  </si>
  <si>
    <t>未翻译</t>
  </si>
  <si>
    <t>担忧影响（媒体转述）</t>
  </si>
  <si>
    <t>原页可访问，明确转述第三方关切，也刊载中方回应；不计入公众原创意见。</t>
  </si>
  <si>
    <t>已复核</t>
  </si>
  <si>
    <t>2026-08-07</t>
  </si>
  <si>
    <t>少数民族语言</t>
  </si>
  <si>
    <t>原页仅称“普通话+侗语”双语宣讲，未刊侗语逐字文本。</t>
  </si>
  <si>
    <t>无侗语原文可译</t>
  </si>
  <si>
    <t>支持认可（依据中文引语）</t>
  </si>
  <si>
    <t>页面事实和中文引语已确认；侗语逐字原文未公开，因此无法进行语言内容核验。</t>
  </si>
  <si>
    <t>已复核（原始语料未公开）</t>
  </si>
  <si>
    <t>语言类别纠正</t>
  </si>
  <si>
    <t>原页报道贵州省水家学会，但未出现水语原文或使用水语的说明。</t>
  </si>
  <si>
    <t>语言类别更正为中文；不属于少数民族语言文本。</t>
  </si>
  <si>
    <t>搜狐（来源：长顺县民宗局）</t>
  </si>
  <si>
    <t>原页称采用“汉语+苗语”双语宣讲，未刊苗语逐字文本。</t>
  </si>
  <si>
    <t>无苗语原文可译</t>
  </si>
  <si>
    <t>活动与本法的关联已确认；苗语逐字原文未公开，因此无法进行语言内容核验。</t>
  </si>
  <si>
    <t>原页仅称“以土家经典民歌为载体”，未说明使用土家语，也未刊土家语文本。</t>
  </si>
  <si>
    <t>不得由文化载体推断原始语言；语言类别更正为中文。</t>
  </si>
  <si>
    <t>原页称宣讲员用畲语进行线下宣讲，未刊畲语逐字文本。</t>
  </si>
  <si>
    <t>无畲语原文可译</t>
  </si>
  <si>
    <t>活动与本法的关联已确认；畲语逐字原文未公开，因此无法进行语言内容核验。</t>
  </si>
  <si>
    <t>原页刊载受访者中文引语，未说明原始口语；不得因受访者民族身份推断为畲语。</t>
  </si>
  <si>
    <t>不适用（原页已刊中文）</t>
  </si>
  <si>
    <t>中文引语和法律关联可确认；不属于少数民族语言翻译记录。</t>
  </si>
  <si>
    <t>复核边界：侗语、苗语、畲语3条均已完成页面事实复核。网页只证明存在相应民族语言宣讲活动，未公开逐字原文；因此不能进行逐字翻译或语言内容核验。本次未根据机器翻译、民族身份或活动名称推断少数民族语言文本，也未将这3条统计为少数民族语言公众意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</si>
</sst>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
  </numFmts>
  <fonts count="34">
    <font>
      <sz val="11"/>
      <name val="Carlito"/>
      <charset val="134"/>
    </font>
    <font>
      <b/>
      <sz val="11"/>
      <color rgb="FFFFFFFF"/>
      <name val="Carlito"/>
      <charset val="134"/>
    </font>
    <font>
      <sz val="11"/>
      <color rgb="FF173042"/>
      <name val="Carlito"/>
      <charset val="134"/>
    </font>
    <font>
      <sz val="11"/>
      <color rgb="FF0563C1"/>
      <name val="Carlito"/>
      <charset val="134"/>
    </font>
    <font>
      <sz val="11"/>
      <color rgb="FF173042"/>
      <name val="宋体"/>
      <charset val="134"/>
    </font>
    <font>
      <b/>
      <sz val="11"/>
      <color rgb="FFFFFFFF"/>
      <name val="Noto Sans CJK SC"/>
      <charset val="134"/>
    </font>
    <font>
      <sz val="10"/>
      <color rgb="FF173042"/>
      <name val="Noto Sans CJK SC"/>
      <charset val="134"/>
    </font>
    <font>
      <sz val="10"/>
      <color rgb="FF0563C1"/>
      <name val="Noto Sans CJK SC"/>
      <charset val="134"/>
    </font>
    <font>
      <b/>
      <sz val="16"/>
      <color rgb="FFFFFFFF"/>
      <name val="Noto Sans CJK SC"/>
      <charset val="134"/>
    </font>
    <font>
      <b/>
      <sz val="16"/>
      <color rgb="FFFFFFFF"/>
      <name val="宋体"/>
      <charset val="134"/>
    </font>
    <font>
      <b/>
      <sz val="11"/>
      <color rgb="FF173042"/>
      <name val="Noto Sans CJK SC"/>
      <charset val="134"/>
    </font>
    <font>
      <sz val="11"/>
      <color rgb="FF173042"/>
      <name val="Noto Sans CJK SC"/>
      <charset val="134"/>
    </font>
    <font>
      <sz val="10"/>
      <color rgb="FF173042"/>
      <name val="宋体"/>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1000"/>
      <color rgb="FF173042"/>
      <name val="宋体"/>
      <charset val="134"/>
    </font>
    <font>
      <sz val="1000"/>
      <color rgb="FF173042"/>
      <name val="Noto Sans CJK SC"/>
      <charset val="134"/>
    </font>
  </fonts>
  <fills count="43">
    <fill>
      <patternFill patternType="none"/>
    </fill>
    <fill>
      <patternFill patternType="gray125"/>
    </fill>
    <fill>
      <patternFill patternType="solid">
        <fgColor rgb="FF123B52"/>
        <bgColor indexed="64"/>
      </patternFill>
    </fill>
    <fill>
      <patternFill patternType="solid">
        <fgColor rgb="FFE8F4F4"/>
        <bgColor indexed="64"/>
      </patternFill>
    </fill>
    <fill>
      <patternFill patternType="solid">
        <fgColor rgb="FF0F6B68"/>
        <bgColor indexed="64"/>
      </patternFill>
    </fill>
    <fill>
      <patternFill patternType="solid">
        <fgColor rgb="FFF7FBFB"/>
        <bgColor indexed="64"/>
      </patternFill>
    </fill>
    <fill>
      <patternFill patternType="solid">
        <fgColor rgb="FFFFFFFF"/>
        <bgColor indexed="64"/>
      </patternFill>
    </fill>
    <fill>
      <patternFill patternType="solid">
        <fgColor rgb="FFFFF4CC"/>
        <bgColor indexed="64"/>
      </patternFill>
    </fill>
    <fill>
      <patternFill patternType="solid">
        <fgColor rgb="FFC0E6F5"/>
        <bgColor indexed="64"/>
      </patternFill>
    </fill>
    <fill>
      <patternFill patternType="solid">
        <fgColor rgb="FFF3F7F9"/>
        <bgColor indexed="64"/>
      </patternFill>
    </fill>
    <fill>
      <patternFill patternType="solid">
        <fgColor rgb="FFDCEFF0"/>
        <bgColor indexed="64"/>
      </patternFill>
    </fill>
    <fill>
      <patternFill patternType="solid">
        <fgColor rgb="FFFFF3C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7">
    <border>
      <left/>
      <right/>
      <top/>
      <bottom/>
      <diagonal/>
    </border>
    <border>
      <left style="thin">
        <color rgb="FFB7DDE8"/>
      </left>
      <right style="thin">
        <color rgb="FFB7DDE8"/>
      </right>
      <top style="thin">
        <color rgb="FFB7DDE8"/>
      </top>
      <bottom style="thin">
        <color rgb="FFB7DDE8"/>
      </bottom>
      <diagonal/>
    </border>
    <border>
      <left style="thin">
        <color rgb="FFD9E7EA"/>
      </left>
      <right style="thin">
        <color rgb="FFD9E7EA"/>
      </right>
      <top style="thin">
        <color rgb="FFD9E7EA"/>
      </top>
      <bottom style="thin">
        <color rgb="FFD9E7EA"/>
      </bottom>
      <diagonal/>
    </border>
    <border>
      <left style="thin">
        <color rgb="FFE4C65A"/>
      </left>
      <right/>
      <top style="thin">
        <color rgb="FFE4C65A"/>
      </top>
      <bottom/>
      <diagonal/>
    </border>
    <border>
      <left/>
      <right/>
      <top style="thin">
        <color rgb="FFE4C65A"/>
      </top>
      <bottom/>
      <diagonal/>
    </border>
    <border>
      <left/>
      <right style="thin">
        <color rgb="FFE4C65A"/>
      </right>
      <top style="thin">
        <color rgb="FFE4C65A"/>
      </top>
      <bottom/>
      <diagonal/>
    </border>
    <border>
      <left style="thin">
        <color rgb="FFE4C65A"/>
      </left>
      <right/>
      <top/>
      <bottom style="thin">
        <color rgb="FFE4C65A"/>
      </bottom>
      <diagonal/>
    </border>
    <border>
      <left/>
      <right/>
      <top/>
      <bottom style="thin">
        <color rgb="FFE4C65A"/>
      </bottom>
      <diagonal/>
    </border>
    <border>
      <left/>
      <right style="thin">
        <color rgb="FFE4C65A"/>
      </right>
      <top/>
      <bottom style="thin">
        <color rgb="FFE4C65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12" borderId="9"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0" applyNumberFormat="0" applyFill="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1" fillId="0" borderId="0" applyNumberFormat="0" applyFill="0" applyBorder="0" applyAlignment="0" applyProtection="0">
      <alignment vertical="center"/>
    </xf>
    <xf numFmtId="0" fontId="22" fillId="13" borderId="12" applyNumberFormat="0" applyAlignment="0" applyProtection="0">
      <alignment vertical="center"/>
    </xf>
    <xf numFmtId="0" fontId="23" fillId="14" borderId="13" applyNumberFormat="0" applyAlignment="0" applyProtection="0">
      <alignment vertical="center"/>
    </xf>
    <xf numFmtId="0" fontId="24" fillId="14" borderId="12" applyNumberFormat="0" applyAlignment="0" applyProtection="0">
      <alignment vertical="center"/>
    </xf>
    <xf numFmtId="0" fontId="25" fillId="15" borderId="14" applyNumberFormat="0" applyAlignment="0" applyProtection="0">
      <alignment vertical="center"/>
    </xf>
    <xf numFmtId="0" fontId="26" fillId="0" borderId="15" applyNumberFormat="0" applyFill="0" applyAlignment="0" applyProtection="0">
      <alignment vertical="center"/>
    </xf>
    <xf numFmtId="0" fontId="27" fillId="0" borderId="16" applyNumberFormat="0" applyFill="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13" fillId="28" borderId="0" applyNumberFormat="0" applyBorder="0" applyAlignment="0" applyProtection="0">
      <alignment vertical="center"/>
    </xf>
    <xf numFmtId="0" fontId="13"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13" fillId="32" borderId="0" applyNumberFormat="0" applyBorder="0" applyAlignment="0" applyProtection="0">
      <alignment vertical="center"/>
    </xf>
    <xf numFmtId="0" fontId="13"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13" fillId="36" borderId="0" applyNumberFormat="0" applyBorder="0" applyAlignment="0" applyProtection="0">
      <alignment vertical="center"/>
    </xf>
    <xf numFmtId="0" fontId="13"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13" fillId="40" borderId="0" applyNumberFormat="0" applyBorder="0" applyAlignment="0" applyProtection="0">
      <alignment vertical="center"/>
    </xf>
    <xf numFmtId="0" fontId="13" fillId="41" borderId="0" applyNumberFormat="0" applyBorder="0" applyAlignment="0" applyProtection="0">
      <alignment vertical="center"/>
    </xf>
    <xf numFmtId="0" fontId="31" fillId="42" borderId="0" applyNumberFormat="0" applyBorder="0" applyAlignment="0" applyProtection="0">
      <alignment vertical="center"/>
    </xf>
    <xf numFmtId="0" fontId="0" fillId="0" borderId="0"/>
  </cellStyleXfs>
  <cellXfs count="53">
    <xf numFmtId="0" fontId="0" fillId="0" borderId="0" xfId="49"/>
    <xf numFmtId="0" fontId="1" fillId="2" borderId="0" xfId="0" applyNumberFormat="1" applyFont="1" applyFill="1" applyBorder="1" applyAlignment="1">
      <alignment vertical="top" wrapText="1"/>
    </xf>
    <xf numFmtId="0" fontId="2" fillId="3"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0" fontId="1" fillId="4" borderId="0" xfId="0" applyNumberFormat="1" applyFont="1" applyFill="1" applyBorder="1" applyAlignment="1">
      <alignment vertical="top" wrapText="1"/>
    </xf>
    <xf numFmtId="0" fontId="1" fillId="4" borderId="1" xfId="0" applyNumberFormat="1" applyFont="1" applyFill="1" applyBorder="1" applyAlignment="1">
      <alignment horizontal="center" vertical="top" wrapText="1"/>
    </xf>
    <xf numFmtId="0" fontId="2" fillId="5" borderId="2" xfId="0" applyNumberFormat="1" applyFont="1" applyFill="1" applyBorder="1" applyAlignment="1">
      <alignment vertical="top" wrapText="1"/>
    </xf>
    <xf numFmtId="3" fontId="2" fillId="5" borderId="2" xfId="0" applyNumberFormat="1" applyFont="1" applyFill="1" applyBorder="1" applyAlignment="1">
      <alignment vertical="top" wrapText="1"/>
    </xf>
    <xf numFmtId="0" fontId="2" fillId="6" borderId="2" xfId="0" applyNumberFormat="1" applyFont="1" applyFill="1" applyBorder="1" applyAlignment="1">
      <alignment vertical="top" wrapText="1"/>
    </xf>
    <xf numFmtId="0" fontId="3" fillId="6" borderId="2" xfId="0" applyNumberFormat="1" applyFont="1" applyFill="1" applyBorder="1" applyAlignment="1">
      <alignment vertical="top" wrapText="1"/>
    </xf>
    <xf numFmtId="0" fontId="2" fillId="7" borderId="2" xfId="0" applyNumberFormat="1" applyFont="1" applyFill="1" applyBorder="1" applyAlignment="1">
      <alignment vertical="top" wrapText="1"/>
    </xf>
    <xf numFmtId="0" fontId="3" fillId="7" borderId="2" xfId="0" applyNumberFormat="1" applyFont="1" applyFill="1" applyBorder="1" applyAlignment="1">
      <alignment vertical="top" wrapText="1"/>
    </xf>
    <xf numFmtId="0" fontId="4" fillId="7" borderId="3" xfId="0" applyNumberFormat="1" applyFont="1" applyFill="1" applyBorder="1" applyAlignment="1">
      <alignment vertical="top" wrapText="1"/>
    </xf>
    <xf numFmtId="0" fontId="2" fillId="7" borderId="4" xfId="0" applyNumberFormat="1" applyFont="1" applyFill="1" applyBorder="1" applyAlignment="1">
      <alignment vertical="top" wrapText="1"/>
    </xf>
    <xf numFmtId="0" fontId="2" fillId="7" borderId="5" xfId="0" applyNumberFormat="1" applyFont="1" applyFill="1" applyBorder="1" applyAlignment="1">
      <alignment vertical="top" wrapText="1"/>
    </xf>
    <xf numFmtId="0" fontId="2" fillId="7" borderId="6" xfId="0" applyNumberFormat="1" applyFont="1" applyFill="1" applyBorder="1" applyAlignment="1">
      <alignment vertical="top" wrapText="1"/>
    </xf>
    <xf numFmtId="0" fontId="2" fillId="7" borderId="7" xfId="0" applyNumberFormat="1" applyFont="1" applyFill="1" applyBorder="1" applyAlignment="1">
      <alignment vertical="top" wrapText="1"/>
    </xf>
    <xf numFmtId="0" fontId="2" fillId="7" borderId="8" xfId="0" applyNumberFormat="1" applyFont="1" applyFill="1" applyBorder="1" applyAlignment="1">
      <alignment vertical="top" wrapText="1"/>
    </xf>
    <xf numFmtId="0" fontId="5" fillId="4" borderId="0" xfId="49" applyNumberFormat="1" applyFont="1" applyFill="1" applyBorder="1" applyAlignment="1">
      <alignment horizontal="center" vertical="center" wrapText="1"/>
    </xf>
    <xf numFmtId="0" fontId="6" fillId="8" borderId="0" xfId="49" applyNumberFormat="1" applyFont="1" applyFill="1" applyBorder="1" applyAlignment="1">
      <alignment vertical="top" wrapText="1"/>
    </xf>
    <xf numFmtId="176" fontId="6" fillId="8" borderId="0" xfId="49" applyNumberFormat="1" applyFont="1" applyFill="1" applyBorder="1" applyAlignment="1">
      <alignment vertical="top" wrapText="1"/>
    </xf>
    <xf numFmtId="0" fontId="7" fillId="8" borderId="0" xfId="49" applyNumberFormat="1" applyFont="1" applyFill="1" applyBorder="1" applyAlignment="1">
      <alignment vertical="top" wrapText="1"/>
    </xf>
    <xf numFmtId="0" fontId="6" fillId="0" borderId="0" xfId="49" applyNumberFormat="1" applyFont="1" applyFill="1" applyBorder="1" applyAlignment="1">
      <alignment vertical="top" wrapText="1"/>
    </xf>
    <xf numFmtId="176" fontId="6" fillId="0" borderId="0" xfId="49" applyNumberFormat="1" applyFont="1" applyFill="1" applyBorder="1" applyAlignment="1">
      <alignment vertical="top" wrapText="1"/>
    </xf>
    <xf numFmtId="0" fontId="7" fillId="0" borderId="0" xfId="49" applyNumberFormat="1" applyFont="1" applyFill="1" applyBorder="1" applyAlignment="1">
      <alignment vertical="top" wrapText="1"/>
    </xf>
    <xf numFmtId="0" fontId="6" fillId="8" borderId="0" xfId="49" applyNumberFormat="1" applyFont="1" applyFill="1" applyBorder="1" applyAlignment="1">
      <alignment horizontal="center" vertical="top" wrapText="1"/>
    </xf>
    <xf numFmtId="0" fontId="6" fillId="0" borderId="0" xfId="49" applyNumberFormat="1" applyFont="1" applyFill="1" applyBorder="1" applyAlignment="1">
      <alignment horizontal="center" vertical="top" wrapText="1"/>
    </xf>
    <xf numFmtId="0" fontId="8" fillId="2" borderId="0" xfId="0" applyNumberFormat="1" applyFont="1" applyFill="1" applyBorder="1" applyAlignment="1">
      <alignment wrapText="1"/>
    </xf>
    <xf numFmtId="0" fontId="6" fillId="9" borderId="0" xfId="0" applyNumberFormat="1" applyFont="1" applyFill="1" applyBorder="1" applyAlignment="1">
      <alignment vertical="top" wrapText="1"/>
    </xf>
    <xf numFmtId="0" fontId="5" fillId="4"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6" fillId="10" borderId="0" xfId="0" applyNumberFormat="1" applyFont="1" applyFill="1" applyBorder="1" applyAlignment="1">
      <alignment wrapText="1"/>
    </xf>
    <xf numFmtId="3" fontId="6" fillId="0" borderId="0" xfId="0" applyNumberFormat="1" applyFont="1" applyFill="1" applyBorder="1" applyAlignment="1">
      <alignment horizontal="right" wrapText="1"/>
    </xf>
    <xf numFmtId="0" fontId="5" fillId="4" borderId="0" xfId="0" applyNumberFormat="1" applyFont="1" applyFill="1" applyBorder="1" applyAlignment="1">
      <alignment vertical="center" wrapText="1"/>
    </xf>
    <xf numFmtId="0" fontId="6" fillId="8" borderId="0" xfId="0" applyNumberFormat="1" applyFont="1" applyFill="1" applyBorder="1" applyAlignment="1">
      <alignment vertical="top" wrapText="1"/>
    </xf>
    <xf numFmtId="3" fontId="6" fillId="8" borderId="0" xfId="0" applyNumberFormat="1" applyFont="1" applyFill="1" applyBorder="1" applyAlignment="1">
      <alignment vertical="top" wrapText="1"/>
    </xf>
    <xf numFmtId="0" fontId="7" fillId="8" borderId="0" xfId="0" applyNumberFormat="1" applyFont="1" applyFill="1" applyBorder="1" applyAlignment="1">
      <alignment vertical="top" wrapText="1"/>
    </xf>
    <xf numFmtId="0" fontId="6" fillId="0" borderId="0" xfId="0" applyNumberFormat="1" applyFont="1" applyFill="1" applyBorder="1" applyAlignment="1">
      <alignment vertical="top" wrapText="1"/>
    </xf>
    <xf numFmtId="3" fontId="6" fillId="0" borderId="0" xfId="0" applyNumberFormat="1" applyFont="1" applyFill="1" applyBorder="1" applyAlignment="1">
      <alignment vertical="top" wrapText="1"/>
    </xf>
    <xf numFmtId="0" fontId="7" fillId="0" borderId="0" xfId="0" applyNumberFormat="1" applyFont="1" applyFill="1" applyBorder="1" applyAlignment="1">
      <alignment vertical="top" wrapText="1"/>
    </xf>
    <xf numFmtId="0" fontId="9" fillId="2" borderId="0" xfId="49" applyNumberFormat="1" applyFont="1" applyFill="1" applyBorder="1"/>
    <xf numFmtId="0" fontId="8" fillId="2" borderId="0" xfId="49" applyNumberFormat="1" applyFont="1" applyFill="1" applyBorder="1"/>
    <xf numFmtId="0" fontId="10" fillId="10" borderId="0" xfId="49" applyNumberFormat="1" applyFont="1" applyFill="1" applyBorder="1" applyAlignment="1">
      <alignment wrapText="1"/>
    </xf>
    <xf numFmtId="0" fontId="11" fillId="0" borderId="0" xfId="49" applyNumberFormat="1" applyFont="1" applyFill="1" applyBorder="1" applyAlignment="1">
      <alignment wrapText="1"/>
    </xf>
    <xf numFmtId="3" fontId="11" fillId="0" borderId="0" xfId="0" applyNumberFormat="1" applyFont="1" applyFill="1" applyBorder="1" applyAlignment="1">
      <alignment horizontal="right" wrapText="1"/>
    </xf>
    <xf numFmtId="177" fontId="11" fillId="0" borderId="0" xfId="0" applyNumberFormat="1" applyFont="1" applyFill="1" applyBorder="1" applyAlignment="1">
      <alignment horizontal="right" wrapText="1"/>
    </xf>
    <xf numFmtId="0" fontId="5" fillId="4" borderId="0" xfId="49" applyNumberFormat="1" applyFont="1" applyFill="1" applyBorder="1" applyAlignment="1">
      <alignment vertical="center"/>
    </xf>
    <xf numFmtId="0" fontId="6" fillId="9" borderId="0" xfId="49" applyNumberFormat="1" applyFont="1" applyFill="1" applyBorder="1" applyAlignment="1">
      <alignment vertical="top" wrapText="1"/>
    </xf>
    <xf numFmtId="0" fontId="6" fillId="6" borderId="0" xfId="0" applyNumberFormat="1" applyFont="1" applyFill="1" applyBorder="1" applyAlignment="1">
      <alignment vertical="top" wrapText="1"/>
    </xf>
    <xf numFmtId="0" fontId="6" fillId="6" borderId="0" xfId="49" applyNumberFormat="1" applyFont="1" applyFill="1" applyBorder="1" applyAlignment="1">
      <alignment vertical="top" wrapText="1"/>
    </xf>
    <xf numFmtId="0" fontId="2" fillId="3" borderId="0" xfId="0" applyNumberFormat="1" applyFont="1" applyFill="1" applyBorder="1" applyAlignment="1">
      <alignment vertical="center" wrapText="1"/>
    </xf>
    <xf numFmtId="0" fontId="12" fillId="11" borderId="0" xfId="49" applyNumberFormat="1" applyFont="1" applyFill="1" applyBorder="1" applyAlignment="1">
      <alignment vertical="top" wrapText="1"/>
    </xf>
    <xf numFmtId="0" fontId="6" fillId="11"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ill>
        <patternFill patternType="solid">
          <bgColor rgb="FFEAF6FB"/>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UsableDetailTable" displayName="UsableDetailTable" ref="A1:Y38">
  <autoFilter xmlns:etc="http://www.wps.cn/officeDocument/2017/etCustomData" ref="A1:Y38" etc:filterBottomFollowUsedRange="0"/>
  <tableColumns count="25">
    <tableColumn id="1" name="序号"/>
    <tableColumn id="2" name="发布日期"/>
    <tableColumn id="3" name="采集来源"/>
    <tableColumn id="4" name="平台或网站"/>
    <tableColumn id="5" name="账号或栏目名称"/>
    <tableColumn id="6" name="来源类型"/>
    <tableColumn id="7" name="涉及地区"/>
    <tableColumn id="8" name="行政层级"/>
    <tableColumn id="9" name="原始语言"/>
    <tableColumn id="10" name="中文翻译"/>
    <tableColumn id="11" name="标题或话题"/>
    <tableColumn id="12" name="原文证据摘录"/>
    <tableColumn id="13" name="客观摘要"/>
    <tableColumn id="14" name="原始链接"/>
    <tableColumn id="15" name="关联度"/>
    <tableColumn id="16" name="意见类型"/>
    <tableColumn id="17" name="具体议题"/>
    <tableColumn id="18" name="点赞量"/>
    <tableColumn id="19" name="评论量"/>
    <tableColumn id="20" name="转发量"/>
    <tableColumn id="21" name="是否重复"/>
    <tableColumn id="22" name="是否待核实"/>
    <tableColumn id="23" name="人工复核说明"/>
    <tableColumn id="24" name="其他转载平台"/>
    <tableColumn id="25" name="是否计入公众意见统计"/>
  </tableColumns>
  <tableStyleInfo name="TableStyleMedium2" showFirstColumn="0" showLastColumn="0" showRowStripes="0" showColumnStripes="0"/>
</table>
</file>

<file path=xl/tables/table2.xml><?xml version="1.0" encoding="utf-8"?>
<table xmlns="http://schemas.openxmlformats.org/spreadsheetml/2006/main" id="3" name="UsableOfficialInfoTable" displayName="UsableOfficialInfoTable" ref="A1:G26">
  <autoFilter xmlns:etc="http://www.wps.cn/officeDocument/2017/etCustomData" ref="A1:G26" etc:filterBottomFollowUsedRange="0"/>
  <tableColumns count="7">
    <tableColumn id="1" name="地区"/>
    <tableColumn id="2" name="发布部门"/>
    <tableColumn id="3" name="文件或活动名称"/>
    <tableColumn id="4" name="发布日期"/>
    <tableColumn id="5" name="主要实施内容"/>
    <tableColumn id="6" name="原始链接"/>
    <tableColumn id="7" name="是否包含意见征集、群众留言或公开答复"/>
  </tableColumns>
  <tableStyleInfo name="TableStyleMedium2" showFirstColumn="0" showLastColumn="0" showRowStripes="0" showColumnStripes="0"/>
</table>
</file>

<file path=xl/tables/table3.xml><?xml version="1.0" encoding="utf-8"?>
<table xmlns="http://schemas.openxmlformats.org/spreadsheetml/2006/main" id="9" name="PublicOpinionStatsTable" displayName="PublicOpinionStatsTable" ref="A3:B13">
  <tableColumns count="2">
    <tableColumn id="1" name="统计项"/>
    <tableColumn id="2" name="数量"/>
  </tableColumns>
  <tableStyleInfo name="TableStyleMedium2" showFirstColumn="0" showLastColumn="0" showRowStripes="0" showColumnStripes="0"/>
</table>
</file>

<file path=xl/tables/table4.xml><?xml version="1.0" encoding="utf-8"?>
<table xmlns="http://schemas.openxmlformats.org/spreadsheetml/2006/main" id="10" name="PublicIssueTable" displayName="PublicIssueTable" ref="A17:D25">
  <tableColumns count="4">
    <tableColumn id="1" name="问题"/>
    <tableColumn id="2" name="出现次数"/>
    <tableColumn id="3" name="代表来源"/>
    <tableColumn id="4" name="说明"/>
  </tableColumns>
  <tableStyleInfo name="TableStyleMedium2" showFirstColumn="0" showLastColumn="0" showRowStripes="0" showColumnStripes="0"/>
</table>
</file>

<file path=xl/tables/table5.xml><?xml version="1.0" encoding="utf-8"?>
<table xmlns="http://schemas.openxmlformats.org/spreadsheetml/2006/main" id="4" name="DroppedRecordsTable" displayName="DroppedRecordsTable" ref="A1:G12">
  <autoFilter xmlns:etc="http://www.wps.cn/officeDocument/2017/etCustomData" ref="A1:G12" etc:filterBottomFollowUsedRange="0"/>
  <tableColumns count="7">
    <tableColumn id="1" name="序号"/>
    <tableColumn id="2" name="原记录ID"/>
    <tableColumn id="3" name="平台或网站"/>
    <tableColumn id="4" name="标题或线索"/>
    <tableColumn id="5" name="链接处理"/>
    <tableColumn id="6" name="排除原因"/>
    <tableColumn id="7" name="说明"/>
  </tableColumns>
  <tableStyleInfo name="TableStyleMedium2" showFirstColumn="0" showLastColumn="0" showRowStripes="0" showColumnStripes="0"/>
</table>
</file>

<file path=xl/tables/table6.xml><?xml version="1.0" encoding="utf-8"?>
<table xmlns="http://schemas.openxmlformats.org/spreadsheetml/2006/main" id="5" name="ManualFollowupTable" displayName="ManualFollowupTable" ref="A1:D7">
  <autoFilter xmlns:etc="http://www.wps.cn/officeDocument/2017/etCustomData" ref="A1:D7" etc:filterBottomFollowUsedRange="0"/>
  <tableColumns count="4">
    <tableColumn id="1" name="平台或账号"/>
    <tableColumn id="2" name="未自动获取的原因"/>
    <tableColumn id="3" name="建议人工复核方式"/>
    <tableColumn id="4" name="重点核对位置"/>
  </tableColumns>
  <tableStyleInfo name="TableStyleMedium2" showFirstColumn="0" showLastColumn="0" showRowStripes="0" showColumnStripes="0"/>
</table>
</file>

<file path=xl/tables/table7.xml><?xml version="1.0" encoding="utf-8"?>
<table xmlns="http://schemas.openxmlformats.org/spreadsheetml/2006/main" id="6" name="UsableLinkLogTable" displayName="UsableLinkLogTable" ref="A1:F29">
  <autoFilter xmlns:etc="http://www.wps.cn/officeDocument/2017/etCustomData" ref="A1:F29" etc:filterBottomFollowUsedRange="0"/>
  <tableColumns count="6">
    <tableColumn id="1" name="序号"/>
    <tableColumn id="2" name="网站入口"/>
    <tableColumn id="3" name="检查方式"/>
    <tableColumn id="4" name="可访问情况"/>
    <tableColumn id="5" name="有效发现"/>
    <tableColumn id="6" name="备注"/>
  </tableColumns>
  <tableStyleInfo name="TableStyleMedium2" showFirstColumn="0" showLastColumn="0" showRowStripes="0" showColumnStripes="0"/>
</table>
</file>

<file path=xl/tables/table8.xml><?xml version="1.0" encoding="utf-8"?>
<table xmlns="http://schemas.openxmlformats.org/spreadsheetml/2006/main" id="2" name="UsableFlatDataTable" displayName="UsableFlatDataTable" ref="A1:Y38">
  <autoFilter xmlns:etc="http://www.wps.cn/officeDocument/2017/etCustomData" ref="A1:Y38" etc:filterBottomFollowUsedRange="0"/>
  <tableColumns count="25">
    <tableColumn id="1" name="序号"/>
    <tableColumn id="2" name="发布日期"/>
    <tableColumn id="3" name="采集来源"/>
    <tableColumn id="4" name="平台或网站"/>
    <tableColumn id="5" name="账号或栏目名称"/>
    <tableColumn id="6" name="来源类型"/>
    <tableColumn id="7" name="涉及地区"/>
    <tableColumn id="8" name="行政层级"/>
    <tableColumn id="9" name="原始语言"/>
    <tableColumn id="10" name="中文翻译"/>
    <tableColumn id="11" name="标题或话题"/>
    <tableColumn id="12" name="原文证据摘录"/>
    <tableColumn id="13" name="客观摘要"/>
    <tableColumn id="14" name="原始链接"/>
    <tableColumn id="15" name="关联度"/>
    <tableColumn id="16" name="意见类型"/>
    <tableColumn id="17" name="具体议题"/>
    <tableColumn id="18" name="点赞量"/>
    <tableColumn id="19" name="评论量"/>
    <tableColumn id="20" name="转发量"/>
    <tableColumn id="21" name="是否重复"/>
    <tableColumn id="22" name="是否待核实"/>
    <tableColumn id="23" name="人工复核说明"/>
    <tableColumn id="24" name="其他转载平台"/>
    <tableColumn id="25" name="是否计入公众意见统计"/>
  </tableColumns>
  <tableStyleInfo name="TableStyleMedium2" showFirstColumn="0" showLastColumn="0" showRowStripes="0" showColumnStripes="0"/>
</table>
</file>

<file path=xl/tables/table9.xml><?xml version="1.0" encoding="utf-8"?>
<table xmlns="http://schemas.openxmlformats.org/spreadsheetml/2006/main" id="7" name="FilteredTopicMapTable" displayName="FilteredTopicMapTable" ref="A1:B45">
  <autoFilter xmlns:etc="http://www.wps.cn/officeDocument/2017/etCustomData" ref="A1:B45" etc:filterBottomFollowUsedRange="0"/>
  <tableColumns count="2">
    <tableColumn id="1" name="明细序号"/>
    <tableColumn id="2" name="议题标签"/>
  </tableColumns>
  <tableStyleInfo name="TableStyleMedium2" showFirstColumn="0" showLastColumn="0" showRowStripes="0" showColumnStripes="0"/>
</table>
</file>

<file path=xl/tables/table10.xml><?xml version="1.0" encoding="utf-8"?>
<table xmlns="http://schemas.openxmlformats.org/spreadsheetml/2006/main" id="8" name="VerificationBasisTable" displayName="VerificationBasisTable" ref="A1:E7">
  <autoFilter xmlns:etc="http://www.wps.cn/officeDocument/2017/etCustomData" ref="A1:E7" etc:filterBottomFollowUsedRange="0"/>
  <tableColumns count="5">
    <tableColumn id="1" name="类型"/>
    <tableColumn id="2" name="名称"/>
    <tableColumn id="3" name="发布日期"/>
    <tableColumn id="4" name="核验要点"/>
    <tableColumn id="5" name="链接"/>
  </tableColumns>
  <tableStyleInfo name="TableStyleMedium2"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showGridLines="0" workbookViewId="0">
      <selection activeCell="A1" sqref="A1:H1"/>
    </sheetView>
  </sheetViews>
  <sheetFormatPr defaultColWidth="9" defaultRowHeight="14" outlineLevelCol="7"/>
  <cols>
    <col min="1" max="1" width="22" customWidth="1"/>
    <col min="2" max="2" width="44" customWidth="1"/>
    <col min="3" max="8" width="18" customWidth="1"/>
  </cols>
  <sheetData>
    <row r="1" ht="30" customHeight="1" spans="1:8">
      <c r="A1" s="40" t="s">
        <v>0</v>
      </c>
      <c r="B1" s="41"/>
      <c r="C1" s="41"/>
      <c r="D1" s="41"/>
      <c r="E1" s="41"/>
      <c r="F1" s="41"/>
      <c r="G1" s="41"/>
      <c r="H1" s="41"/>
    </row>
    <row r="3" ht="28" customHeight="1" spans="1:8">
      <c r="A3" s="42" t="s">
        <v>1</v>
      </c>
      <c r="B3" s="43" t="s">
        <v>2</v>
      </c>
    </row>
    <row r="4" ht="28" customHeight="1" spans="1:8">
      <c r="A4" s="42" t="s">
        <v>3</v>
      </c>
      <c r="B4" s="43" t="s">
        <v>4</v>
      </c>
    </row>
    <row r="5" ht="28" customHeight="1" spans="1:8">
      <c r="A5" s="42" t="s">
        <v>5</v>
      </c>
      <c r="B5" s="44">
        <v>37</v>
      </c>
    </row>
    <row r="6" ht="28" customHeight="1" spans="1:8">
      <c r="A6" s="42" t="s">
        <v>6</v>
      </c>
      <c r="B6" s="44">
        <v>28</v>
      </c>
    </row>
    <row r="7" ht="28" customHeight="1" spans="1:8">
      <c r="A7" s="42" t="s">
        <v>7</v>
      </c>
      <c r="B7" s="44">
        <v>25</v>
      </c>
    </row>
    <row r="8" ht="28" customHeight="1" spans="1:8">
      <c r="A8" s="42" t="s">
        <v>8</v>
      </c>
      <c r="B8" s="44">
        <v>8</v>
      </c>
    </row>
    <row r="9" ht="28" customHeight="1" spans="1:8">
      <c r="A9" s="42" t="s">
        <v>9</v>
      </c>
      <c r="B9" s="44">
        <v>11</v>
      </c>
    </row>
    <row r="10" ht="28" customHeight="1" spans="1:8">
      <c r="A10" s="42" t="s">
        <v>10</v>
      </c>
      <c r="B10" s="44">
        <v>28</v>
      </c>
    </row>
    <row r="11" ht="28" customHeight="1" spans="1:8">
      <c r="A11" s="42" t="s">
        <v>11</v>
      </c>
      <c r="B11" s="45">
        <f>IFERROR(B10/B6,0)</f>
        <v>1</v>
      </c>
    </row>
    <row r="12" spans="1:8">
      <c r="A12" s="46" t="s">
        <v>12</v>
      </c>
      <c r="B12" s="46"/>
      <c r="C12" s="46"/>
      <c r="D12" s="46"/>
      <c r="E12" s="46"/>
      <c r="F12" s="46"/>
      <c r="G12" s="46"/>
      <c r="H12" s="46"/>
    </row>
    <row r="13" ht="38" customHeight="1" spans="1:8">
      <c r="A13" s="28" t="s">
        <v>13</v>
      </c>
      <c r="B13" s="28"/>
      <c r="C13" s="47"/>
      <c r="D13" s="47"/>
      <c r="E13" s="47"/>
      <c r="F13" s="47"/>
      <c r="G13" s="47"/>
      <c r="H13" s="47"/>
    </row>
    <row r="14" ht="38" customHeight="1" spans="1:8">
      <c r="A14" s="48" t="s">
        <v>14</v>
      </c>
      <c r="B14" s="48"/>
      <c r="C14" s="49"/>
      <c r="D14" s="49"/>
      <c r="E14" s="49"/>
      <c r="F14" s="49"/>
      <c r="G14" s="49"/>
      <c r="H14" s="49"/>
    </row>
    <row r="15" ht="38" customHeight="1" spans="1:8">
      <c r="A15" s="28" t="s">
        <v>15</v>
      </c>
      <c r="B15" s="28"/>
      <c r="C15" s="47"/>
      <c r="D15" s="47"/>
      <c r="E15" s="47"/>
      <c r="F15" s="47"/>
      <c r="G15" s="47"/>
      <c r="H15" s="47"/>
    </row>
    <row r="16" ht="38" customHeight="1" spans="1:8">
      <c r="A16" s="48" t="s">
        <v>16</v>
      </c>
      <c r="B16" s="48"/>
      <c r="C16" s="49"/>
      <c r="D16" s="49"/>
      <c r="E16" s="49"/>
      <c r="F16" s="49"/>
      <c r="G16" s="49"/>
      <c r="H16" s="49"/>
    </row>
    <row r="17" ht="42" customHeight="1" spans="1:8">
      <c r="A17" s="50" t="s">
        <v>17</v>
      </c>
      <c r="B17" s="50"/>
      <c r="C17" s="50"/>
      <c r="D17" s="50"/>
      <c r="E17" s="50"/>
      <c r="F17" s="50"/>
      <c r="G17" s="50"/>
      <c r="H17" s="50"/>
    </row>
    <row r="18" spans="1:8">
      <c r="A18" s="46" t="s">
        <v>18</v>
      </c>
      <c r="B18" s="46"/>
      <c r="C18" s="46"/>
      <c r="D18" s="46"/>
      <c r="E18" s="46"/>
      <c r="F18" s="46"/>
      <c r="G18" s="46"/>
      <c r="H18" s="46"/>
    </row>
    <row r="19" ht="36" customHeight="1" spans="1:8">
      <c r="A19" s="51" t="s">
        <v>19</v>
      </c>
      <c r="B19" s="52"/>
      <c r="C19" s="52"/>
      <c r="D19" s="52"/>
      <c r="E19" s="52"/>
      <c r="F19" s="52"/>
      <c r="G19" s="52"/>
      <c r="H19" s="52"/>
    </row>
    <row r="20" ht="36" customHeight="1" spans="1:8">
      <c r="A20" s="52" t="s">
        <v>20</v>
      </c>
      <c r="B20" s="52"/>
      <c r="C20" s="52"/>
      <c r="D20" s="52"/>
      <c r="E20" s="52"/>
      <c r="F20" s="52"/>
      <c r="G20" s="52"/>
      <c r="H20" s="52"/>
    </row>
    <row r="21" ht="36" customHeight="1" spans="1:8">
      <c r="A21" s="52" t="s">
        <v>21</v>
      </c>
      <c r="B21" s="52"/>
      <c r="C21" s="52"/>
      <c r="D21" s="52"/>
      <c r="E21" s="52"/>
      <c r="F21" s="52"/>
      <c r="G21" s="52"/>
      <c r="H21" s="52"/>
    </row>
  </sheetData>
  <mergeCells count="11">
    <mergeCell ref="A1:H1"/>
    <mergeCell ref="A12:H12"/>
    <mergeCell ref="A13:H13"/>
    <mergeCell ref="A14:H14"/>
    <mergeCell ref="A15:H15"/>
    <mergeCell ref="A16:H16"/>
    <mergeCell ref="A17:H17"/>
    <mergeCell ref="A18:H18"/>
    <mergeCell ref="A19:H19"/>
    <mergeCell ref="A20:H20"/>
    <mergeCell ref="A21:H2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8"/>
  <sheetViews>
    <sheetView showGridLines="0" workbookViewId="0">
      <selection activeCell="A1" sqref="A1"/>
    </sheetView>
  </sheetViews>
  <sheetFormatPr defaultColWidth="9" defaultRowHeight="14"/>
  <cols>
    <col min="1" max="1" width="8" customWidth="1"/>
    <col min="2" max="2" width="12" customWidth="1"/>
    <col min="3" max="3" width="18" customWidth="1"/>
    <col min="4" max="5" width="20" customWidth="1"/>
    <col min="6" max="6" width="18" customWidth="1"/>
    <col min="7" max="7" width="23" customWidth="1"/>
    <col min="8" max="9" width="14" customWidth="1"/>
    <col min="10" max="10" width="30" customWidth="1"/>
    <col min="11" max="11" width="34" customWidth="1"/>
    <col min="12" max="13" width="48" customWidth="1"/>
    <col min="14" max="14" width="58" customWidth="1"/>
    <col min="15" max="15" width="9" customWidth="1"/>
    <col min="16" max="16" width="14" customWidth="1"/>
    <col min="17" max="17" width="34" customWidth="1"/>
    <col min="18" max="20" width="9" customWidth="1"/>
    <col min="21" max="22" width="14" customWidth="1"/>
    <col min="23" max="23" width="48" customWidth="1"/>
    <col min="24" max="24" width="22" customWidth="1"/>
    <col min="25" max="25" width="16" customWidth="1"/>
  </cols>
  <sheetData>
    <row r="1" ht="36" customHeight="1" spans="1:25">
      <c r="A1" s="18" t="s">
        <v>22</v>
      </c>
      <c r="B1" s="18" t="s">
        <v>23</v>
      </c>
      <c r="C1" s="18" t="s">
        <v>24</v>
      </c>
      <c r="D1" s="18" t="s">
        <v>25</v>
      </c>
      <c r="E1" s="18" t="s">
        <v>26</v>
      </c>
      <c r="F1" s="18" t="s">
        <v>27</v>
      </c>
      <c r="G1" s="18" t="s">
        <v>28</v>
      </c>
      <c r="H1" s="18" t="s">
        <v>29</v>
      </c>
      <c r="I1" s="18" t="s">
        <v>30</v>
      </c>
      <c r="J1" s="18" t="s">
        <v>31</v>
      </c>
      <c r="K1" s="18" t="s">
        <v>32</v>
      </c>
      <c r="L1" s="18" t="s">
        <v>33</v>
      </c>
      <c r="M1" s="18" t="s">
        <v>34</v>
      </c>
      <c r="N1" s="18" t="s">
        <v>35</v>
      </c>
      <c r="O1" s="18" t="s">
        <v>36</v>
      </c>
      <c r="P1" s="18" t="s">
        <v>37</v>
      </c>
      <c r="Q1" s="18" t="s">
        <v>38</v>
      </c>
      <c r="R1" s="18" t="s">
        <v>39</v>
      </c>
      <c r="S1" s="18" t="s">
        <v>40</v>
      </c>
      <c r="T1" s="18" t="s">
        <v>41</v>
      </c>
      <c r="U1" s="18" t="s">
        <v>42</v>
      </c>
      <c r="V1" s="18" t="s">
        <v>43</v>
      </c>
      <c r="W1" s="18" t="s">
        <v>44</v>
      </c>
      <c r="X1" s="18" t="s">
        <v>45</v>
      </c>
      <c r="Y1" s="18" t="s">
        <v>46</v>
      </c>
    </row>
    <row r="2" ht="72" customHeight="1" spans="1:25">
      <c r="A2" s="19">
        <v>1</v>
      </c>
      <c r="B2" s="20">
        <v>46204</v>
      </c>
      <c r="C2" s="19" t="s">
        <v>47</v>
      </c>
      <c r="D2" s="19" t="s">
        <v>48</v>
      </c>
      <c r="E2" s="19" t="s">
        <v>49</v>
      </c>
      <c r="F2" s="19" t="s">
        <v>50</v>
      </c>
      <c r="G2" s="19" t="s">
        <v>51</v>
      </c>
      <c r="H2" s="19" t="s">
        <v>52</v>
      </c>
      <c r="I2" s="19" t="s">
        <v>53</v>
      </c>
      <c r="J2" s="19"/>
      <c r="K2" s="19" t="s">
        <v>54</v>
      </c>
      <c r="L2" s="19" t="s">
        <v>55</v>
      </c>
      <c r="M2" s="19" t="s">
        <v>56</v>
      </c>
      <c r="N2" s="21" t="s">
        <v>57</v>
      </c>
      <c r="O2" s="19" t="s">
        <v>58</v>
      </c>
      <c r="P2" s="19" t="s">
        <v>59</v>
      </c>
      <c r="Q2" s="19" t="s">
        <v>60</v>
      </c>
      <c r="R2" s="19"/>
      <c r="S2" s="19"/>
      <c r="T2" s="19"/>
      <c r="U2" s="19" t="s">
        <v>61</v>
      </c>
      <c r="V2" s="19" t="s">
        <v>61</v>
      </c>
      <c r="W2" s="19" t="s">
        <v>62</v>
      </c>
      <c r="X2" s="19"/>
      <c r="Y2" s="19" t="s">
        <v>61</v>
      </c>
    </row>
    <row r="3" ht="72" customHeight="1" spans="1:25">
      <c r="A3" s="22">
        <v>2</v>
      </c>
      <c r="B3" s="23">
        <v>46205</v>
      </c>
      <c r="C3" s="22" t="s">
        <v>47</v>
      </c>
      <c r="D3" s="22" t="s">
        <v>63</v>
      </c>
      <c r="E3" s="22" t="s">
        <v>64</v>
      </c>
      <c r="F3" s="22" t="s">
        <v>65</v>
      </c>
      <c r="G3" s="22" t="s">
        <v>51</v>
      </c>
      <c r="H3" s="22" t="s">
        <v>52</v>
      </c>
      <c r="I3" s="22" t="s">
        <v>53</v>
      </c>
      <c r="J3" s="22"/>
      <c r="K3" s="22" t="s">
        <v>66</v>
      </c>
      <c r="L3" s="22" t="s">
        <v>67</v>
      </c>
      <c r="M3" s="22" t="s">
        <v>68</v>
      </c>
      <c r="N3" s="24" t="s">
        <v>69</v>
      </c>
      <c r="O3" s="22" t="s">
        <v>58</v>
      </c>
      <c r="P3" s="22" t="s">
        <v>70</v>
      </c>
      <c r="Q3" s="22" t="s">
        <v>71</v>
      </c>
      <c r="R3" s="22"/>
      <c r="S3" s="22"/>
      <c r="T3" s="22"/>
      <c r="U3" s="22" t="s">
        <v>61</v>
      </c>
      <c r="V3" s="22" t="s">
        <v>61</v>
      </c>
      <c r="W3" s="22" t="s">
        <v>72</v>
      </c>
      <c r="X3" s="22"/>
      <c r="Y3" s="22" t="s">
        <v>61</v>
      </c>
    </row>
    <row r="4" ht="72" customHeight="1" spans="1:25">
      <c r="A4" s="19">
        <v>3</v>
      </c>
      <c r="B4" s="20">
        <v>46213</v>
      </c>
      <c r="C4" s="19" t="s">
        <v>47</v>
      </c>
      <c r="D4" s="19" t="s">
        <v>63</v>
      </c>
      <c r="E4" s="19" t="s">
        <v>73</v>
      </c>
      <c r="F4" s="19" t="s">
        <v>65</v>
      </c>
      <c r="G4" s="19" t="s">
        <v>74</v>
      </c>
      <c r="H4" s="19" t="s">
        <v>52</v>
      </c>
      <c r="I4" s="19" t="s">
        <v>53</v>
      </c>
      <c r="J4" s="19"/>
      <c r="K4" s="19" t="s">
        <v>75</v>
      </c>
      <c r="L4" s="19" t="s">
        <v>76</v>
      </c>
      <c r="M4" s="19" t="s">
        <v>77</v>
      </c>
      <c r="N4" s="21" t="s">
        <v>78</v>
      </c>
      <c r="O4" s="19" t="s">
        <v>58</v>
      </c>
      <c r="P4" s="19" t="s">
        <v>70</v>
      </c>
      <c r="Q4" s="19" t="s">
        <v>79</v>
      </c>
      <c r="R4" s="19"/>
      <c r="S4" s="19"/>
      <c r="T4" s="19"/>
      <c r="U4" s="19" t="s">
        <v>61</v>
      </c>
      <c r="V4" s="19" t="s">
        <v>61</v>
      </c>
      <c r="W4" s="19" t="s">
        <v>62</v>
      </c>
      <c r="X4" s="19"/>
      <c r="Y4" s="19" t="s">
        <v>61</v>
      </c>
    </row>
    <row r="5" ht="72" customHeight="1" spans="1:25">
      <c r="A5" s="22">
        <v>4</v>
      </c>
      <c r="B5" s="23">
        <v>46206</v>
      </c>
      <c r="C5" s="22" t="s">
        <v>47</v>
      </c>
      <c r="D5" s="22" t="s">
        <v>80</v>
      </c>
      <c r="E5" s="22" t="s">
        <v>81</v>
      </c>
      <c r="F5" s="22" t="s">
        <v>50</v>
      </c>
      <c r="G5" s="22" t="s">
        <v>82</v>
      </c>
      <c r="H5" s="22" t="s">
        <v>83</v>
      </c>
      <c r="I5" s="22" t="s">
        <v>53</v>
      </c>
      <c r="J5" s="22" t="s">
        <v>84</v>
      </c>
      <c r="K5" s="22" t="s">
        <v>85</v>
      </c>
      <c r="L5" s="22" t="s">
        <v>86</v>
      </c>
      <c r="M5" s="22" t="s">
        <v>87</v>
      </c>
      <c r="N5" s="24" t="s">
        <v>88</v>
      </c>
      <c r="O5" s="22" t="s">
        <v>58</v>
      </c>
      <c r="P5" s="22" t="s">
        <v>89</v>
      </c>
      <c r="Q5" s="22" t="s">
        <v>90</v>
      </c>
      <c r="R5" s="22"/>
      <c r="S5" s="22"/>
      <c r="T5" s="22"/>
      <c r="U5" s="22" t="s">
        <v>61</v>
      </c>
      <c r="V5" s="22" t="s">
        <v>61</v>
      </c>
      <c r="W5" s="22" t="s">
        <v>91</v>
      </c>
      <c r="X5" s="22"/>
      <c r="Y5" s="22" t="s">
        <v>61</v>
      </c>
    </row>
    <row r="6" ht="72" customHeight="1" spans="1:25">
      <c r="A6" s="19">
        <v>6</v>
      </c>
      <c r="B6" s="20">
        <v>46205</v>
      </c>
      <c r="C6" s="19" t="s">
        <v>47</v>
      </c>
      <c r="D6" s="19" t="s">
        <v>92</v>
      </c>
      <c r="E6" s="19" t="s">
        <v>93</v>
      </c>
      <c r="F6" s="19" t="s">
        <v>94</v>
      </c>
      <c r="G6" s="19" t="s">
        <v>51</v>
      </c>
      <c r="H6" s="19" t="s">
        <v>52</v>
      </c>
      <c r="I6" s="19" t="s">
        <v>53</v>
      </c>
      <c r="J6" s="19"/>
      <c r="K6" s="19" t="s">
        <v>95</v>
      </c>
      <c r="L6" s="19" t="s">
        <v>96</v>
      </c>
      <c r="M6" s="19" t="s">
        <v>97</v>
      </c>
      <c r="N6" s="21" t="s">
        <v>98</v>
      </c>
      <c r="O6" s="19" t="s">
        <v>58</v>
      </c>
      <c r="P6" s="19" t="s">
        <v>99</v>
      </c>
      <c r="Q6" s="19" t="s">
        <v>100</v>
      </c>
      <c r="R6" s="19"/>
      <c r="S6" s="19"/>
      <c r="T6" s="19"/>
      <c r="U6" s="19" t="s">
        <v>61</v>
      </c>
      <c r="V6" s="19" t="s">
        <v>61</v>
      </c>
      <c r="W6" s="19" t="s">
        <v>72</v>
      </c>
      <c r="X6" s="19"/>
      <c r="Y6" s="19" t="s">
        <v>61</v>
      </c>
    </row>
    <row r="7" ht="72" customHeight="1" spans="1:25">
      <c r="A7" s="22">
        <v>7</v>
      </c>
      <c r="B7" s="23">
        <v>46211</v>
      </c>
      <c r="C7" s="22" t="s">
        <v>47</v>
      </c>
      <c r="D7" s="22" t="s">
        <v>92</v>
      </c>
      <c r="E7" s="22" t="s">
        <v>101</v>
      </c>
      <c r="F7" s="22" t="s">
        <v>94</v>
      </c>
      <c r="G7" s="22" t="s">
        <v>51</v>
      </c>
      <c r="H7" s="22" t="s">
        <v>52</v>
      </c>
      <c r="I7" s="22" t="s">
        <v>53</v>
      </c>
      <c r="J7" s="22"/>
      <c r="K7" s="22" t="s">
        <v>102</v>
      </c>
      <c r="L7" s="22" t="s">
        <v>103</v>
      </c>
      <c r="M7" s="22" t="s">
        <v>104</v>
      </c>
      <c r="N7" s="24" t="s">
        <v>105</v>
      </c>
      <c r="O7" s="22" t="s">
        <v>58</v>
      </c>
      <c r="P7" s="22" t="s">
        <v>70</v>
      </c>
      <c r="Q7" s="22" t="s">
        <v>106</v>
      </c>
      <c r="R7" s="22"/>
      <c r="S7" s="22"/>
      <c r="T7" s="22"/>
      <c r="U7" s="22" t="s">
        <v>61</v>
      </c>
      <c r="V7" s="22" t="s">
        <v>61</v>
      </c>
      <c r="W7" s="22" t="s">
        <v>62</v>
      </c>
      <c r="X7" s="22"/>
      <c r="Y7" s="22" t="s">
        <v>61</v>
      </c>
    </row>
    <row r="8" ht="72" customHeight="1" spans="1:25">
      <c r="A8" s="19">
        <v>18</v>
      </c>
      <c r="B8" s="20">
        <v>46237</v>
      </c>
      <c r="C8" s="19" t="s">
        <v>107</v>
      </c>
      <c r="D8" s="19" t="s">
        <v>63</v>
      </c>
      <c r="E8" s="19" t="s">
        <v>108</v>
      </c>
      <c r="F8" s="19" t="s">
        <v>65</v>
      </c>
      <c r="G8" s="19" t="s">
        <v>109</v>
      </c>
      <c r="H8" s="19" t="s">
        <v>110</v>
      </c>
      <c r="I8" s="19" t="s">
        <v>53</v>
      </c>
      <c r="J8" s="19"/>
      <c r="K8" s="19" t="s">
        <v>111</v>
      </c>
      <c r="L8" s="19" t="s">
        <v>112</v>
      </c>
      <c r="M8" s="19" t="s">
        <v>113</v>
      </c>
      <c r="N8" s="21" t="s">
        <v>114</v>
      </c>
      <c r="O8" s="19" t="s">
        <v>58</v>
      </c>
      <c r="P8" s="19" t="s">
        <v>70</v>
      </c>
      <c r="Q8" s="19" t="s">
        <v>115</v>
      </c>
      <c r="R8" s="19"/>
      <c r="S8" s="19"/>
      <c r="T8" s="19"/>
      <c r="U8" s="19" t="s">
        <v>61</v>
      </c>
      <c r="V8" s="19" t="s">
        <v>61</v>
      </c>
      <c r="W8" s="19" t="s">
        <v>62</v>
      </c>
      <c r="X8" s="19"/>
      <c r="Y8" s="19" t="s">
        <v>61</v>
      </c>
    </row>
    <row r="9" ht="72" customHeight="1" spans="1:25">
      <c r="A9" s="22">
        <v>19</v>
      </c>
      <c r="B9" s="23">
        <v>46211</v>
      </c>
      <c r="C9" s="22" t="s">
        <v>107</v>
      </c>
      <c r="D9" s="22" t="s">
        <v>116</v>
      </c>
      <c r="E9" s="22" t="s">
        <v>117</v>
      </c>
      <c r="F9" s="22" t="s">
        <v>65</v>
      </c>
      <c r="G9" s="22" t="s">
        <v>118</v>
      </c>
      <c r="H9" s="22" t="s">
        <v>119</v>
      </c>
      <c r="I9" s="22" t="s">
        <v>53</v>
      </c>
      <c r="J9" s="22"/>
      <c r="K9" s="22" t="s">
        <v>120</v>
      </c>
      <c r="L9" s="22" t="s">
        <v>121</v>
      </c>
      <c r="M9" s="22" t="s">
        <v>122</v>
      </c>
      <c r="N9" s="24" t="s">
        <v>123</v>
      </c>
      <c r="O9" s="22" t="s">
        <v>58</v>
      </c>
      <c r="P9" s="22" t="s">
        <v>70</v>
      </c>
      <c r="Q9" s="22" t="s">
        <v>124</v>
      </c>
      <c r="R9" s="22"/>
      <c r="S9" s="22"/>
      <c r="T9" s="22"/>
      <c r="U9" s="22" t="s">
        <v>61</v>
      </c>
      <c r="V9" s="22" t="s">
        <v>61</v>
      </c>
      <c r="W9" s="22" t="s">
        <v>72</v>
      </c>
      <c r="X9" s="22"/>
      <c r="Y9" s="22" t="s">
        <v>61</v>
      </c>
    </row>
    <row r="10" ht="72" customHeight="1" spans="1:25">
      <c r="A10" s="19">
        <v>20</v>
      </c>
      <c r="B10" s="20">
        <v>46217</v>
      </c>
      <c r="C10" s="19" t="s">
        <v>107</v>
      </c>
      <c r="D10" s="19" t="s">
        <v>125</v>
      </c>
      <c r="E10" s="19" t="s">
        <v>126</v>
      </c>
      <c r="F10" s="19" t="s">
        <v>50</v>
      </c>
      <c r="G10" s="19" t="s">
        <v>127</v>
      </c>
      <c r="H10" s="19" t="s">
        <v>110</v>
      </c>
      <c r="I10" s="19" t="s">
        <v>53</v>
      </c>
      <c r="J10" s="19"/>
      <c r="K10" s="19" t="s">
        <v>128</v>
      </c>
      <c r="L10" s="19" t="s">
        <v>129</v>
      </c>
      <c r="M10" s="19" t="s">
        <v>130</v>
      </c>
      <c r="N10" s="21" t="s">
        <v>131</v>
      </c>
      <c r="O10" s="19" t="s">
        <v>58</v>
      </c>
      <c r="P10" s="19" t="s">
        <v>59</v>
      </c>
      <c r="Q10" s="19" t="s">
        <v>132</v>
      </c>
      <c r="R10" s="19"/>
      <c r="S10" s="19"/>
      <c r="T10" s="19"/>
      <c r="U10" s="19" t="s">
        <v>61</v>
      </c>
      <c r="V10" s="19" t="s">
        <v>61</v>
      </c>
      <c r="W10" s="19" t="s">
        <v>72</v>
      </c>
      <c r="X10" s="19"/>
      <c r="Y10" s="19" t="s">
        <v>61</v>
      </c>
    </row>
    <row r="11" ht="72" customHeight="1" spans="1:25">
      <c r="A11" s="22">
        <v>21</v>
      </c>
      <c r="B11" s="23">
        <v>46217</v>
      </c>
      <c r="C11" s="22" t="s">
        <v>107</v>
      </c>
      <c r="D11" s="22" t="s">
        <v>125</v>
      </c>
      <c r="E11" s="22" t="s">
        <v>133</v>
      </c>
      <c r="F11" s="22" t="s">
        <v>134</v>
      </c>
      <c r="G11" s="22" t="s">
        <v>127</v>
      </c>
      <c r="H11" s="22" t="s">
        <v>135</v>
      </c>
      <c r="I11" s="22" t="s">
        <v>53</v>
      </c>
      <c r="J11" s="22"/>
      <c r="K11" s="22" t="s">
        <v>136</v>
      </c>
      <c r="L11" s="22" t="s">
        <v>137</v>
      </c>
      <c r="M11" s="22" t="s">
        <v>138</v>
      </c>
      <c r="N11" s="24" t="s">
        <v>131</v>
      </c>
      <c r="O11" s="22" t="s">
        <v>58</v>
      </c>
      <c r="P11" s="22" t="s">
        <v>139</v>
      </c>
      <c r="Q11" s="22" t="s">
        <v>140</v>
      </c>
      <c r="R11" s="22"/>
      <c r="S11" s="22"/>
      <c r="T11" s="22"/>
      <c r="U11" s="22" t="s">
        <v>61</v>
      </c>
      <c r="V11" s="22" t="s">
        <v>61</v>
      </c>
      <c r="W11" s="22" t="s">
        <v>72</v>
      </c>
      <c r="X11" s="22"/>
      <c r="Y11" s="22" t="s">
        <v>141</v>
      </c>
    </row>
    <row r="12" ht="72" customHeight="1" spans="1:25">
      <c r="A12" s="19">
        <v>22</v>
      </c>
      <c r="B12" s="20">
        <v>46217</v>
      </c>
      <c r="C12" s="19" t="s">
        <v>107</v>
      </c>
      <c r="D12" s="19" t="s">
        <v>125</v>
      </c>
      <c r="E12" s="19" t="s">
        <v>142</v>
      </c>
      <c r="F12" s="19" t="s">
        <v>134</v>
      </c>
      <c r="G12" s="19" t="s">
        <v>127</v>
      </c>
      <c r="H12" s="19" t="s">
        <v>135</v>
      </c>
      <c r="I12" s="19" t="s">
        <v>53</v>
      </c>
      <c r="J12" s="19"/>
      <c r="K12" s="19" t="s">
        <v>143</v>
      </c>
      <c r="L12" s="19" t="s">
        <v>144</v>
      </c>
      <c r="M12" s="19" t="s">
        <v>145</v>
      </c>
      <c r="N12" s="21" t="s">
        <v>131</v>
      </c>
      <c r="O12" s="19" t="s">
        <v>58</v>
      </c>
      <c r="P12" s="19" t="s">
        <v>139</v>
      </c>
      <c r="Q12" s="19" t="s">
        <v>146</v>
      </c>
      <c r="R12" s="19"/>
      <c r="S12" s="19"/>
      <c r="T12" s="19"/>
      <c r="U12" s="19" t="s">
        <v>61</v>
      </c>
      <c r="V12" s="19" t="s">
        <v>61</v>
      </c>
      <c r="W12" s="19" t="s">
        <v>72</v>
      </c>
      <c r="X12" s="19"/>
      <c r="Y12" s="19" t="s">
        <v>141</v>
      </c>
    </row>
    <row r="13" ht="72" customHeight="1" spans="1:25">
      <c r="A13" s="22">
        <v>23</v>
      </c>
      <c r="B13" s="23">
        <v>46217</v>
      </c>
      <c r="C13" s="22" t="s">
        <v>107</v>
      </c>
      <c r="D13" s="22" t="s">
        <v>125</v>
      </c>
      <c r="E13" s="22" t="s">
        <v>147</v>
      </c>
      <c r="F13" s="22" t="s">
        <v>134</v>
      </c>
      <c r="G13" s="22" t="s">
        <v>148</v>
      </c>
      <c r="H13" s="22" t="s">
        <v>135</v>
      </c>
      <c r="I13" s="22" t="s">
        <v>53</v>
      </c>
      <c r="J13" s="22" t="s">
        <v>149</v>
      </c>
      <c r="K13" s="22" t="s">
        <v>150</v>
      </c>
      <c r="L13" s="22" t="s">
        <v>151</v>
      </c>
      <c r="M13" s="22" t="s">
        <v>152</v>
      </c>
      <c r="N13" s="24" t="s">
        <v>131</v>
      </c>
      <c r="O13" s="22" t="s">
        <v>58</v>
      </c>
      <c r="P13" s="22" t="s">
        <v>139</v>
      </c>
      <c r="Q13" s="22" t="s">
        <v>153</v>
      </c>
      <c r="R13" s="22"/>
      <c r="S13" s="22"/>
      <c r="T13" s="22"/>
      <c r="U13" s="22" t="s">
        <v>61</v>
      </c>
      <c r="V13" s="22" t="s">
        <v>61</v>
      </c>
      <c r="W13" s="22" t="s">
        <v>154</v>
      </c>
      <c r="X13" s="22"/>
      <c r="Y13" s="22" t="s">
        <v>141</v>
      </c>
    </row>
    <row r="14" ht="72" customHeight="1" spans="1:25">
      <c r="A14" s="19">
        <v>24</v>
      </c>
      <c r="B14" s="20">
        <v>46217</v>
      </c>
      <c r="C14" s="19" t="s">
        <v>107</v>
      </c>
      <c r="D14" s="19" t="s">
        <v>125</v>
      </c>
      <c r="E14" s="19" t="s">
        <v>155</v>
      </c>
      <c r="F14" s="19" t="s">
        <v>134</v>
      </c>
      <c r="G14" s="19" t="s">
        <v>127</v>
      </c>
      <c r="H14" s="19" t="s">
        <v>135</v>
      </c>
      <c r="I14" s="19" t="s">
        <v>53</v>
      </c>
      <c r="J14" s="19"/>
      <c r="K14" s="19" t="s">
        <v>156</v>
      </c>
      <c r="L14" s="19" t="s">
        <v>157</v>
      </c>
      <c r="M14" s="19" t="s">
        <v>158</v>
      </c>
      <c r="N14" s="21" t="s">
        <v>131</v>
      </c>
      <c r="O14" s="19" t="s">
        <v>58</v>
      </c>
      <c r="P14" s="19" t="s">
        <v>139</v>
      </c>
      <c r="Q14" s="19" t="s">
        <v>159</v>
      </c>
      <c r="R14" s="19"/>
      <c r="S14" s="19"/>
      <c r="T14" s="19"/>
      <c r="U14" s="19" t="s">
        <v>61</v>
      </c>
      <c r="V14" s="19" t="s">
        <v>61</v>
      </c>
      <c r="W14" s="19" t="s">
        <v>72</v>
      </c>
      <c r="X14" s="19"/>
      <c r="Y14" s="19" t="s">
        <v>141</v>
      </c>
    </row>
    <row r="15" ht="72" customHeight="1" spans="1:25">
      <c r="A15" s="22">
        <v>25</v>
      </c>
      <c r="B15" s="23">
        <v>46217</v>
      </c>
      <c r="C15" s="22" t="s">
        <v>107</v>
      </c>
      <c r="D15" s="22" t="s">
        <v>125</v>
      </c>
      <c r="E15" s="22" t="s">
        <v>160</v>
      </c>
      <c r="F15" s="22" t="s">
        <v>134</v>
      </c>
      <c r="G15" s="22" t="s">
        <v>161</v>
      </c>
      <c r="H15" s="22" t="s">
        <v>162</v>
      </c>
      <c r="I15" s="22" t="s">
        <v>53</v>
      </c>
      <c r="J15" s="22" t="s">
        <v>163</v>
      </c>
      <c r="K15" s="22" t="s">
        <v>164</v>
      </c>
      <c r="L15" s="22" t="s">
        <v>165</v>
      </c>
      <c r="M15" s="22" t="s">
        <v>166</v>
      </c>
      <c r="N15" s="24" t="s">
        <v>131</v>
      </c>
      <c r="O15" s="22" t="s">
        <v>58</v>
      </c>
      <c r="P15" s="22" t="s">
        <v>139</v>
      </c>
      <c r="Q15" s="22" t="s">
        <v>167</v>
      </c>
      <c r="R15" s="22"/>
      <c r="S15" s="22"/>
      <c r="T15" s="22"/>
      <c r="U15" s="22" t="s">
        <v>61</v>
      </c>
      <c r="V15" s="22" t="s">
        <v>61</v>
      </c>
      <c r="W15" s="22" t="s">
        <v>168</v>
      </c>
      <c r="X15" s="22"/>
      <c r="Y15" s="22" t="s">
        <v>141</v>
      </c>
    </row>
    <row r="16" ht="72" customHeight="1" spans="1:25">
      <c r="A16" s="19">
        <v>26</v>
      </c>
      <c r="B16" s="20">
        <v>46217</v>
      </c>
      <c r="C16" s="19" t="s">
        <v>107</v>
      </c>
      <c r="D16" s="19" t="s">
        <v>125</v>
      </c>
      <c r="E16" s="19" t="s">
        <v>169</v>
      </c>
      <c r="F16" s="19" t="s">
        <v>134</v>
      </c>
      <c r="G16" s="19" t="s">
        <v>170</v>
      </c>
      <c r="H16" s="19" t="s">
        <v>171</v>
      </c>
      <c r="I16" s="19" t="s">
        <v>53</v>
      </c>
      <c r="J16" s="19"/>
      <c r="K16" s="19" t="s">
        <v>172</v>
      </c>
      <c r="L16" s="19" t="s">
        <v>173</v>
      </c>
      <c r="M16" s="19" t="s">
        <v>174</v>
      </c>
      <c r="N16" s="21" t="s">
        <v>131</v>
      </c>
      <c r="O16" s="19" t="s">
        <v>58</v>
      </c>
      <c r="P16" s="19" t="s">
        <v>139</v>
      </c>
      <c r="Q16" s="19" t="s">
        <v>175</v>
      </c>
      <c r="R16" s="19"/>
      <c r="S16" s="19"/>
      <c r="T16" s="19"/>
      <c r="U16" s="19" t="s">
        <v>61</v>
      </c>
      <c r="V16" s="19" t="s">
        <v>61</v>
      </c>
      <c r="W16" s="19" t="s">
        <v>72</v>
      </c>
      <c r="X16" s="19"/>
      <c r="Y16" s="19" t="s">
        <v>141</v>
      </c>
    </row>
    <row r="17" ht="72" customHeight="1" spans="1:25">
      <c r="A17" s="22">
        <v>27</v>
      </c>
      <c r="B17" s="23">
        <v>46227</v>
      </c>
      <c r="C17" s="22" t="s">
        <v>107</v>
      </c>
      <c r="D17" s="22" t="s">
        <v>176</v>
      </c>
      <c r="E17" s="22" t="s">
        <v>177</v>
      </c>
      <c r="F17" s="22" t="s">
        <v>50</v>
      </c>
      <c r="G17" s="22" t="s">
        <v>178</v>
      </c>
      <c r="H17" s="22" t="s">
        <v>179</v>
      </c>
      <c r="I17" s="22" t="s">
        <v>53</v>
      </c>
      <c r="J17" s="22"/>
      <c r="K17" s="22" t="s">
        <v>180</v>
      </c>
      <c r="L17" s="22" t="s">
        <v>181</v>
      </c>
      <c r="M17" s="22" t="s">
        <v>182</v>
      </c>
      <c r="N17" s="24" t="s">
        <v>183</v>
      </c>
      <c r="O17" s="22" t="s">
        <v>58</v>
      </c>
      <c r="P17" s="22" t="s">
        <v>70</v>
      </c>
      <c r="Q17" s="22" t="s">
        <v>184</v>
      </c>
      <c r="R17" s="22"/>
      <c r="S17" s="22"/>
      <c r="T17" s="22"/>
      <c r="U17" s="22" t="s">
        <v>61</v>
      </c>
      <c r="V17" s="22" t="s">
        <v>61</v>
      </c>
      <c r="W17" s="22" t="s">
        <v>62</v>
      </c>
      <c r="X17" s="22"/>
      <c r="Y17" s="22" t="s">
        <v>61</v>
      </c>
    </row>
    <row r="18" ht="72" customHeight="1" spans="1:25">
      <c r="A18" s="19">
        <v>28</v>
      </c>
      <c r="B18" s="20">
        <v>46227</v>
      </c>
      <c r="C18" s="19" t="s">
        <v>107</v>
      </c>
      <c r="D18" s="19" t="s">
        <v>176</v>
      </c>
      <c r="E18" s="19" t="s">
        <v>185</v>
      </c>
      <c r="F18" s="19" t="s">
        <v>134</v>
      </c>
      <c r="G18" s="19" t="s">
        <v>186</v>
      </c>
      <c r="H18" s="19" t="s">
        <v>187</v>
      </c>
      <c r="I18" s="19" t="s">
        <v>53</v>
      </c>
      <c r="J18" s="19"/>
      <c r="K18" s="19" t="s">
        <v>188</v>
      </c>
      <c r="L18" s="19" t="s">
        <v>189</v>
      </c>
      <c r="M18" s="19" t="s">
        <v>190</v>
      </c>
      <c r="N18" s="21" t="s">
        <v>183</v>
      </c>
      <c r="O18" s="19" t="s">
        <v>191</v>
      </c>
      <c r="P18" s="19" t="s">
        <v>139</v>
      </c>
      <c r="Q18" s="19" t="s">
        <v>192</v>
      </c>
      <c r="R18" s="19"/>
      <c r="S18" s="19"/>
      <c r="T18" s="19"/>
      <c r="U18" s="19" t="s">
        <v>61</v>
      </c>
      <c r="V18" s="19" t="s">
        <v>61</v>
      </c>
      <c r="W18" s="19" t="s">
        <v>72</v>
      </c>
      <c r="X18" s="19"/>
      <c r="Y18" s="19" t="s">
        <v>141</v>
      </c>
    </row>
    <row r="19" ht="72" customHeight="1" spans="1:25">
      <c r="A19" s="22">
        <v>29</v>
      </c>
      <c r="B19" s="23">
        <v>46224</v>
      </c>
      <c r="C19" s="22" t="s">
        <v>107</v>
      </c>
      <c r="D19" s="22" t="s">
        <v>193</v>
      </c>
      <c r="E19" s="22" t="s">
        <v>194</v>
      </c>
      <c r="F19" s="22" t="s">
        <v>65</v>
      </c>
      <c r="G19" s="22" t="s">
        <v>195</v>
      </c>
      <c r="H19" s="22" t="s">
        <v>179</v>
      </c>
      <c r="I19" s="22" t="s">
        <v>53</v>
      </c>
      <c r="J19" s="22"/>
      <c r="K19" s="22" t="s">
        <v>196</v>
      </c>
      <c r="L19" s="22" t="s">
        <v>197</v>
      </c>
      <c r="M19" s="22" t="s">
        <v>198</v>
      </c>
      <c r="N19" s="24" t="s">
        <v>199</v>
      </c>
      <c r="O19" s="22" t="s">
        <v>58</v>
      </c>
      <c r="P19" s="22" t="s">
        <v>70</v>
      </c>
      <c r="Q19" s="22" t="s">
        <v>200</v>
      </c>
      <c r="R19" s="22"/>
      <c r="S19" s="22"/>
      <c r="T19" s="22"/>
      <c r="U19" s="22" t="s">
        <v>61</v>
      </c>
      <c r="V19" s="22" t="s">
        <v>61</v>
      </c>
      <c r="W19" s="22" t="s">
        <v>72</v>
      </c>
      <c r="X19" s="22"/>
      <c r="Y19" s="22" t="s">
        <v>61</v>
      </c>
    </row>
    <row r="20" ht="72" customHeight="1" spans="1:25">
      <c r="A20" s="19">
        <v>30</v>
      </c>
      <c r="B20" s="20">
        <v>46228</v>
      </c>
      <c r="C20" s="19" t="s">
        <v>107</v>
      </c>
      <c r="D20" s="19" t="s">
        <v>63</v>
      </c>
      <c r="E20" s="19" t="s">
        <v>201</v>
      </c>
      <c r="F20" s="19" t="s">
        <v>65</v>
      </c>
      <c r="G20" s="19" t="s">
        <v>195</v>
      </c>
      <c r="H20" s="19" t="s">
        <v>179</v>
      </c>
      <c r="I20" s="19" t="s">
        <v>53</v>
      </c>
      <c r="J20" s="19"/>
      <c r="K20" s="19" t="s">
        <v>202</v>
      </c>
      <c r="L20" s="19" t="s">
        <v>203</v>
      </c>
      <c r="M20" s="19" t="s">
        <v>204</v>
      </c>
      <c r="N20" s="21" t="s">
        <v>205</v>
      </c>
      <c r="O20" s="19" t="s">
        <v>58</v>
      </c>
      <c r="P20" s="19" t="s">
        <v>70</v>
      </c>
      <c r="Q20" s="19" t="s">
        <v>206</v>
      </c>
      <c r="R20" s="19"/>
      <c r="S20" s="19"/>
      <c r="T20" s="19"/>
      <c r="U20" s="19" t="s">
        <v>61</v>
      </c>
      <c r="V20" s="19" t="s">
        <v>61</v>
      </c>
      <c r="W20" s="19" t="s">
        <v>62</v>
      </c>
      <c r="X20" s="19"/>
      <c r="Y20" s="19" t="s">
        <v>61</v>
      </c>
    </row>
    <row r="21" ht="72" customHeight="1" spans="1:25">
      <c r="A21" s="22">
        <v>31</v>
      </c>
      <c r="B21" s="23">
        <v>46232</v>
      </c>
      <c r="C21" s="22" t="s">
        <v>207</v>
      </c>
      <c r="D21" s="22" t="s">
        <v>208</v>
      </c>
      <c r="E21" s="22" t="s">
        <v>209</v>
      </c>
      <c r="F21" s="22" t="s">
        <v>50</v>
      </c>
      <c r="G21" s="22" t="s">
        <v>210</v>
      </c>
      <c r="H21" s="22" t="s">
        <v>211</v>
      </c>
      <c r="I21" s="22" t="s">
        <v>53</v>
      </c>
      <c r="J21" s="22" t="s">
        <v>212</v>
      </c>
      <c r="K21" s="22" t="s">
        <v>213</v>
      </c>
      <c r="L21" s="22" t="s">
        <v>214</v>
      </c>
      <c r="M21" s="22" t="s">
        <v>215</v>
      </c>
      <c r="N21" s="24" t="s">
        <v>216</v>
      </c>
      <c r="O21" s="22" t="s">
        <v>58</v>
      </c>
      <c r="P21" s="22" t="s">
        <v>70</v>
      </c>
      <c r="Q21" s="22" t="s">
        <v>217</v>
      </c>
      <c r="R21" s="22"/>
      <c r="S21" s="22"/>
      <c r="T21" s="22"/>
      <c r="U21" s="22" t="s">
        <v>61</v>
      </c>
      <c r="V21" s="22" t="s">
        <v>61</v>
      </c>
      <c r="W21" s="22" t="s">
        <v>218</v>
      </c>
      <c r="X21" s="22"/>
      <c r="Y21" s="22" t="s">
        <v>61</v>
      </c>
    </row>
    <row r="22" ht="72" customHeight="1" spans="1:25">
      <c r="A22" s="19">
        <v>32</v>
      </c>
      <c r="B22" s="20">
        <v>46205</v>
      </c>
      <c r="C22" s="19" t="s">
        <v>207</v>
      </c>
      <c r="D22" s="19" t="s">
        <v>208</v>
      </c>
      <c r="E22" s="19" t="s">
        <v>219</v>
      </c>
      <c r="F22" s="19" t="s">
        <v>50</v>
      </c>
      <c r="G22" s="19" t="s">
        <v>178</v>
      </c>
      <c r="H22" s="19" t="s">
        <v>179</v>
      </c>
      <c r="I22" s="19" t="s">
        <v>53</v>
      </c>
      <c r="J22" s="19"/>
      <c r="K22" s="19" t="s">
        <v>220</v>
      </c>
      <c r="L22" s="19" t="s">
        <v>221</v>
      </c>
      <c r="M22" s="19" t="s">
        <v>222</v>
      </c>
      <c r="N22" s="21" t="s">
        <v>223</v>
      </c>
      <c r="O22" s="19" t="s">
        <v>58</v>
      </c>
      <c r="P22" s="19" t="s">
        <v>59</v>
      </c>
      <c r="Q22" s="19" t="s">
        <v>224</v>
      </c>
      <c r="R22" s="19"/>
      <c r="S22" s="19"/>
      <c r="T22" s="19"/>
      <c r="U22" s="19" t="s">
        <v>61</v>
      </c>
      <c r="V22" s="19" t="s">
        <v>61</v>
      </c>
      <c r="W22" s="19" t="s">
        <v>72</v>
      </c>
      <c r="X22" s="19"/>
      <c r="Y22" s="19" t="s">
        <v>61</v>
      </c>
    </row>
    <row r="23" ht="72" customHeight="1" spans="1:25">
      <c r="A23" s="22">
        <v>33</v>
      </c>
      <c r="B23" s="23">
        <v>46206</v>
      </c>
      <c r="C23" s="22" t="s">
        <v>107</v>
      </c>
      <c r="D23" s="22" t="s">
        <v>225</v>
      </c>
      <c r="E23" s="22" t="s">
        <v>226</v>
      </c>
      <c r="F23" s="22" t="s">
        <v>65</v>
      </c>
      <c r="G23" s="22" t="s">
        <v>227</v>
      </c>
      <c r="H23" s="22" t="s">
        <v>211</v>
      </c>
      <c r="I23" s="22" t="s">
        <v>53</v>
      </c>
      <c r="J23" s="22"/>
      <c r="K23" s="22" t="s">
        <v>228</v>
      </c>
      <c r="L23" s="22" t="s">
        <v>229</v>
      </c>
      <c r="M23" s="22" t="s">
        <v>230</v>
      </c>
      <c r="N23" s="24" t="s">
        <v>231</v>
      </c>
      <c r="O23" s="22" t="s">
        <v>58</v>
      </c>
      <c r="P23" s="22" t="s">
        <v>70</v>
      </c>
      <c r="Q23" s="22" t="s">
        <v>232</v>
      </c>
      <c r="R23" s="22"/>
      <c r="S23" s="22"/>
      <c r="T23" s="22"/>
      <c r="U23" s="22" t="s">
        <v>61</v>
      </c>
      <c r="V23" s="22" t="s">
        <v>61</v>
      </c>
      <c r="W23" s="22" t="s">
        <v>72</v>
      </c>
      <c r="X23" s="22"/>
      <c r="Y23" s="22" t="s">
        <v>61</v>
      </c>
    </row>
    <row r="24" ht="72" customHeight="1" spans="1:25">
      <c r="A24" s="19">
        <v>34</v>
      </c>
      <c r="B24" s="20">
        <v>46205</v>
      </c>
      <c r="C24" s="19" t="s">
        <v>107</v>
      </c>
      <c r="D24" s="19" t="s">
        <v>225</v>
      </c>
      <c r="E24" s="19" t="s">
        <v>233</v>
      </c>
      <c r="F24" s="19" t="s">
        <v>65</v>
      </c>
      <c r="G24" s="19" t="s">
        <v>234</v>
      </c>
      <c r="H24" s="19" t="s">
        <v>211</v>
      </c>
      <c r="I24" s="19" t="s">
        <v>53</v>
      </c>
      <c r="J24" s="19"/>
      <c r="K24" s="19" t="s">
        <v>235</v>
      </c>
      <c r="L24" s="19" t="s">
        <v>236</v>
      </c>
      <c r="M24" s="19" t="s">
        <v>237</v>
      </c>
      <c r="N24" s="21" t="s">
        <v>238</v>
      </c>
      <c r="O24" s="19" t="s">
        <v>58</v>
      </c>
      <c r="P24" s="19" t="s">
        <v>70</v>
      </c>
      <c r="Q24" s="19" t="s">
        <v>239</v>
      </c>
      <c r="R24" s="19"/>
      <c r="S24" s="19"/>
      <c r="T24" s="19"/>
      <c r="U24" s="19" t="s">
        <v>61</v>
      </c>
      <c r="V24" s="19" t="s">
        <v>61</v>
      </c>
      <c r="W24" s="19" t="s">
        <v>62</v>
      </c>
      <c r="X24" s="19"/>
      <c r="Y24" s="19" t="s">
        <v>61</v>
      </c>
    </row>
    <row r="25" ht="72" customHeight="1" spans="1:25">
      <c r="A25" s="22">
        <v>35</v>
      </c>
      <c r="B25" s="23">
        <v>46231</v>
      </c>
      <c r="C25" s="22" t="s">
        <v>107</v>
      </c>
      <c r="D25" s="22" t="s">
        <v>225</v>
      </c>
      <c r="E25" s="22" t="s">
        <v>240</v>
      </c>
      <c r="F25" s="22" t="s">
        <v>65</v>
      </c>
      <c r="G25" s="22" t="s">
        <v>241</v>
      </c>
      <c r="H25" s="22" t="s">
        <v>242</v>
      </c>
      <c r="I25" s="22" t="s">
        <v>53</v>
      </c>
      <c r="J25" s="22"/>
      <c r="K25" s="22" t="s">
        <v>243</v>
      </c>
      <c r="L25" s="22" t="s">
        <v>244</v>
      </c>
      <c r="M25" s="22" t="s">
        <v>245</v>
      </c>
      <c r="N25" s="24" t="s">
        <v>246</v>
      </c>
      <c r="O25" s="22" t="s">
        <v>58</v>
      </c>
      <c r="P25" s="22" t="s">
        <v>70</v>
      </c>
      <c r="Q25" s="22" t="s">
        <v>247</v>
      </c>
      <c r="R25" s="22"/>
      <c r="S25" s="22"/>
      <c r="T25" s="22"/>
      <c r="U25" s="22" t="s">
        <v>61</v>
      </c>
      <c r="V25" s="22" t="s">
        <v>61</v>
      </c>
      <c r="W25" s="22" t="s">
        <v>72</v>
      </c>
      <c r="X25" s="22"/>
      <c r="Y25" s="22" t="s">
        <v>61</v>
      </c>
    </row>
    <row r="26" ht="72" customHeight="1" spans="1:25">
      <c r="A26" s="19">
        <v>36</v>
      </c>
      <c r="B26" s="20">
        <v>46234</v>
      </c>
      <c r="C26" s="19" t="s">
        <v>107</v>
      </c>
      <c r="D26" s="19" t="s">
        <v>225</v>
      </c>
      <c r="E26" s="19" t="s">
        <v>248</v>
      </c>
      <c r="F26" s="19" t="s">
        <v>65</v>
      </c>
      <c r="G26" s="19" t="s">
        <v>249</v>
      </c>
      <c r="H26" s="19" t="s">
        <v>211</v>
      </c>
      <c r="I26" s="19" t="s">
        <v>53</v>
      </c>
      <c r="J26" s="19"/>
      <c r="K26" s="19" t="s">
        <v>250</v>
      </c>
      <c r="L26" s="19" t="s">
        <v>251</v>
      </c>
      <c r="M26" s="19" t="s">
        <v>252</v>
      </c>
      <c r="N26" s="21" t="s">
        <v>253</v>
      </c>
      <c r="O26" s="19" t="s">
        <v>58</v>
      </c>
      <c r="P26" s="19" t="s">
        <v>70</v>
      </c>
      <c r="Q26" s="19" t="s">
        <v>254</v>
      </c>
      <c r="R26" s="19"/>
      <c r="S26" s="19"/>
      <c r="T26" s="19"/>
      <c r="U26" s="19" t="s">
        <v>61</v>
      </c>
      <c r="V26" s="19" t="s">
        <v>61</v>
      </c>
      <c r="W26" s="19" t="s">
        <v>62</v>
      </c>
      <c r="X26" s="19"/>
      <c r="Y26" s="19" t="s">
        <v>61</v>
      </c>
    </row>
    <row r="27" ht="72" customHeight="1" spans="1:25">
      <c r="A27" s="22">
        <v>37</v>
      </c>
      <c r="B27" s="23">
        <v>46234</v>
      </c>
      <c r="C27" s="22" t="s">
        <v>107</v>
      </c>
      <c r="D27" s="22" t="s">
        <v>225</v>
      </c>
      <c r="E27" s="22" t="s">
        <v>255</v>
      </c>
      <c r="F27" s="22" t="s">
        <v>65</v>
      </c>
      <c r="G27" s="22" t="s">
        <v>256</v>
      </c>
      <c r="H27" s="22" t="s">
        <v>257</v>
      </c>
      <c r="I27" s="22" t="s">
        <v>53</v>
      </c>
      <c r="J27" s="22"/>
      <c r="K27" s="22" t="s">
        <v>258</v>
      </c>
      <c r="L27" s="22" t="s">
        <v>259</v>
      </c>
      <c r="M27" s="22" t="s">
        <v>260</v>
      </c>
      <c r="N27" s="24" t="s">
        <v>261</v>
      </c>
      <c r="O27" s="22" t="s">
        <v>58</v>
      </c>
      <c r="P27" s="22" t="s">
        <v>70</v>
      </c>
      <c r="Q27" s="22" t="s">
        <v>262</v>
      </c>
      <c r="R27" s="22"/>
      <c r="S27" s="22"/>
      <c r="T27" s="22"/>
      <c r="U27" s="22" t="s">
        <v>61</v>
      </c>
      <c r="V27" s="22" t="s">
        <v>61</v>
      </c>
      <c r="W27" s="22" t="s">
        <v>62</v>
      </c>
      <c r="X27" s="22"/>
      <c r="Y27" s="22" t="s">
        <v>61</v>
      </c>
    </row>
    <row r="28" ht="72" customHeight="1" spans="1:25">
      <c r="A28" s="19">
        <v>38</v>
      </c>
      <c r="B28" s="20">
        <v>46204</v>
      </c>
      <c r="C28" s="19" t="s">
        <v>107</v>
      </c>
      <c r="D28" s="19" t="s">
        <v>263</v>
      </c>
      <c r="E28" s="19" t="s">
        <v>264</v>
      </c>
      <c r="F28" s="19" t="s">
        <v>50</v>
      </c>
      <c r="G28" s="19" t="s">
        <v>265</v>
      </c>
      <c r="H28" s="19" t="s">
        <v>110</v>
      </c>
      <c r="I28" s="19" t="s">
        <v>53</v>
      </c>
      <c r="J28" s="19"/>
      <c r="K28" s="19" t="s">
        <v>54</v>
      </c>
      <c r="L28" s="19" t="s">
        <v>55</v>
      </c>
      <c r="M28" s="19" t="s">
        <v>266</v>
      </c>
      <c r="N28" s="21" t="s">
        <v>267</v>
      </c>
      <c r="O28" s="19" t="s">
        <v>58</v>
      </c>
      <c r="P28" s="19" t="s">
        <v>59</v>
      </c>
      <c r="Q28" s="19" t="s">
        <v>268</v>
      </c>
      <c r="R28" s="19"/>
      <c r="S28" s="19"/>
      <c r="T28" s="19"/>
      <c r="U28" s="19" t="s">
        <v>141</v>
      </c>
      <c r="V28" s="19" t="s">
        <v>61</v>
      </c>
      <c r="W28" s="19" t="s">
        <v>62</v>
      </c>
      <c r="X28" s="19"/>
      <c r="Y28" s="19" t="s">
        <v>61</v>
      </c>
    </row>
    <row r="29" ht="72" customHeight="1" spans="1:25">
      <c r="A29" s="22">
        <v>39</v>
      </c>
      <c r="B29" s="23">
        <v>46204</v>
      </c>
      <c r="C29" s="22" t="s">
        <v>107</v>
      </c>
      <c r="D29" s="22" t="s">
        <v>269</v>
      </c>
      <c r="E29" s="22" t="s">
        <v>270</v>
      </c>
      <c r="F29" s="22" t="s">
        <v>50</v>
      </c>
      <c r="G29" s="22" t="s">
        <v>271</v>
      </c>
      <c r="H29" s="22" t="s">
        <v>272</v>
      </c>
      <c r="I29" s="22" t="s">
        <v>53</v>
      </c>
      <c r="J29" s="22"/>
      <c r="K29" s="22" t="s">
        <v>273</v>
      </c>
      <c r="L29" s="22" t="s">
        <v>274</v>
      </c>
      <c r="M29" s="22" t="s">
        <v>275</v>
      </c>
      <c r="N29" s="24" t="s">
        <v>276</v>
      </c>
      <c r="O29" s="22" t="s">
        <v>58</v>
      </c>
      <c r="P29" s="22" t="s">
        <v>59</v>
      </c>
      <c r="Q29" s="22" t="s">
        <v>277</v>
      </c>
      <c r="R29" s="22"/>
      <c r="S29" s="22"/>
      <c r="T29" s="22"/>
      <c r="U29" s="22" t="s">
        <v>61</v>
      </c>
      <c r="V29" s="22" t="s">
        <v>61</v>
      </c>
      <c r="W29" s="22" t="s">
        <v>62</v>
      </c>
      <c r="X29" s="22"/>
      <c r="Y29" s="22" t="s">
        <v>61</v>
      </c>
    </row>
    <row r="30" ht="72" customHeight="1" spans="1:25">
      <c r="A30" s="19">
        <v>40</v>
      </c>
      <c r="B30" s="20">
        <v>46204</v>
      </c>
      <c r="C30" s="19" t="s">
        <v>107</v>
      </c>
      <c r="D30" s="19" t="s">
        <v>269</v>
      </c>
      <c r="E30" s="19" t="s">
        <v>278</v>
      </c>
      <c r="F30" s="19" t="s">
        <v>134</v>
      </c>
      <c r="G30" s="19" t="s">
        <v>271</v>
      </c>
      <c r="H30" s="19" t="s">
        <v>279</v>
      </c>
      <c r="I30" s="19" t="s">
        <v>53</v>
      </c>
      <c r="J30" s="19"/>
      <c r="K30" s="19" t="s">
        <v>280</v>
      </c>
      <c r="L30" s="19" t="s">
        <v>281</v>
      </c>
      <c r="M30" s="19" t="s">
        <v>282</v>
      </c>
      <c r="N30" s="21" t="s">
        <v>276</v>
      </c>
      <c r="O30" s="19" t="s">
        <v>58</v>
      </c>
      <c r="P30" s="19" t="s">
        <v>139</v>
      </c>
      <c r="Q30" s="19" t="s">
        <v>283</v>
      </c>
      <c r="R30" s="19"/>
      <c r="S30" s="19"/>
      <c r="T30" s="19"/>
      <c r="U30" s="19" t="s">
        <v>61</v>
      </c>
      <c r="V30" s="19" t="s">
        <v>61</v>
      </c>
      <c r="W30" s="19" t="s">
        <v>72</v>
      </c>
      <c r="X30" s="19"/>
      <c r="Y30" s="19" t="s">
        <v>61</v>
      </c>
    </row>
    <row r="31" ht="72" customHeight="1" spans="1:25">
      <c r="A31" s="22">
        <v>41</v>
      </c>
      <c r="B31" s="23">
        <v>46221</v>
      </c>
      <c r="C31" s="22" t="s">
        <v>107</v>
      </c>
      <c r="D31" s="22" t="s">
        <v>263</v>
      </c>
      <c r="E31" s="22" t="s">
        <v>284</v>
      </c>
      <c r="F31" s="22" t="s">
        <v>65</v>
      </c>
      <c r="G31" s="22" t="s">
        <v>285</v>
      </c>
      <c r="H31" s="22" t="s">
        <v>179</v>
      </c>
      <c r="I31" s="22" t="s">
        <v>53</v>
      </c>
      <c r="J31" s="22"/>
      <c r="K31" s="22" t="s">
        <v>286</v>
      </c>
      <c r="L31" s="22" t="s">
        <v>287</v>
      </c>
      <c r="M31" s="22" t="s">
        <v>288</v>
      </c>
      <c r="N31" s="24" t="s">
        <v>289</v>
      </c>
      <c r="O31" s="22" t="s">
        <v>58</v>
      </c>
      <c r="P31" s="22" t="s">
        <v>70</v>
      </c>
      <c r="Q31" s="22" t="s">
        <v>290</v>
      </c>
      <c r="R31" s="22"/>
      <c r="S31" s="22"/>
      <c r="T31" s="22"/>
      <c r="U31" s="22" t="s">
        <v>61</v>
      </c>
      <c r="V31" s="22" t="s">
        <v>61</v>
      </c>
      <c r="W31" s="22" t="s">
        <v>62</v>
      </c>
      <c r="X31" s="22"/>
      <c r="Y31" s="22" t="s">
        <v>61</v>
      </c>
    </row>
    <row r="32" ht="72" customHeight="1" spans="1:25">
      <c r="A32" s="19">
        <v>42</v>
      </c>
      <c r="B32" s="20">
        <v>46206</v>
      </c>
      <c r="C32" s="19" t="s">
        <v>107</v>
      </c>
      <c r="D32" s="19" t="s">
        <v>291</v>
      </c>
      <c r="E32" s="19" t="s">
        <v>292</v>
      </c>
      <c r="F32" s="19" t="s">
        <v>50</v>
      </c>
      <c r="G32" s="19" t="s">
        <v>293</v>
      </c>
      <c r="H32" s="19" t="s">
        <v>294</v>
      </c>
      <c r="I32" s="19" t="s">
        <v>53</v>
      </c>
      <c r="J32" s="19"/>
      <c r="K32" s="19" t="s">
        <v>295</v>
      </c>
      <c r="L32" s="19" t="s">
        <v>296</v>
      </c>
      <c r="M32" s="19" t="s">
        <v>297</v>
      </c>
      <c r="N32" s="21" t="s">
        <v>298</v>
      </c>
      <c r="O32" s="19" t="s">
        <v>58</v>
      </c>
      <c r="P32" s="19" t="s">
        <v>59</v>
      </c>
      <c r="Q32" s="19" t="s">
        <v>299</v>
      </c>
      <c r="R32" s="19"/>
      <c r="S32" s="19"/>
      <c r="T32" s="19"/>
      <c r="U32" s="19" t="s">
        <v>61</v>
      </c>
      <c r="V32" s="19" t="s">
        <v>61</v>
      </c>
      <c r="W32" s="19" t="s">
        <v>62</v>
      </c>
      <c r="X32" s="19"/>
      <c r="Y32" s="19" t="s">
        <v>61</v>
      </c>
    </row>
    <row r="33" ht="72" customHeight="1" spans="1:25">
      <c r="A33" s="22">
        <v>43</v>
      </c>
      <c r="B33" s="23">
        <v>46204</v>
      </c>
      <c r="C33" s="22" t="s">
        <v>107</v>
      </c>
      <c r="D33" s="22" t="s">
        <v>300</v>
      </c>
      <c r="E33" s="22" t="s">
        <v>301</v>
      </c>
      <c r="F33" s="22" t="s">
        <v>65</v>
      </c>
      <c r="G33" s="22" t="s">
        <v>302</v>
      </c>
      <c r="H33" s="22" t="s">
        <v>110</v>
      </c>
      <c r="I33" s="22" t="s">
        <v>53</v>
      </c>
      <c r="J33" s="22"/>
      <c r="K33" s="22" t="s">
        <v>303</v>
      </c>
      <c r="L33" s="22" t="s">
        <v>304</v>
      </c>
      <c r="M33" s="22" t="s">
        <v>305</v>
      </c>
      <c r="N33" s="24" t="s">
        <v>306</v>
      </c>
      <c r="O33" s="22" t="s">
        <v>58</v>
      </c>
      <c r="P33" s="22" t="s">
        <v>70</v>
      </c>
      <c r="Q33" s="22" t="s">
        <v>307</v>
      </c>
      <c r="R33" s="22"/>
      <c r="S33" s="22"/>
      <c r="T33" s="22"/>
      <c r="U33" s="22" t="s">
        <v>61</v>
      </c>
      <c r="V33" s="22" t="s">
        <v>61</v>
      </c>
      <c r="W33" s="22" t="s">
        <v>62</v>
      </c>
      <c r="X33" s="22"/>
      <c r="Y33" s="22" t="s">
        <v>61</v>
      </c>
    </row>
    <row r="34" ht="72" customHeight="1" spans="1:25">
      <c r="A34" s="19">
        <v>44</v>
      </c>
      <c r="B34" s="20">
        <v>46233</v>
      </c>
      <c r="C34" s="19" t="s">
        <v>107</v>
      </c>
      <c r="D34" s="19" t="s">
        <v>300</v>
      </c>
      <c r="E34" s="19" t="s">
        <v>301</v>
      </c>
      <c r="F34" s="19" t="s">
        <v>65</v>
      </c>
      <c r="G34" s="19" t="s">
        <v>302</v>
      </c>
      <c r="H34" s="19" t="s">
        <v>110</v>
      </c>
      <c r="I34" s="19" t="s">
        <v>53</v>
      </c>
      <c r="J34" s="19"/>
      <c r="K34" s="19" t="s">
        <v>308</v>
      </c>
      <c r="L34" s="19" t="s">
        <v>309</v>
      </c>
      <c r="M34" s="19" t="s">
        <v>310</v>
      </c>
      <c r="N34" s="21" t="s">
        <v>311</v>
      </c>
      <c r="O34" s="19" t="s">
        <v>58</v>
      </c>
      <c r="P34" s="19" t="s">
        <v>70</v>
      </c>
      <c r="Q34" s="19" t="s">
        <v>312</v>
      </c>
      <c r="R34" s="19"/>
      <c r="S34" s="19"/>
      <c r="T34" s="19"/>
      <c r="U34" s="19" t="s">
        <v>61</v>
      </c>
      <c r="V34" s="19" t="s">
        <v>61</v>
      </c>
      <c r="W34" s="19" t="s">
        <v>62</v>
      </c>
      <c r="X34" s="19"/>
      <c r="Y34" s="19" t="s">
        <v>61</v>
      </c>
    </row>
    <row r="35" ht="72" customHeight="1" spans="1:25">
      <c r="A35" s="22">
        <v>45</v>
      </c>
      <c r="B35" s="23">
        <v>46219</v>
      </c>
      <c r="C35" s="22" t="s">
        <v>107</v>
      </c>
      <c r="D35" s="22" t="s">
        <v>300</v>
      </c>
      <c r="E35" s="22" t="s">
        <v>313</v>
      </c>
      <c r="F35" s="22" t="s">
        <v>65</v>
      </c>
      <c r="G35" s="22" t="s">
        <v>314</v>
      </c>
      <c r="H35" s="22" t="s">
        <v>272</v>
      </c>
      <c r="I35" s="22" t="s">
        <v>53</v>
      </c>
      <c r="J35" s="22" t="s">
        <v>315</v>
      </c>
      <c r="K35" s="22" t="s">
        <v>316</v>
      </c>
      <c r="L35" s="22" t="s">
        <v>317</v>
      </c>
      <c r="M35" s="22" t="s">
        <v>318</v>
      </c>
      <c r="N35" s="24" t="s">
        <v>319</v>
      </c>
      <c r="O35" s="22" t="s">
        <v>58</v>
      </c>
      <c r="P35" s="22" t="s">
        <v>70</v>
      </c>
      <c r="Q35" s="22" t="s">
        <v>320</v>
      </c>
      <c r="R35" s="22"/>
      <c r="S35" s="22"/>
      <c r="T35" s="22"/>
      <c r="U35" s="22" t="s">
        <v>61</v>
      </c>
      <c r="V35" s="22" t="s">
        <v>61</v>
      </c>
      <c r="W35" s="22" t="s">
        <v>321</v>
      </c>
      <c r="X35" s="22"/>
      <c r="Y35" s="22" t="s">
        <v>61</v>
      </c>
    </row>
    <row r="36" ht="72" customHeight="1" spans="1:25">
      <c r="A36" s="19">
        <v>46</v>
      </c>
      <c r="B36" s="20">
        <v>46223</v>
      </c>
      <c r="C36" s="19" t="s">
        <v>107</v>
      </c>
      <c r="D36" s="19" t="s">
        <v>322</v>
      </c>
      <c r="E36" s="19" t="s">
        <v>323</v>
      </c>
      <c r="F36" s="19" t="s">
        <v>50</v>
      </c>
      <c r="G36" s="19" t="s">
        <v>324</v>
      </c>
      <c r="H36" s="19" t="s">
        <v>325</v>
      </c>
      <c r="I36" s="19" t="s">
        <v>53</v>
      </c>
      <c r="J36" s="19"/>
      <c r="K36" s="19" t="s">
        <v>326</v>
      </c>
      <c r="L36" s="19" t="s">
        <v>327</v>
      </c>
      <c r="M36" s="19" t="s">
        <v>328</v>
      </c>
      <c r="N36" s="21" t="s">
        <v>329</v>
      </c>
      <c r="O36" s="19" t="s">
        <v>58</v>
      </c>
      <c r="P36" s="19" t="s">
        <v>59</v>
      </c>
      <c r="Q36" s="19" t="s">
        <v>330</v>
      </c>
      <c r="R36" s="19"/>
      <c r="S36" s="19"/>
      <c r="T36" s="19"/>
      <c r="U36" s="19" t="s">
        <v>61</v>
      </c>
      <c r="V36" s="19" t="s">
        <v>61</v>
      </c>
      <c r="W36" s="19" t="s">
        <v>62</v>
      </c>
      <c r="X36" s="19"/>
      <c r="Y36" s="19" t="s">
        <v>61</v>
      </c>
    </row>
    <row r="37" ht="72" customHeight="1" spans="1:25">
      <c r="A37" s="22">
        <v>47</v>
      </c>
      <c r="B37" s="23">
        <v>46206</v>
      </c>
      <c r="C37" s="22" t="s">
        <v>107</v>
      </c>
      <c r="D37" s="22" t="s">
        <v>331</v>
      </c>
      <c r="E37" s="22" t="s">
        <v>332</v>
      </c>
      <c r="F37" s="22" t="s">
        <v>50</v>
      </c>
      <c r="G37" s="22" t="s">
        <v>333</v>
      </c>
      <c r="H37" s="22" t="s">
        <v>325</v>
      </c>
      <c r="I37" s="22" t="s">
        <v>53</v>
      </c>
      <c r="J37" s="22" t="s">
        <v>334</v>
      </c>
      <c r="K37" s="22" t="s">
        <v>335</v>
      </c>
      <c r="L37" s="22" t="s">
        <v>336</v>
      </c>
      <c r="M37" s="22" t="s">
        <v>337</v>
      </c>
      <c r="N37" s="24" t="s">
        <v>338</v>
      </c>
      <c r="O37" s="22" t="s">
        <v>58</v>
      </c>
      <c r="P37" s="22" t="s">
        <v>59</v>
      </c>
      <c r="Q37" s="22" t="s">
        <v>339</v>
      </c>
      <c r="R37" s="22"/>
      <c r="S37" s="22"/>
      <c r="T37" s="22"/>
      <c r="U37" s="22" t="s">
        <v>61</v>
      </c>
      <c r="V37" s="22" t="s">
        <v>61</v>
      </c>
      <c r="W37" s="22" t="s">
        <v>340</v>
      </c>
      <c r="X37" s="22"/>
      <c r="Y37" s="22" t="s">
        <v>61</v>
      </c>
    </row>
    <row r="38" ht="72" customHeight="1" spans="1:25">
      <c r="A38" s="19">
        <v>48</v>
      </c>
      <c r="B38" s="20">
        <v>46206</v>
      </c>
      <c r="C38" s="19" t="s">
        <v>107</v>
      </c>
      <c r="D38" s="19" t="s">
        <v>331</v>
      </c>
      <c r="E38" s="19" t="s">
        <v>341</v>
      </c>
      <c r="F38" s="19" t="s">
        <v>134</v>
      </c>
      <c r="G38" s="19" t="s">
        <v>333</v>
      </c>
      <c r="H38" s="19" t="s">
        <v>279</v>
      </c>
      <c r="I38" s="19" t="s">
        <v>53</v>
      </c>
      <c r="J38" s="19" t="s">
        <v>342</v>
      </c>
      <c r="K38" s="19" t="s">
        <v>343</v>
      </c>
      <c r="L38" s="19" t="s">
        <v>344</v>
      </c>
      <c r="M38" s="19" t="s">
        <v>345</v>
      </c>
      <c r="N38" s="21" t="s">
        <v>338</v>
      </c>
      <c r="O38" s="19" t="s">
        <v>58</v>
      </c>
      <c r="P38" s="19" t="s">
        <v>139</v>
      </c>
      <c r="Q38" s="19" t="s">
        <v>346</v>
      </c>
      <c r="R38" s="19"/>
      <c r="S38" s="19"/>
      <c r="T38" s="19"/>
      <c r="U38" s="19" t="s">
        <v>61</v>
      </c>
      <c r="V38" s="19" t="s">
        <v>61</v>
      </c>
      <c r="W38" s="19" t="s">
        <v>347</v>
      </c>
      <c r="X38" s="19"/>
      <c r="Y38" s="19" t="s">
        <v>141</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showGridLines="0" tabSelected="1" workbookViewId="0">
      <selection activeCell="A1" sqref="A1"/>
    </sheetView>
  </sheetViews>
  <sheetFormatPr defaultColWidth="9" defaultRowHeight="14" outlineLevelCol="6"/>
  <cols>
    <col min="1" max="1" width="22" customWidth="1"/>
    <col min="2" max="2" width="34" customWidth="1"/>
    <col min="3" max="3" width="38" customWidth="1"/>
    <col min="4" max="4" width="13" customWidth="1"/>
    <col min="5" max="5" width="58" customWidth="1"/>
    <col min="6" max="6" width="62" customWidth="1"/>
    <col min="7" max="7" width="36" customWidth="1"/>
  </cols>
  <sheetData>
    <row r="1" ht="36" customHeight="1" spans="1:7">
      <c r="A1" s="18" t="s">
        <v>348</v>
      </c>
      <c r="B1" s="18" t="s">
        <v>349</v>
      </c>
      <c r="C1" s="18" t="s">
        <v>350</v>
      </c>
      <c r="D1" s="18" t="s">
        <v>23</v>
      </c>
      <c r="E1" s="18" t="s">
        <v>351</v>
      </c>
      <c r="F1" s="18" t="s">
        <v>35</v>
      </c>
      <c r="G1" s="18" t="s">
        <v>352</v>
      </c>
    </row>
    <row r="2" ht="66" customHeight="1" spans="1:7">
      <c r="A2" s="19" t="s">
        <v>109</v>
      </c>
      <c r="B2" s="19" t="s">
        <v>353</v>
      </c>
      <c r="C2" s="19" t="s">
        <v>354</v>
      </c>
      <c r="D2" s="20">
        <v>46237</v>
      </c>
      <c r="E2" s="19" t="s">
        <v>355</v>
      </c>
      <c r="F2" s="21" t="s">
        <v>114</v>
      </c>
      <c r="G2" s="19" t="s">
        <v>61</v>
      </c>
    </row>
    <row r="3" ht="66" customHeight="1" spans="1:7">
      <c r="A3" s="22" t="s">
        <v>109</v>
      </c>
      <c r="B3" s="22" t="s">
        <v>356</v>
      </c>
      <c r="C3" s="22" t="s">
        <v>357</v>
      </c>
      <c r="D3" s="23">
        <v>46237</v>
      </c>
      <c r="E3" s="22" t="s">
        <v>358</v>
      </c>
      <c r="F3" s="24" t="s">
        <v>114</v>
      </c>
      <c r="G3" s="22" t="s">
        <v>61</v>
      </c>
    </row>
    <row r="4" ht="66" customHeight="1" spans="1:7">
      <c r="A4" s="19" t="s">
        <v>109</v>
      </c>
      <c r="B4" s="19" t="s">
        <v>359</v>
      </c>
      <c r="C4" s="19" t="s">
        <v>360</v>
      </c>
      <c r="D4" s="20">
        <v>46237</v>
      </c>
      <c r="E4" s="19" t="s">
        <v>361</v>
      </c>
      <c r="F4" s="21" t="s">
        <v>114</v>
      </c>
      <c r="G4" s="19" t="s">
        <v>61</v>
      </c>
    </row>
    <row r="5" ht="66" customHeight="1" spans="1:7">
      <c r="A5" s="22" t="s">
        <v>109</v>
      </c>
      <c r="B5" s="22" t="s">
        <v>362</v>
      </c>
      <c r="C5" s="22" t="s">
        <v>363</v>
      </c>
      <c r="D5" s="23">
        <v>46237</v>
      </c>
      <c r="E5" s="22" t="s">
        <v>364</v>
      </c>
      <c r="F5" s="24" t="s">
        <v>114</v>
      </c>
      <c r="G5" s="22" t="s">
        <v>61</v>
      </c>
    </row>
    <row r="6" ht="66" customHeight="1" spans="1:7">
      <c r="A6" s="19" t="s">
        <v>109</v>
      </c>
      <c r="B6" s="19" t="s">
        <v>116</v>
      </c>
      <c r="C6" s="19" t="s">
        <v>365</v>
      </c>
      <c r="D6" s="20">
        <v>46211</v>
      </c>
      <c r="E6" s="19" t="s">
        <v>366</v>
      </c>
      <c r="F6" s="21" t="s">
        <v>123</v>
      </c>
      <c r="G6" s="19" t="s">
        <v>61</v>
      </c>
    </row>
    <row r="7" ht="66" customHeight="1" spans="1:7">
      <c r="A7" s="22" t="s">
        <v>127</v>
      </c>
      <c r="B7" s="22" t="s">
        <v>367</v>
      </c>
      <c r="C7" s="22" t="s">
        <v>368</v>
      </c>
      <c r="D7" s="23">
        <v>46217</v>
      </c>
      <c r="E7" s="22" t="s">
        <v>369</v>
      </c>
      <c r="F7" s="24" t="s">
        <v>131</v>
      </c>
      <c r="G7" s="22" t="s">
        <v>61</v>
      </c>
    </row>
    <row r="8" ht="66" customHeight="1" spans="1:7">
      <c r="A8" s="19" t="s">
        <v>127</v>
      </c>
      <c r="B8" s="19" t="s">
        <v>370</v>
      </c>
      <c r="C8" s="19" t="s">
        <v>371</v>
      </c>
      <c r="D8" s="20">
        <v>46217</v>
      </c>
      <c r="E8" s="19" t="s">
        <v>372</v>
      </c>
      <c r="F8" s="21" t="s">
        <v>131</v>
      </c>
      <c r="G8" s="19" t="s">
        <v>61</v>
      </c>
    </row>
    <row r="9" ht="66" customHeight="1" spans="1:7">
      <c r="A9" s="22" t="s">
        <v>178</v>
      </c>
      <c r="B9" s="22" t="s">
        <v>373</v>
      </c>
      <c r="C9" s="22" t="s">
        <v>374</v>
      </c>
      <c r="D9" s="23">
        <v>46227</v>
      </c>
      <c r="E9" s="22" t="s">
        <v>375</v>
      </c>
      <c r="F9" s="24" t="s">
        <v>183</v>
      </c>
      <c r="G9" s="22" t="s">
        <v>376</v>
      </c>
    </row>
    <row r="10" ht="66" customHeight="1" spans="1:7">
      <c r="A10" s="19" t="s">
        <v>195</v>
      </c>
      <c r="B10" s="19" t="s">
        <v>377</v>
      </c>
      <c r="C10" s="19" t="s">
        <v>378</v>
      </c>
      <c r="D10" s="20">
        <v>46224</v>
      </c>
      <c r="E10" s="19" t="s">
        <v>379</v>
      </c>
      <c r="F10" s="21" t="s">
        <v>199</v>
      </c>
      <c r="G10" s="19" t="s">
        <v>61</v>
      </c>
    </row>
    <row r="11" ht="66" customHeight="1" spans="1:7">
      <c r="A11" s="22" t="s">
        <v>195</v>
      </c>
      <c r="B11" s="22" t="s">
        <v>380</v>
      </c>
      <c r="C11" s="22" t="s">
        <v>381</v>
      </c>
      <c r="D11" s="23">
        <v>46228</v>
      </c>
      <c r="E11" s="22" t="s">
        <v>382</v>
      </c>
      <c r="F11" s="24" t="s">
        <v>205</v>
      </c>
      <c r="G11" s="22" t="s">
        <v>61</v>
      </c>
    </row>
    <row r="12" ht="66" customHeight="1" spans="1:7">
      <c r="A12" s="19" t="s">
        <v>210</v>
      </c>
      <c r="B12" s="19" t="s">
        <v>383</v>
      </c>
      <c r="C12" s="19" t="s">
        <v>384</v>
      </c>
      <c r="D12" s="20">
        <v>46232</v>
      </c>
      <c r="E12" s="19" t="s">
        <v>385</v>
      </c>
      <c r="F12" s="21" t="s">
        <v>216</v>
      </c>
      <c r="G12" s="19" t="s">
        <v>386</v>
      </c>
    </row>
    <row r="13" ht="66" customHeight="1" spans="1:7">
      <c r="A13" s="22" t="s">
        <v>227</v>
      </c>
      <c r="B13" s="22" t="s">
        <v>387</v>
      </c>
      <c r="C13" s="22" t="s">
        <v>388</v>
      </c>
      <c r="D13" s="23">
        <v>46206</v>
      </c>
      <c r="E13" s="22" t="s">
        <v>389</v>
      </c>
      <c r="F13" s="24" t="s">
        <v>231</v>
      </c>
      <c r="G13" s="22" t="s">
        <v>390</v>
      </c>
    </row>
    <row r="14" ht="66" customHeight="1" spans="1:7">
      <c r="A14" s="19" t="s">
        <v>234</v>
      </c>
      <c r="B14" s="19" t="s">
        <v>391</v>
      </c>
      <c r="C14" s="19" t="s">
        <v>392</v>
      </c>
      <c r="D14" s="20">
        <v>46205</v>
      </c>
      <c r="E14" s="19" t="s">
        <v>393</v>
      </c>
      <c r="F14" s="21" t="s">
        <v>238</v>
      </c>
      <c r="G14" s="19" t="s">
        <v>61</v>
      </c>
    </row>
    <row r="15" ht="66" customHeight="1" spans="1:7">
      <c r="A15" s="22" t="s">
        <v>241</v>
      </c>
      <c r="B15" s="22" t="s">
        <v>225</v>
      </c>
      <c r="C15" s="22" t="s">
        <v>394</v>
      </c>
      <c r="D15" s="23">
        <v>46231</v>
      </c>
      <c r="E15" s="22" t="s">
        <v>395</v>
      </c>
      <c r="F15" s="24" t="s">
        <v>246</v>
      </c>
      <c r="G15" s="22" t="s">
        <v>61</v>
      </c>
    </row>
    <row r="16" ht="66" customHeight="1" spans="1:7">
      <c r="A16" s="19" t="s">
        <v>234</v>
      </c>
      <c r="B16" s="19" t="s">
        <v>396</v>
      </c>
      <c r="C16" s="19" t="s">
        <v>397</v>
      </c>
      <c r="D16" s="20">
        <v>46234</v>
      </c>
      <c r="E16" s="19" t="s">
        <v>398</v>
      </c>
      <c r="F16" s="21" t="s">
        <v>253</v>
      </c>
      <c r="G16" s="19" t="s">
        <v>61</v>
      </c>
    </row>
    <row r="17" ht="66" customHeight="1" spans="1:7">
      <c r="A17" s="22" t="s">
        <v>256</v>
      </c>
      <c r="B17" s="22" t="s">
        <v>399</v>
      </c>
      <c r="C17" s="22" t="s">
        <v>400</v>
      </c>
      <c r="D17" s="23">
        <v>46234</v>
      </c>
      <c r="E17" s="22" t="s">
        <v>401</v>
      </c>
      <c r="F17" s="24" t="s">
        <v>261</v>
      </c>
      <c r="G17" s="22" t="s">
        <v>61</v>
      </c>
    </row>
    <row r="18" ht="66" customHeight="1" spans="1:7">
      <c r="A18" s="19" t="s">
        <v>271</v>
      </c>
      <c r="B18" s="19" t="s">
        <v>402</v>
      </c>
      <c r="C18" s="19" t="s">
        <v>403</v>
      </c>
      <c r="D18" s="20">
        <v>46204</v>
      </c>
      <c r="E18" s="19" t="s">
        <v>404</v>
      </c>
      <c r="F18" s="21" t="s">
        <v>276</v>
      </c>
      <c r="G18" s="19" t="s">
        <v>61</v>
      </c>
    </row>
    <row r="19" ht="66" customHeight="1" spans="1:7">
      <c r="A19" s="22" t="s">
        <v>285</v>
      </c>
      <c r="B19" s="22" t="s">
        <v>405</v>
      </c>
      <c r="C19" s="22" t="s">
        <v>406</v>
      </c>
      <c r="D19" s="23">
        <v>46221</v>
      </c>
      <c r="E19" s="22" t="s">
        <v>407</v>
      </c>
      <c r="F19" s="24" t="s">
        <v>289</v>
      </c>
      <c r="G19" s="22" t="s">
        <v>61</v>
      </c>
    </row>
    <row r="20" ht="66" customHeight="1" spans="1:7">
      <c r="A20" s="19" t="s">
        <v>293</v>
      </c>
      <c r="B20" s="19" t="s">
        <v>408</v>
      </c>
      <c r="C20" s="19" t="s">
        <v>409</v>
      </c>
      <c r="D20" s="20">
        <v>46206</v>
      </c>
      <c r="E20" s="19" t="s">
        <v>410</v>
      </c>
      <c r="F20" s="21" t="s">
        <v>298</v>
      </c>
      <c r="G20" s="19" t="s">
        <v>61</v>
      </c>
    </row>
    <row r="21" ht="66" customHeight="1" spans="1:7">
      <c r="A21" s="22" t="s">
        <v>302</v>
      </c>
      <c r="B21" s="22" t="s">
        <v>300</v>
      </c>
      <c r="C21" s="22" t="s">
        <v>411</v>
      </c>
      <c r="D21" s="23">
        <v>46204</v>
      </c>
      <c r="E21" s="22" t="s">
        <v>412</v>
      </c>
      <c r="F21" s="24" t="s">
        <v>306</v>
      </c>
      <c r="G21" s="22" t="s">
        <v>413</v>
      </c>
    </row>
    <row r="22" ht="66" customHeight="1" spans="1:7">
      <c r="A22" s="19" t="s">
        <v>302</v>
      </c>
      <c r="B22" s="19" t="s">
        <v>414</v>
      </c>
      <c r="C22" s="19" t="s">
        <v>415</v>
      </c>
      <c r="D22" s="20">
        <v>46233</v>
      </c>
      <c r="E22" s="19" t="s">
        <v>416</v>
      </c>
      <c r="F22" s="21" t="s">
        <v>311</v>
      </c>
      <c r="G22" s="19" t="s">
        <v>61</v>
      </c>
    </row>
    <row r="23" ht="66" customHeight="1" spans="1:7">
      <c r="A23" s="22" t="s">
        <v>314</v>
      </c>
      <c r="B23" s="22" t="s">
        <v>417</v>
      </c>
      <c r="C23" s="22" t="s">
        <v>418</v>
      </c>
      <c r="D23" s="23">
        <v>46219</v>
      </c>
      <c r="E23" s="22" t="s">
        <v>419</v>
      </c>
      <c r="F23" s="24" t="s">
        <v>319</v>
      </c>
      <c r="G23" s="22" t="s">
        <v>61</v>
      </c>
    </row>
    <row r="24" ht="66" customHeight="1" spans="1:7">
      <c r="A24" s="19" t="s">
        <v>324</v>
      </c>
      <c r="B24" s="19" t="s">
        <v>420</v>
      </c>
      <c r="C24" s="19" t="s">
        <v>421</v>
      </c>
      <c r="D24" s="20">
        <v>46223</v>
      </c>
      <c r="E24" s="19" t="s">
        <v>422</v>
      </c>
      <c r="F24" s="21" t="s">
        <v>329</v>
      </c>
      <c r="G24" s="19" t="s">
        <v>61</v>
      </c>
    </row>
    <row r="25" ht="66" customHeight="1" spans="1:7">
      <c r="A25" s="22" t="s">
        <v>333</v>
      </c>
      <c r="B25" s="22" t="s">
        <v>423</v>
      </c>
      <c r="C25" s="22" t="s">
        <v>424</v>
      </c>
      <c r="D25" s="23">
        <v>46206</v>
      </c>
      <c r="E25" s="22" t="s">
        <v>425</v>
      </c>
      <c r="F25" s="24" t="s">
        <v>338</v>
      </c>
      <c r="G25" s="22" t="s">
        <v>426</v>
      </c>
    </row>
    <row r="26" ht="66" customHeight="1" spans="1:7">
      <c r="A26" s="19" t="s">
        <v>74</v>
      </c>
      <c r="B26" s="19" t="s">
        <v>427</v>
      </c>
      <c r="C26" s="19" t="s">
        <v>428</v>
      </c>
      <c r="D26" s="20">
        <v>46213</v>
      </c>
      <c r="E26" s="19" t="s">
        <v>429</v>
      </c>
      <c r="F26" s="21" t="s">
        <v>78</v>
      </c>
      <c r="G26" s="19" t="s">
        <v>61</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showGridLines="0" workbookViewId="0">
      <selection activeCell="A1" sqref="A1:D1"/>
    </sheetView>
  </sheetViews>
  <sheetFormatPr defaultColWidth="9" defaultRowHeight="14" outlineLevelCol="3"/>
  <cols>
    <col min="1" max="1" width="38" customWidth="1"/>
    <col min="2" max="2" width="14" customWidth="1"/>
    <col min="3" max="3" width="66" customWidth="1"/>
    <col min="4" max="4" width="72" customWidth="1"/>
  </cols>
  <sheetData>
    <row r="1" ht="30" customHeight="1" spans="1:4">
      <c r="A1" s="27" t="s">
        <v>430</v>
      </c>
      <c r="B1" s="27"/>
      <c r="C1" s="27"/>
      <c r="D1" s="27"/>
    </row>
    <row r="2" ht="34" customHeight="1" spans="1:4">
      <c r="A2" s="28" t="s">
        <v>431</v>
      </c>
      <c r="B2" s="28"/>
      <c r="C2" s="28"/>
      <c r="D2" s="28"/>
    </row>
    <row r="3" ht="36" customHeight="1" spans="1:4">
      <c r="A3" s="29" t="s">
        <v>432</v>
      </c>
      <c r="B3" s="29" t="s">
        <v>433</v>
      </c>
      <c r="C3" s="30"/>
      <c r="D3" s="30"/>
    </row>
    <row r="4" ht="34" customHeight="1" spans="1:4">
      <c r="A4" s="31" t="s">
        <v>434</v>
      </c>
      <c r="B4" s="32">
        <v>8</v>
      </c>
      <c r="C4" s="30"/>
      <c r="D4" s="28" t="s">
        <v>435</v>
      </c>
    </row>
    <row r="5" ht="34" customHeight="1" spans="1:4">
      <c r="A5" s="31" t="s">
        <v>436</v>
      </c>
      <c r="B5" s="32">
        <v>8</v>
      </c>
      <c r="C5" s="30"/>
      <c r="D5" s="28" t="s">
        <v>437</v>
      </c>
    </row>
    <row r="6" ht="34" customHeight="1" spans="1:4">
      <c r="A6" s="31" t="s">
        <v>438</v>
      </c>
      <c r="B6" s="32">
        <v>0</v>
      </c>
      <c r="C6" s="30"/>
      <c r="D6" s="28" t="s">
        <v>439</v>
      </c>
    </row>
    <row r="7" ht="34" customHeight="1" spans="1:4">
      <c r="A7" s="31" t="s">
        <v>440</v>
      </c>
      <c r="B7" s="32">
        <v>0</v>
      </c>
      <c r="C7" s="30"/>
      <c r="D7" s="28" t="s">
        <v>441</v>
      </c>
    </row>
    <row r="8" ht="34" customHeight="1" spans="1:4">
      <c r="A8" s="31" t="s">
        <v>442</v>
      </c>
      <c r="B8" s="32">
        <v>0</v>
      </c>
      <c r="C8" s="30"/>
      <c r="D8" s="28" t="s">
        <v>443</v>
      </c>
    </row>
    <row r="9" ht="28" customHeight="1" spans="1:4">
      <c r="A9" s="31" t="s">
        <v>444</v>
      </c>
      <c r="B9" s="32">
        <v>0</v>
      </c>
      <c r="C9" s="30"/>
      <c r="D9" s="30" t="s">
        <v>445</v>
      </c>
    </row>
    <row r="10" ht="28" customHeight="1" spans="1:4">
      <c r="A10" s="31" t="s">
        <v>446</v>
      </c>
      <c r="B10" s="32">
        <v>0</v>
      </c>
      <c r="C10" s="30"/>
      <c r="D10" s="30" t="s">
        <v>447</v>
      </c>
    </row>
    <row r="11" ht="28" customHeight="1" spans="1:4">
      <c r="A11" s="31" t="s">
        <v>448</v>
      </c>
      <c r="B11" s="32">
        <v>0</v>
      </c>
      <c r="C11" s="30"/>
      <c r="D11" s="30" t="s">
        <v>449</v>
      </c>
    </row>
    <row r="12" ht="28" customHeight="1" spans="1:4">
      <c r="A12" s="31" t="s">
        <v>450</v>
      </c>
      <c r="B12" s="32">
        <v>0</v>
      </c>
      <c r="C12" s="30"/>
      <c r="D12" s="30" t="s">
        <v>451</v>
      </c>
    </row>
    <row r="13" ht="28" customHeight="1" spans="1:4">
      <c r="A13" s="31" t="s">
        <v>452</v>
      </c>
      <c r="B13" s="32">
        <v>0</v>
      </c>
      <c r="C13" s="30"/>
      <c r="D13" s="30" t="s">
        <v>453</v>
      </c>
    </row>
    <row r="14" spans="1:4">
      <c r="A14" s="30"/>
      <c r="B14" s="30"/>
      <c r="C14" s="30"/>
      <c r="D14" s="30"/>
    </row>
    <row r="15" ht="26" customHeight="1" spans="1:4">
      <c r="A15" s="33" t="s">
        <v>454</v>
      </c>
      <c r="B15" s="33"/>
      <c r="C15" s="33"/>
      <c r="D15" s="33"/>
    </row>
    <row r="16" spans="1:4">
      <c r="A16" s="30"/>
      <c r="B16" s="30"/>
      <c r="C16" s="30"/>
      <c r="D16" s="30"/>
    </row>
    <row r="17" ht="36" customHeight="1" spans="1:4">
      <c r="A17" s="29" t="s">
        <v>455</v>
      </c>
      <c r="B17" s="29" t="s">
        <v>456</v>
      </c>
      <c r="C17" s="29" t="s">
        <v>457</v>
      </c>
      <c r="D17" s="29" t="s">
        <v>458</v>
      </c>
    </row>
    <row r="18" ht="46" customHeight="1" spans="1:4">
      <c r="A18" s="34" t="s">
        <v>459</v>
      </c>
      <c r="B18" s="35">
        <v>22</v>
      </c>
      <c r="C18" s="36" t="s">
        <v>78</v>
      </c>
      <c r="D18" s="34" t="s">
        <v>460</v>
      </c>
    </row>
    <row r="19" ht="46" customHeight="1" spans="1:4">
      <c r="A19" s="37" t="s">
        <v>461</v>
      </c>
      <c r="B19" s="38">
        <v>6</v>
      </c>
      <c r="C19" s="39" t="s">
        <v>131</v>
      </c>
      <c r="D19" s="37" t="s">
        <v>460</v>
      </c>
    </row>
    <row r="20" ht="46" customHeight="1" spans="1:4">
      <c r="A20" s="34" t="s">
        <v>462</v>
      </c>
      <c r="B20" s="35">
        <v>4</v>
      </c>
      <c r="C20" s="36" t="s">
        <v>131</v>
      </c>
      <c r="D20" s="34" t="s">
        <v>460</v>
      </c>
    </row>
    <row r="21" ht="46" customHeight="1" spans="1:4">
      <c r="A21" s="37" t="s">
        <v>463</v>
      </c>
      <c r="B21" s="38">
        <v>4</v>
      </c>
      <c r="C21" s="39" t="s">
        <v>205</v>
      </c>
      <c r="D21" s="37" t="s">
        <v>460</v>
      </c>
    </row>
    <row r="22" ht="46" customHeight="1" spans="1:4">
      <c r="A22" s="34" t="s">
        <v>464</v>
      </c>
      <c r="B22" s="35">
        <v>3</v>
      </c>
      <c r="C22" s="36" t="s">
        <v>183</v>
      </c>
      <c r="D22" s="34" t="s">
        <v>460</v>
      </c>
    </row>
    <row r="23" ht="46" customHeight="1" spans="1:4">
      <c r="A23" s="37" t="s">
        <v>465</v>
      </c>
      <c r="B23" s="38">
        <v>2</v>
      </c>
      <c r="C23" s="39" t="s">
        <v>88</v>
      </c>
      <c r="D23" s="37" t="s">
        <v>460</v>
      </c>
    </row>
    <row r="24" ht="46" customHeight="1" spans="1:4">
      <c r="A24" s="34" t="s">
        <v>466</v>
      </c>
      <c r="B24" s="35">
        <v>2</v>
      </c>
      <c r="C24" s="36" t="s">
        <v>88</v>
      </c>
      <c r="D24" s="34" t="s">
        <v>460</v>
      </c>
    </row>
    <row r="25" ht="46" customHeight="1" spans="1:4">
      <c r="A25" s="37" t="s">
        <v>467</v>
      </c>
      <c r="B25" s="38">
        <v>1</v>
      </c>
      <c r="C25" s="39" t="s">
        <v>123</v>
      </c>
      <c r="D25" s="37" t="s">
        <v>460</v>
      </c>
    </row>
  </sheetData>
  <mergeCells count="3">
    <mergeCell ref="A1:D1"/>
    <mergeCell ref="A2:D2"/>
    <mergeCell ref="A15:D15"/>
  </mergeCells>
  <pageMargins left="0.7" right="0.7" top="0.75" bottom="0.75" header="0.3" footer="0.3"/>
  <headerFooter/>
  <tableParts count="2">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showGridLines="0" workbookViewId="0">
      <selection activeCell="A1" sqref="A1"/>
    </sheetView>
  </sheetViews>
  <sheetFormatPr defaultColWidth="9" defaultRowHeight="14" outlineLevelCol="6"/>
  <cols>
    <col min="1" max="1" width="8" customWidth="1"/>
    <col min="2" max="2" width="12" customWidth="1"/>
    <col min="3" max="3" width="24" customWidth="1"/>
    <col min="4" max="4" width="48" customWidth="1"/>
    <col min="5" max="5" width="24" customWidth="1"/>
    <col min="6" max="6" width="46" customWidth="1"/>
    <col min="7" max="7" width="52" customWidth="1"/>
  </cols>
  <sheetData>
    <row r="1" ht="36" customHeight="1" spans="1:7">
      <c r="A1" s="18" t="s">
        <v>22</v>
      </c>
      <c r="B1" s="18" t="s">
        <v>468</v>
      </c>
      <c r="C1" s="18" t="s">
        <v>25</v>
      </c>
      <c r="D1" s="18" t="s">
        <v>469</v>
      </c>
      <c r="E1" s="18" t="s">
        <v>470</v>
      </c>
      <c r="F1" s="18" t="s">
        <v>471</v>
      </c>
      <c r="G1" s="18" t="s">
        <v>458</v>
      </c>
    </row>
    <row r="2" ht="62" customHeight="1" spans="1:7">
      <c r="A2" s="19">
        <v>1</v>
      </c>
      <c r="B2" s="19">
        <v>5</v>
      </c>
      <c r="C2" s="19" t="s">
        <v>472</v>
      </c>
      <c r="D2" s="19" t="s">
        <v>473</v>
      </c>
      <c r="E2" s="19" t="s">
        <v>474</v>
      </c>
      <c r="F2" s="19" t="s">
        <v>475</v>
      </c>
      <c r="G2" s="19" t="s">
        <v>476</v>
      </c>
    </row>
    <row r="3" ht="62" customHeight="1" spans="1:7">
      <c r="A3" s="22">
        <v>2</v>
      </c>
      <c r="B3" s="22">
        <v>8</v>
      </c>
      <c r="C3" s="22" t="s">
        <v>477</v>
      </c>
      <c r="D3" s="22" t="s">
        <v>478</v>
      </c>
      <c r="E3" s="22" t="s">
        <v>474</v>
      </c>
      <c r="F3" s="22" t="s">
        <v>479</v>
      </c>
      <c r="G3" s="22" t="s">
        <v>476</v>
      </c>
    </row>
    <row r="4" ht="62" customHeight="1" spans="1:7">
      <c r="A4" s="19">
        <v>3</v>
      </c>
      <c r="B4" s="19">
        <v>9</v>
      </c>
      <c r="C4" s="19" t="s">
        <v>480</v>
      </c>
      <c r="D4" s="19" t="s">
        <v>481</v>
      </c>
      <c r="E4" s="19" t="s">
        <v>474</v>
      </c>
      <c r="F4" s="19" t="s">
        <v>479</v>
      </c>
      <c r="G4" s="19" t="s">
        <v>476</v>
      </c>
    </row>
    <row r="5" ht="62" customHeight="1" spans="1:7">
      <c r="A5" s="22">
        <v>4</v>
      </c>
      <c r="B5" s="22">
        <v>10</v>
      </c>
      <c r="C5" s="22" t="s">
        <v>480</v>
      </c>
      <c r="D5" s="22" t="s">
        <v>482</v>
      </c>
      <c r="E5" s="22" t="s">
        <v>474</v>
      </c>
      <c r="F5" s="22" t="s">
        <v>479</v>
      </c>
      <c r="G5" s="22" t="s">
        <v>476</v>
      </c>
    </row>
    <row r="6" ht="62" customHeight="1" spans="1:7">
      <c r="A6" s="19">
        <v>5</v>
      </c>
      <c r="B6" s="19">
        <v>11</v>
      </c>
      <c r="C6" s="19" t="s">
        <v>483</v>
      </c>
      <c r="D6" s="19" t="s">
        <v>484</v>
      </c>
      <c r="E6" s="19" t="s">
        <v>474</v>
      </c>
      <c r="F6" s="19" t="s">
        <v>475</v>
      </c>
      <c r="G6" s="19" t="s">
        <v>476</v>
      </c>
    </row>
    <row r="7" ht="62" customHeight="1" spans="1:7">
      <c r="A7" s="22">
        <v>6</v>
      </c>
      <c r="B7" s="22">
        <v>12</v>
      </c>
      <c r="C7" s="22" t="s">
        <v>483</v>
      </c>
      <c r="D7" s="22" t="s">
        <v>485</v>
      </c>
      <c r="E7" s="22" t="s">
        <v>474</v>
      </c>
      <c r="F7" s="22" t="s">
        <v>475</v>
      </c>
      <c r="G7" s="22" t="s">
        <v>476</v>
      </c>
    </row>
    <row r="8" ht="62" customHeight="1" spans="1:7">
      <c r="A8" s="19">
        <v>7</v>
      </c>
      <c r="B8" s="19">
        <v>13</v>
      </c>
      <c r="C8" s="19" t="s">
        <v>483</v>
      </c>
      <c r="D8" s="19" t="s">
        <v>486</v>
      </c>
      <c r="E8" s="19" t="s">
        <v>474</v>
      </c>
      <c r="F8" s="19" t="s">
        <v>475</v>
      </c>
      <c r="G8" s="19" t="s">
        <v>476</v>
      </c>
    </row>
    <row r="9" ht="62" customHeight="1" spans="1:7">
      <c r="A9" s="22">
        <v>8</v>
      </c>
      <c r="B9" s="22">
        <v>14</v>
      </c>
      <c r="C9" s="22" t="s">
        <v>483</v>
      </c>
      <c r="D9" s="22" t="s">
        <v>487</v>
      </c>
      <c r="E9" s="22" t="s">
        <v>474</v>
      </c>
      <c r="F9" s="22" t="s">
        <v>475</v>
      </c>
      <c r="G9" s="22" t="s">
        <v>476</v>
      </c>
    </row>
    <row r="10" ht="62" customHeight="1" spans="1:7">
      <c r="A10" s="19">
        <v>9</v>
      </c>
      <c r="B10" s="19">
        <v>15</v>
      </c>
      <c r="C10" s="19" t="s">
        <v>488</v>
      </c>
      <c r="D10" s="19" t="s">
        <v>489</v>
      </c>
      <c r="E10" s="19" t="s">
        <v>474</v>
      </c>
      <c r="F10" s="19" t="s">
        <v>490</v>
      </c>
      <c r="G10" s="19" t="s">
        <v>476</v>
      </c>
    </row>
    <row r="11" ht="62" customHeight="1" spans="1:7">
      <c r="A11" s="22">
        <v>10</v>
      </c>
      <c r="B11" s="22">
        <v>16</v>
      </c>
      <c r="C11" s="22" t="s">
        <v>491</v>
      </c>
      <c r="D11" s="22" t="s">
        <v>492</v>
      </c>
      <c r="E11" s="22" t="s">
        <v>474</v>
      </c>
      <c r="F11" s="22" t="s">
        <v>493</v>
      </c>
      <c r="G11" s="22" t="s">
        <v>476</v>
      </c>
    </row>
    <row r="12" ht="62" customHeight="1" spans="1:7">
      <c r="A12" s="19">
        <v>11</v>
      </c>
      <c r="B12" s="19">
        <v>17</v>
      </c>
      <c r="C12" s="19" t="s">
        <v>494</v>
      </c>
      <c r="D12" s="19" t="s">
        <v>495</v>
      </c>
      <c r="E12" s="19" t="s">
        <v>474</v>
      </c>
      <c r="F12" s="19" t="s">
        <v>475</v>
      </c>
      <c r="G12" s="19" t="s">
        <v>476</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showGridLines="0" workbookViewId="0">
      <selection activeCell="A1" sqref="A1"/>
    </sheetView>
  </sheetViews>
  <sheetFormatPr defaultColWidth="9" defaultRowHeight="14" outlineLevelRow="6" outlineLevelCol="3"/>
  <cols>
    <col min="1" max="1" width="28" customWidth="1"/>
    <col min="2" max="3" width="58" customWidth="1"/>
    <col min="4" max="4" width="52" customWidth="1"/>
  </cols>
  <sheetData>
    <row r="1" ht="36" customHeight="1" spans="1:4">
      <c r="A1" s="18" t="s">
        <v>496</v>
      </c>
      <c r="B1" s="18" t="s">
        <v>497</v>
      </c>
      <c r="C1" s="18" t="s">
        <v>498</v>
      </c>
      <c r="D1" s="18" t="s">
        <v>499</v>
      </c>
    </row>
    <row r="2" ht="62" customHeight="1" spans="1:4">
      <c r="A2" s="19" t="s">
        <v>500</v>
      </c>
      <c r="B2" s="19" t="s">
        <v>501</v>
      </c>
      <c r="C2" s="19" t="s">
        <v>502</v>
      </c>
      <c r="D2" s="19" t="s">
        <v>503</v>
      </c>
    </row>
    <row r="3" ht="62" customHeight="1" spans="1:4">
      <c r="A3" s="22" t="s">
        <v>477</v>
      </c>
      <c r="B3" s="22" t="s">
        <v>504</v>
      </c>
      <c r="C3" s="22" t="s">
        <v>505</v>
      </c>
      <c r="D3" s="22" t="s">
        <v>506</v>
      </c>
    </row>
    <row r="4" ht="62" customHeight="1" spans="1:4">
      <c r="A4" s="19" t="s">
        <v>507</v>
      </c>
      <c r="B4" s="19" t="s">
        <v>508</v>
      </c>
      <c r="C4" s="19" t="s">
        <v>509</v>
      </c>
      <c r="D4" s="19" t="s">
        <v>510</v>
      </c>
    </row>
    <row r="5" ht="62" customHeight="1" spans="1:4">
      <c r="A5" s="22" t="s">
        <v>511</v>
      </c>
      <c r="B5" s="22" t="s">
        <v>512</v>
      </c>
      <c r="C5" s="22" t="s">
        <v>513</v>
      </c>
      <c r="D5" s="22" t="s">
        <v>514</v>
      </c>
    </row>
    <row r="6" ht="62" customHeight="1" spans="1:4">
      <c r="A6" s="19" t="s">
        <v>515</v>
      </c>
      <c r="B6" s="19" t="s">
        <v>516</v>
      </c>
      <c r="C6" s="19" t="s">
        <v>517</v>
      </c>
      <c r="D6" s="19" t="s">
        <v>518</v>
      </c>
    </row>
    <row r="7" ht="62" customHeight="1" spans="1:4">
      <c r="A7" s="22" t="s">
        <v>519</v>
      </c>
      <c r="B7" s="22" t="s">
        <v>520</v>
      </c>
      <c r="C7" s="22" t="s">
        <v>521</v>
      </c>
      <c r="D7" s="22" t="s">
        <v>522</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showGridLines="0" workbookViewId="0">
      <selection activeCell="A1" sqref="A1"/>
    </sheetView>
  </sheetViews>
  <sheetFormatPr defaultColWidth="9" defaultRowHeight="14" outlineLevelCol="5"/>
  <cols>
    <col min="1" max="1" width="8" customWidth="1"/>
    <col min="2" max="2" width="66" customWidth="1"/>
    <col min="3" max="3" width="44" customWidth="1"/>
    <col min="4" max="4" width="16" customWidth="1"/>
    <col min="5" max="5" width="58" customWidth="1"/>
    <col min="6" max="6" width="38" customWidth="1"/>
  </cols>
  <sheetData>
    <row r="1" ht="36" customHeight="1" spans="1:6">
      <c r="A1" s="18" t="s">
        <v>22</v>
      </c>
      <c r="B1" s="18" t="s">
        <v>523</v>
      </c>
      <c r="C1" s="18" t="s">
        <v>524</v>
      </c>
      <c r="D1" s="18" t="s">
        <v>525</v>
      </c>
      <c r="E1" s="18" t="s">
        <v>526</v>
      </c>
      <c r="F1" s="18" t="s">
        <v>527</v>
      </c>
    </row>
    <row r="2" ht="58" customHeight="1" spans="1:6">
      <c r="A2" s="19">
        <v>1</v>
      </c>
      <c r="B2" s="21" t="s">
        <v>298</v>
      </c>
      <c r="C2" s="19" t="s">
        <v>528</v>
      </c>
      <c r="D2" s="25" t="s">
        <v>529</v>
      </c>
      <c r="E2" s="19" t="s">
        <v>530</v>
      </c>
      <c r="F2" s="19" t="s">
        <v>531</v>
      </c>
    </row>
    <row r="3" ht="58" customHeight="1" spans="1:6">
      <c r="A3" s="22">
        <v>2</v>
      </c>
      <c r="B3" s="24" t="s">
        <v>306</v>
      </c>
      <c r="C3" s="22" t="s">
        <v>528</v>
      </c>
      <c r="D3" s="26" t="s">
        <v>529</v>
      </c>
      <c r="E3" s="22" t="s">
        <v>532</v>
      </c>
      <c r="F3" s="22" t="s">
        <v>533</v>
      </c>
    </row>
    <row r="4" ht="58" customHeight="1" spans="1:6">
      <c r="A4" s="19">
        <v>3</v>
      </c>
      <c r="B4" s="21" t="s">
        <v>311</v>
      </c>
      <c r="C4" s="19" t="s">
        <v>528</v>
      </c>
      <c r="D4" s="25" t="s">
        <v>529</v>
      </c>
      <c r="E4" s="19" t="s">
        <v>534</v>
      </c>
      <c r="F4" s="19" t="s">
        <v>535</v>
      </c>
    </row>
    <row r="5" ht="58" customHeight="1" spans="1:6">
      <c r="A5" s="22">
        <v>4</v>
      </c>
      <c r="B5" s="24" t="s">
        <v>319</v>
      </c>
      <c r="C5" s="22" t="s">
        <v>528</v>
      </c>
      <c r="D5" s="26" t="s">
        <v>529</v>
      </c>
      <c r="E5" s="22" t="s">
        <v>536</v>
      </c>
      <c r="F5" s="22" t="s">
        <v>537</v>
      </c>
    </row>
    <row r="6" ht="58" customHeight="1" spans="1:6">
      <c r="A6" s="19">
        <v>5</v>
      </c>
      <c r="B6" s="21" t="s">
        <v>246</v>
      </c>
      <c r="C6" s="19" t="s">
        <v>528</v>
      </c>
      <c r="D6" s="25" t="s">
        <v>529</v>
      </c>
      <c r="E6" s="19" t="s">
        <v>538</v>
      </c>
      <c r="F6" s="19" t="s">
        <v>539</v>
      </c>
    </row>
    <row r="7" ht="58" customHeight="1" spans="1:6">
      <c r="A7" s="22">
        <v>6</v>
      </c>
      <c r="B7" s="24" t="s">
        <v>238</v>
      </c>
      <c r="C7" s="22" t="s">
        <v>528</v>
      </c>
      <c r="D7" s="26" t="s">
        <v>529</v>
      </c>
      <c r="E7" s="22" t="s">
        <v>540</v>
      </c>
      <c r="F7" s="22" t="s">
        <v>541</v>
      </c>
    </row>
    <row r="8" ht="58" customHeight="1" spans="1:6">
      <c r="A8" s="19">
        <v>7</v>
      </c>
      <c r="B8" s="21" t="s">
        <v>231</v>
      </c>
      <c r="C8" s="19" t="s">
        <v>528</v>
      </c>
      <c r="D8" s="25" t="s">
        <v>529</v>
      </c>
      <c r="E8" s="19" t="s">
        <v>542</v>
      </c>
      <c r="F8" s="19" t="s">
        <v>543</v>
      </c>
    </row>
    <row r="9" ht="58" customHeight="1" spans="1:6">
      <c r="A9" s="22">
        <v>8</v>
      </c>
      <c r="B9" s="24" t="s">
        <v>253</v>
      </c>
      <c r="C9" s="22" t="s">
        <v>528</v>
      </c>
      <c r="D9" s="26" t="s">
        <v>529</v>
      </c>
      <c r="E9" s="22" t="s">
        <v>544</v>
      </c>
      <c r="F9" s="22" t="s">
        <v>545</v>
      </c>
    </row>
    <row r="10" ht="58" customHeight="1" spans="1:6">
      <c r="A10" s="19">
        <v>9</v>
      </c>
      <c r="B10" s="21" t="s">
        <v>261</v>
      </c>
      <c r="C10" s="19" t="s">
        <v>528</v>
      </c>
      <c r="D10" s="25" t="s">
        <v>529</v>
      </c>
      <c r="E10" s="19" t="s">
        <v>546</v>
      </c>
      <c r="F10" s="19" t="s">
        <v>547</v>
      </c>
    </row>
    <row r="11" ht="58" customHeight="1" spans="1:6">
      <c r="A11" s="22">
        <v>10</v>
      </c>
      <c r="B11" s="24" t="s">
        <v>276</v>
      </c>
      <c r="C11" s="22" t="s">
        <v>528</v>
      </c>
      <c r="D11" s="26" t="s">
        <v>529</v>
      </c>
      <c r="E11" s="22" t="s">
        <v>548</v>
      </c>
      <c r="F11" s="22" t="s">
        <v>549</v>
      </c>
    </row>
    <row r="12" ht="58" customHeight="1" spans="1:6">
      <c r="A12" s="19">
        <v>11</v>
      </c>
      <c r="B12" s="21" t="s">
        <v>183</v>
      </c>
      <c r="C12" s="19" t="s">
        <v>528</v>
      </c>
      <c r="D12" s="25" t="s">
        <v>529</v>
      </c>
      <c r="E12" s="19" t="s">
        <v>550</v>
      </c>
      <c r="F12" s="19" t="s">
        <v>551</v>
      </c>
    </row>
    <row r="13" ht="58" customHeight="1" spans="1:6">
      <c r="A13" s="22">
        <v>12</v>
      </c>
      <c r="B13" s="24" t="s">
        <v>88</v>
      </c>
      <c r="C13" s="22" t="s">
        <v>528</v>
      </c>
      <c r="D13" s="26" t="s">
        <v>529</v>
      </c>
      <c r="E13" s="22" t="s">
        <v>552</v>
      </c>
      <c r="F13" s="22" t="s">
        <v>553</v>
      </c>
    </row>
    <row r="14" ht="58" customHeight="1" spans="1:6">
      <c r="A14" s="19">
        <v>13</v>
      </c>
      <c r="B14" s="21" t="s">
        <v>131</v>
      </c>
      <c r="C14" s="19" t="s">
        <v>528</v>
      </c>
      <c r="D14" s="25" t="s">
        <v>529</v>
      </c>
      <c r="E14" s="19" t="s">
        <v>125</v>
      </c>
      <c r="F14" s="19" t="s">
        <v>554</v>
      </c>
    </row>
    <row r="15" ht="58" customHeight="1" spans="1:6">
      <c r="A15" s="22">
        <v>14</v>
      </c>
      <c r="B15" s="24" t="s">
        <v>105</v>
      </c>
      <c r="C15" s="22" t="s">
        <v>555</v>
      </c>
      <c r="D15" s="26" t="s">
        <v>529</v>
      </c>
      <c r="E15" s="22" t="s">
        <v>556</v>
      </c>
      <c r="F15" s="22" t="s">
        <v>557</v>
      </c>
    </row>
    <row r="16" ht="58" customHeight="1" spans="1:6">
      <c r="A16" s="19">
        <v>15</v>
      </c>
      <c r="B16" s="21" t="s">
        <v>98</v>
      </c>
      <c r="C16" s="19" t="s">
        <v>555</v>
      </c>
      <c r="D16" s="25" t="s">
        <v>529</v>
      </c>
      <c r="E16" s="19" t="s">
        <v>558</v>
      </c>
      <c r="F16" s="19" t="s">
        <v>559</v>
      </c>
    </row>
    <row r="17" ht="58" customHeight="1" spans="1:6">
      <c r="A17" s="22">
        <v>16</v>
      </c>
      <c r="B17" s="24" t="s">
        <v>329</v>
      </c>
      <c r="C17" s="22" t="s">
        <v>555</v>
      </c>
      <c r="D17" s="26" t="s">
        <v>529</v>
      </c>
      <c r="E17" s="22" t="s">
        <v>560</v>
      </c>
      <c r="F17" s="22" t="s">
        <v>561</v>
      </c>
    </row>
    <row r="18" ht="58" customHeight="1" spans="1:6">
      <c r="A18" s="19">
        <v>17</v>
      </c>
      <c r="B18" s="21" t="s">
        <v>267</v>
      </c>
      <c r="C18" s="19" t="s">
        <v>528</v>
      </c>
      <c r="D18" s="25" t="s">
        <v>529</v>
      </c>
      <c r="E18" s="19" t="s">
        <v>562</v>
      </c>
      <c r="F18" s="19" t="s">
        <v>563</v>
      </c>
    </row>
    <row r="19" ht="58" customHeight="1" spans="1:6">
      <c r="A19" s="22">
        <v>18</v>
      </c>
      <c r="B19" s="24" t="s">
        <v>289</v>
      </c>
      <c r="C19" s="22" t="s">
        <v>528</v>
      </c>
      <c r="D19" s="26" t="s">
        <v>529</v>
      </c>
      <c r="E19" s="22" t="s">
        <v>564</v>
      </c>
      <c r="F19" s="22" t="s">
        <v>565</v>
      </c>
    </row>
    <row r="20" ht="58" customHeight="1" spans="1:6">
      <c r="A20" s="19">
        <v>19</v>
      </c>
      <c r="B20" s="21" t="s">
        <v>69</v>
      </c>
      <c r="C20" s="19" t="s">
        <v>528</v>
      </c>
      <c r="D20" s="25" t="s">
        <v>529</v>
      </c>
      <c r="E20" s="19" t="s">
        <v>566</v>
      </c>
      <c r="F20" s="19" t="s">
        <v>567</v>
      </c>
    </row>
    <row r="21" ht="58" customHeight="1" spans="1:6">
      <c r="A21" s="22">
        <v>20</v>
      </c>
      <c r="B21" s="24" t="s">
        <v>78</v>
      </c>
      <c r="C21" s="22" t="s">
        <v>528</v>
      </c>
      <c r="D21" s="26" t="s">
        <v>529</v>
      </c>
      <c r="E21" s="22" t="s">
        <v>75</v>
      </c>
      <c r="F21" s="22" t="s">
        <v>568</v>
      </c>
    </row>
    <row r="22" ht="58" customHeight="1" spans="1:6">
      <c r="A22" s="19">
        <v>21</v>
      </c>
      <c r="B22" s="21" t="s">
        <v>205</v>
      </c>
      <c r="C22" s="19" t="s">
        <v>528</v>
      </c>
      <c r="D22" s="25" t="s">
        <v>529</v>
      </c>
      <c r="E22" s="19" t="s">
        <v>569</v>
      </c>
      <c r="F22" s="19" t="s">
        <v>570</v>
      </c>
    </row>
    <row r="23" ht="58" customHeight="1" spans="1:6">
      <c r="A23" s="22">
        <v>22</v>
      </c>
      <c r="B23" s="24" t="s">
        <v>114</v>
      </c>
      <c r="C23" s="22" t="s">
        <v>528</v>
      </c>
      <c r="D23" s="26" t="s">
        <v>529</v>
      </c>
      <c r="E23" s="22" t="s">
        <v>111</v>
      </c>
      <c r="F23" s="22" t="s">
        <v>571</v>
      </c>
    </row>
    <row r="24" ht="58" customHeight="1" spans="1:6">
      <c r="A24" s="19">
        <v>23</v>
      </c>
      <c r="B24" s="21" t="s">
        <v>123</v>
      </c>
      <c r="C24" s="19" t="s">
        <v>528</v>
      </c>
      <c r="D24" s="25" t="s">
        <v>529</v>
      </c>
      <c r="E24" s="19" t="s">
        <v>572</v>
      </c>
      <c r="F24" s="19" t="s">
        <v>573</v>
      </c>
    </row>
    <row r="25" ht="58" customHeight="1" spans="1:6">
      <c r="A25" s="22">
        <v>24</v>
      </c>
      <c r="B25" s="24" t="s">
        <v>199</v>
      </c>
      <c r="C25" s="22" t="s">
        <v>528</v>
      </c>
      <c r="D25" s="26" t="s">
        <v>529</v>
      </c>
      <c r="E25" s="22" t="s">
        <v>574</v>
      </c>
      <c r="F25" s="22" t="s">
        <v>575</v>
      </c>
    </row>
    <row r="26" ht="58" customHeight="1" spans="1:6">
      <c r="A26" s="19">
        <v>25</v>
      </c>
      <c r="B26" s="21" t="s">
        <v>223</v>
      </c>
      <c r="C26" s="19" t="s">
        <v>528</v>
      </c>
      <c r="D26" s="25" t="s">
        <v>529</v>
      </c>
      <c r="E26" s="19" t="s">
        <v>576</v>
      </c>
      <c r="F26" s="19" t="s">
        <v>577</v>
      </c>
    </row>
    <row r="27" ht="58" customHeight="1" spans="1:6">
      <c r="A27" s="22">
        <v>26</v>
      </c>
      <c r="B27" s="24" t="s">
        <v>216</v>
      </c>
      <c r="C27" s="22" t="s">
        <v>528</v>
      </c>
      <c r="D27" s="26" t="s">
        <v>529</v>
      </c>
      <c r="E27" s="22" t="s">
        <v>578</v>
      </c>
      <c r="F27" s="22" t="s">
        <v>579</v>
      </c>
    </row>
    <row r="28" ht="58" customHeight="1" spans="1:6">
      <c r="A28" s="19">
        <v>27</v>
      </c>
      <c r="B28" s="21" t="s">
        <v>338</v>
      </c>
      <c r="C28" s="19" t="s">
        <v>528</v>
      </c>
      <c r="D28" s="25" t="s">
        <v>529</v>
      </c>
      <c r="E28" s="19" t="s">
        <v>580</v>
      </c>
      <c r="F28" s="19" t="s">
        <v>581</v>
      </c>
    </row>
    <row r="29" ht="58" customHeight="1" spans="1:6">
      <c r="A29" s="22">
        <v>28</v>
      </c>
      <c r="B29" s="24" t="s">
        <v>57</v>
      </c>
      <c r="C29" s="22" t="s">
        <v>528</v>
      </c>
      <c r="D29" s="26" t="s">
        <v>529</v>
      </c>
      <c r="E29" s="22" t="s">
        <v>54</v>
      </c>
      <c r="F29" s="22" t="s">
        <v>582</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8"/>
  <sheetViews>
    <sheetView showGridLines="0" workbookViewId="0">
      <selection activeCell="A1" sqref="A1"/>
    </sheetView>
  </sheetViews>
  <sheetFormatPr defaultColWidth="9" defaultRowHeight="14"/>
  <cols>
    <col min="1" max="1" width="8" customWidth="1"/>
    <col min="2" max="2" width="12" customWidth="1"/>
    <col min="3" max="3" width="18" customWidth="1"/>
    <col min="4" max="5" width="20" customWidth="1"/>
    <col min="6" max="6" width="18" customWidth="1"/>
    <col min="7" max="7" width="23" customWidth="1"/>
    <col min="8" max="9" width="14" customWidth="1"/>
    <col min="10" max="10" width="30" customWidth="1"/>
    <col min="11" max="11" width="34" customWidth="1"/>
    <col min="12" max="13" width="48" customWidth="1"/>
    <col min="14" max="14" width="58" customWidth="1"/>
    <col min="15" max="15" width="9" customWidth="1"/>
    <col min="16" max="16" width="14" customWidth="1"/>
    <col min="17" max="17" width="34" customWidth="1"/>
    <col min="18" max="20" width="9" customWidth="1"/>
    <col min="21" max="22" width="14" customWidth="1"/>
    <col min="23" max="23" width="48" customWidth="1"/>
    <col min="24" max="24" width="22" customWidth="1"/>
    <col min="25" max="25" width="16" customWidth="1"/>
  </cols>
  <sheetData>
    <row r="1" ht="36" customHeight="1" spans="1:25">
      <c r="A1" s="18" t="s">
        <v>22</v>
      </c>
      <c r="B1" s="18" t="s">
        <v>23</v>
      </c>
      <c r="C1" s="18" t="s">
        <v>24</v>
      </c>
      <c r="D1" s="18" t="s">
        <v>25</v>
      </c>
      <c r="E1" s="18" t="s">
        <v>26</v>
      </c>
      <c r="F1" s="18" t="s">
        <v>27</v>
      </c>
      <c r="G1" s="18" t="s">
        <v>28</v>
      </c>
      <c r="H1" s="18" t="s">
        <v>29</v>
      </c>
      <c r="I1" s="18" t="s">
        <v>30</v>
      </c>
      <c r="J1" s="18" t="s">
        <v>31</v>
      </c>
      <c r="K1" s="18" t="s">
        <v>32</v>
      </c>
      <c r="L1" s="18" t="s">
        <v>33</v>
      </c>
      <c r="M1" s="18" t="s">
        <v>34</v>
      </c>
      <c r="N1" s="18" t="s">
        <v>35</v>
      </c>
      <c r="O1" s="18" t="s">
        <v>36</v>
      </c>
      <c r="P1" s="18" t="s">
        <v>37</v>
      </c>
      <c r="Q1" s="18" t="s">
        <v>38</v>
      </c>
      <c r="R1" s="18" t="s">
        <v>39</v>
      </c>
      <c r="S1" s="18" t="s">
        <v>40</v>
      </c>
      <c r="T1" s="18" t="s">
        <v>41</v>
      </c>
      <c r="U1" s="18" t="s">
        <v>42</v>
      </c>
      <c r="V1" s="18" t="s">
        <v>43</v>
      </c>
      <c r="W1" s="18" t="s">
        <v>44</v>
      </c>
      <c r="X1" s="18" t="s">
        <v>45</v>
      </c>
      <c r="Y1" s="18" t="s">
        <v>46</v>
      </c>
    </row>
    <row r="2" ht="72" customHeight="1" spans="1:25">
      <c r="A2" s="19">
        <v>1</v>
      </c>
      <c r="B2" s="20">
        <v>46204</v>
      </c>
      <c r="C2" s="19" t="s">
        <v>47</v>
      </c>
      <c r="D2" s="19" t="s">
        <v>48</v>
      </c>
      <c r="E2" s="19" t="s">
        <v>49</v>
      </c>
      <c r="F2" s="19" t="s">
        <v>50</v>
      </c>
      <c r="G2" s="19" t="s">
        <v>51</v>
      </c>
      <c r="H2" s="19" t="s">
        <v>52</v>
      </c>
      <c r="I2" s="19" t="s">
        <v>53</v>
      </c>
      <c r="J2" s="19"/>
      <c r="K2" s="19" t="s">
        <v>54</v>
      </c>
      <c r="L2" s="19" t="s">
        <v>55</v>
      </c>
      <c r="M2" s="19" t="s">
        <v>56</v>
      </c>
      <c r="N2" s="21" t="s">
        <v>57</v>
      </c>
      <c r="O2" s="19" t="s">
        <v>58</v>
      </c>
      <c r="P2" s="19" t="s">
        <v>59</v>
      </c>
      <c r="Q2" s="19" t="s">
        <v>60</v>
      </c>
      <c r="R2" s="19"/>
      <c r="S2" s="19"/>
      <c r="T2" s="19"/>
      <c r="U2" s="19" t="s">
        <v>61</v>
      </c>
      <c r="V2" s="19" t="s">
        <v>61</v>
      </c>
      <c r="W2" s="19" t="s">
        <v>62</v>
      </c>
      <c r="X2" s="19"/>
      <c r="Y2" s="19" t="s">
        <v>61</v>
      </c>
    </row>
    <row r="3" ht="72" customHeight="1" spans="1:25">
      <c r="A3" s="22">
        <v>2</v>
      </c>
      <c r="B3" s="23">
        <v>46205</v>
      </c>
      <c r="C3" s="22" t="s">
        <v>47</v>
      </c>
      <c r="D3" s="22" t="s">
        <v>63</v>
      </c>
      <c r="E3" s="22" t="s">
        <v>64</v>
      </c>
      <c r="F3" s="22" t="s">
        <v>65</v>
      </c>
      <c r="G3" s="22" t="s">
        <v>51</v>
      </c>
      <c r="H3" s="22" t="s">
        <v>52</v>
      </c>
      <c r="I3" s="22" t="s">
        <v>53</v>
      </c>
      <c r="J3" s="22"/>
      <c r="K3" s="22" t="s">
        <v>66</v>
      </c>
      <c r="L3" s="22" t="s">
        <v>67</v>
      </c>
      <c r="M3" s="22" t="s">
        <v>68</v>
      </c>
      <c r="N3" s="24" t="s">
        <v>69</v>
      </c>
      <c r="O3" s="22" t="s">
        <v>58</v>
      </c>
      <c r="P3" s="22" t="s">
        <v>70</v>
      </c>
      <c r="Q3" s="22" t="s">
        <v>71</v>
      </c>
      <c r="R3" s="22"/>
      <c r="S3" s="22"/>
      <c r="T3" s="22"/>
      <c r="U3" s="22" t="s">
        <v>61</v>
      </c>
      <c r="V3" s="22" t="s">
        <v>61</v>
      </c>
      <c r="W3" s="22" t="s">
        <v>72</v>
      </c>
      <c r="X3" s="22"/>
      <c r="Y3" s="22" t="s">
        <v>61</v>
      </c>
    </row>
    <row r="4" ht="72" customHeight="1" spans="1:25">
      <c r="A4" s="19">
        <v>3</v>
      </c>
      <c r="B4" s="20">
        <v>46213</v>
      </c>
      <c r="C4" s="19" t="s">
        <v>47</v>
      </c>
      <c r="D4" s="19" t="s">
        <v>63</v>
      </c>
      <c r="E4" s="19" t="s">
        <v>73</v>
      </c>
      <c r="F4" s="19" t="s">
        <v>65</v>
      </c>
      <c r="G4" s="19" t="s">
        <v>74</v>
      </c>
      <c r="H4" s="19" t="s">
        <v>52</v>
      </c>
      <c r="I4" s="19" t="s">
        <v>53</v>
      </c>
      <c r="J4" s="19"/>
      <c r="K4" s="19" t="s">
        <v>75</v>
      </c>
      <c r="L4" s="19" t="s">
        <v>76</v>
      </c>
      <c r="M4" s="19" t="s">
        <v>77</v>
      </c>
      <c r="N4" s="21" t="s">
        <v>78</v>
      </c>
      <c r="O4" s="19" t="s">
        <v>58</v>
      </c>
      <c r="P4" s="19" t="s">
        <v>70</v>
      </c>
      <c r="Q4" s="19" t="s">
        <v>79</v>
      </c>
      <c r="R4" s="19"/>
      <c r="S4" s="19"/>
      <c r="T4" s="19"/>
      <c r="U4" s="19" t="s">
        <v>61</v>
      </c>
      <c r="V4" s="19" t="s">
        <v>61</v>
      </c>
      <c r="W4" s="19" t="s">
        <v>62</v>
      </c>
      <c r="X4" s="19"/>
      <c r="Y4" s="19" t="s">
        <v>61</v>
      </c>
    </row>
    <row r="5" ht="72" customHeight="1" spans="1:25">
      <c r="A5" s="22">
        <v>4</v>
      </c>
      <c r="B5" s="23">
        <v>46206</v>
      </c>
      <c r="C5" s="22" t="s">
        <v>47</v>
      </c>
      <c r="D5" s="22" t="s">
        <v>80</v>
      </c>
      <c r="E5" s="22" t="s">
        <v>81</v>
      </c>
      <c r="F5" s="22" t="s">
        <v>50</v>
      </c>
      <c r="G5" s="22" t="s">
        <v>82</v>
      </c>
      <c r="H5" s="22" t="s">
        <v>83</v>
      </c>
      <c r="I5" s="22" t="s">
        <v>53</v>
      </c>
      <c r="J5" s="22" t="s">
        <v>84</v>
      </c>
      <c r="K5" s="22" t="s">
        <v>85</v>
      </c>
      <c r="L5" s="22" t="s">
        <v>86</v>
      </c>
      <c r="M5" s="22" t="s">
        <v>87</v>
      </c>
      <c r="N5" s="24" t="s">
        <v>88</v>
      </c>
      <c r="O5" s="22" t="s">
        <v>58</v>
      </c>
      <c r="P5" s="22" t="s">
        <v>89</v>
      </c>
      <c r="Q5" s="22" t="s">
        <v>90</v>
      </c>
      <c r="R5" s="22"/>
      <c r="S5" s="22"/>
      <c r="T5" s="22"/>
      <c r="U5" s="22" t="s">
        <v>61</v>
      </c>
      <c r="V5" s="22" t="s">
        <v>61</v>
      </c>
      <c r="W5" s="22" t="s">
        <v>91</v>
      </c>
      <c r="X5" s="22"/>
      <c r="Y5" s="22" t="s">
        <v>61</v>
      </c>
    </row>
    <row r="6" ht="72" customHeight="1" spans="1:25">
      <c r="A6" s="19">
        <v>6</v>
      </c>
      <c r="B6" s="20">
        <v>46205</v>
      </c>
      <c r="C6" s="19" t="s">
        <v>47</v>
      </c>
      <c r="D6" s="19" t="s">
        <v>92</v>
      </c>
      <c r="E6" s="19" t="s">
        <v>93</v>
      </c>
      <c r="F6" s="19" t="s">
        <v>94</v>
      </c>
      <c r="G6" s="19" t="s">
        <v>51</v>
      </c>
      <c r="H6" s="19" t="s">
        <v>52</v>
      </c>
      <c r="I6" s="19" t="s">
        <v>53</v>
      </c>
      <c r="J6" s="19"/>
      <c r="K6" s="19" t="s">
        <v>95</v>
      </c>
      <c r="L6" s="19" t="s">
        <v>96</v>
      </c>
      <c r="M6" s="19" t="s">
        <v>97</v>
      </c>
      <c r="N6" s="21" t="s">
        <v>98</v>
      </c>
      <c r="O6" s="19" t="s">
        <v>58</v>
      </c>
      <c r="P6" s="19" t="s">
        <v>99</v>
      </c>
      <c r="Q6" s="19" t="s">
        <v>100</v>
      </c>
      <c r="R6" s="19"/>
      <c r="S6" s="19"/>
      <c r="T6" s="19"/>
      <c r="U6" s="19" t="s">
        <v>61</v>
      </c>
      <c r="V6" s="19" t="s">
        <v>61</v>
      </c>
      <c r="W6" s="19" t="s">
        <v>72</v>
      </c>
      <c r="X6" s="19"/>
      <c r="Y6" s="19" t="s">
        <v>61</v>
      </c>
    </row>
    <row r="7" ht="72" customHeight="1" spans="1:25">
      <c r="A7" s="22">
        <v>7</v>
      </c>
      <c r="B7" s="23">
        <v>46211</v>
      </c>
      <c r="C7" s="22" t="s">
        <v>47</v>
      </c>
      <c r="D7" s="22" t="s">
        <v>92</v>
      </c>
      <c r="E7" s="22" t="s">
        <v>101</v>
      </c>
      <c r="F7" s="22" t="s">
        <v>94</v>
      </c>
      <c r="G7" s="22" t="s">
        <v>51</v>
      </c>
      <c r="H7" s="22" t="s">
        <v>52</v>
      </c>
      <c r="I7" s="22" t="s">
        <v>53</v>
      </c>
      <c r="J7" s="22"/>
      <c r="K7" s="22" t="s">
        <v>102</v>
      </c>
      <c r="L7" s="22" t="s">
        <v>103</v>
      </c>
      <c r="M7" s="22" t="s">
        <v>104</v>
      </c>
      <c r="N7" s="24" t="s">
        <v>105</v>
      </c>
      <c r="O7" s="22" t="s">
        <v>58</v>
      </c>
      <c r="P7" s="22" t="s">
        <v>70</v>
      </c>
      <c r="Q7" s="22" t="s">
        <v>106</v>
      </c>
      <c r="R7" s="22"/>
      <c r="S7" s="22"/>
      <c r="T7" s="22"/>
      <c r="U7" s="22" t="s">
        <v>61</v>
      </c>
      <c r="V7" s="22" t="s">
        <v>61</v>
      </c>
      <c r="W7" s="22" t="s">
        <v>62</v>
      </c>
      <c r="X7" s="22"/>
      <c r="Y7" s="22" t="s">
        <v>61</v>
      </c>
    </row>
    <row r="8" ht="72" customHeight="1" spans="1:25">
      <c r="A8" s="19">
        <v>18</v>
      </c>
      <c r="B8" s="20">
        <v>46237</v>
      </c>
      <c r="C8" s="19" t="s">
        <v>107</v>
      </c>
      <c r="D8" s="19" t="s">
        <v>63</v>
      </c>
      <c r="E8" s="19" t="s">
        <v>108</v>
      </c>
      <c r="F8" s="19" t="s">
        <v>65</v>
      </c>
      <c r="G8" s="19" t="s">
        <v>109</v>
      </c>
      <c r="H8" s="19" t="s">
        <v>110</v>
      </c>
      <c r="I8" s="19" t="s">
        <v>53</v>
      </c>
      <c r="J8" s="19"/>
      <c r="K8" s="19" t="s">
        <v>111</v>
      </c>
      <c r="L8" s="19" t="s">
        <v>112</v>
      </c>
      <c r="M8" s="19" t="s">
        <v>113</v>
      </c>
      <c r="N8" s="21" t="s">
        <v>114</v>
      </c>
      <c r="O8" s="19" t="s">
        <v>58</v>
      </c>
      <c r="P8" s="19" t="s">
        <v>70</v>
      </c>
      <c r="Q8" s="19" t="s">
        <v>115</v>
      </c>
      <c r="R8" s="19"/>
      <c r="S8" s="19"/>
      <c r="T8" s="19"/>
      <c r="U8" s="19" t="s">
        <v>61</v>
      </c>
      <c r="V8" s="19" t="s">
        <v>61</v>
      </c>
      <c r="W8" s="19" t="s">
        <v>62</v>
      </c>
      <c r="X8" s="19"/>
      <c r="Y8" s="19" t="s">
        <v>61</v>
      </c>
    </row>
    <row r="9" ht="72" customHeight="1" spans="1:25">
      <c r="A9" s="22">
        <v>19</v>
      </c>
      <c r="B9" s="23">
        <v>46211</v>
      </c>
      <c r="C9" s="22" t="s">
        <v>107</v>
      </c>
      <c r="D9" s="22" t="s">
        <v>116</v>
      </c>
      <c r="E9" s="22" t="s">
        <v>117</v>
      </c>
      <c r="F9" s="22" t="s">
        <v>65</v>
      </c>
      <c r="G9" s="22" t="s">
        <v>118</v>
      </c>
      <c r="H9" s="22" t="s">
        <v>119</v>
      </c>
      <c r="I9" s="22" t="s">
        <v>53</v>
      </c>
      <c r="J9" s="22"/>
      <c r="K9" s="22" t="s">
        <v>120</v>
      </c>
      <c r="L9" s="22" t="s">
        <v>121</v>
      </c>
      <c r="M9" s="22" t="s">
        <v>122</v>
      </c>
      <c r="N9" s="24" t="s">
        <v>123</v>
      </c>
      <c r="O9" s="22" t="s">
        <v>58</v>
      </c>
      <c r="P9" s="22" t="s">
        <v>70</v>
      </c>
      <c r="Q9" s="22" t="s">
        <v>124</v>
      </c>
      <c r="R9" s="22"/>
      <c r="S9" s="22"/>
      <c r="T9" s="22"/>
      <c r="U9" s="22" t="s">
        <v>61</v>
      </c>
      <c r="V9" s="22" t="s">
        <v>61</v>
      </c>
      <c r="W9" s="22" t="s">
        <v>72</v>
      </c>
      <c r="X9" s="22"/>
      <c r="Y9" s="22" t="s">
        <v>61</v>
      </c>
    </row>
    <row r="10" ht="72" customHeight="1" spans="1:25">
      <c r="A10" s="19">
        <v>20</v>
      </c>
      <c r="B10" s="20">
        <v>46217</v>
      </c>
      <c r="C10" s="19" t="s">
        <v>107</v>
      </c>
      <c r="D10" s="19" t="s">
        <v>125</v>
      </c>
      <c r="E10" s="19" t="s">
        <v>126</v>
      </c>
      <c r="F10" s="19" t="s">
        <v>50</v>
      </c>
      <c r="G10" s="19" t="s">
        <v>127</v>
      </c>
      <c r="H10" s="19" t="s">
        <v>110</v>
      </c>
      <c r="I10" s="19" t="s">
        <v>53</v>
      </c>
      <c r="J10" s="19"/>
      <c r="K10" s="19" t="s">
        <v>128</v>
      </c>
      <c r="L10" s="19" t="s">
        <v>129</v>
      </c>
      <c r="M10" s="19" t="s">
        <v>130</v>
      </c>
      <c r="N10" s="21" t="s">
        <v>131</v>
      </c>
      <c r="O10" s="19" t="s">
        <v>58</v>
      </c>
      <c r="P10" s="19" t="s">
        <v>59</v>
      </c>
      <c r="Q10" s="19" t="s">
        <v>132</v>
      </c>
      <c r="R10" s="19"/>
      <c r="S10" s="19"/>
      <c r="T10" s="19"/>
      <c r="U10" s="19" t="s">
        <v>61</v>
      </c>
      <c r="V10" s="19" t="s">
        <v>61</v>
      </c>
      <c r="W10" s="19" t="s">
        <v>72</v>
      </c>
      <c r="X10" s="19"/>
      <c r="Y10" s="19" t="s">
        <v>61</v>
      </c>
    </row>
    <row r="11" ht="72" customHeight="1" spans="1:25">
      <c r="A11" s="22">
        <v>21</v>
      </c>
      <c r="B11" s="23">
        <v>46217</v>
      </c>
      <c r="C11" s="22" t="s">
        <v>107</v>
      </c>
      <c r="D11" s="22" t="s">
        <v>125</v>
      </c>
      <c r="E11" s="22" t="s">
        <v>133</v>
      </c>
      <c r="F11" s="22" t="s">
        <v>134</v>
      </c>
      <c r="G11" s="22" t="s">
        <v>127</v>
      </c>
      <c r="H11" s="22" t="s">
        <v>135</v>
      </c>
      <c r="I11" s="22" t="s">
        <v>53</v>
      </c>
      <c r="J11" s="22"/>
      <c r="K11" s="22" t="s">
        <v>136</v>
      </c>
      <c r="L11" s="22" t="s">
        <v>137</v>
      </c>
      <c r="M11" s="22" t="s">
        <v>138</v>
      </c>
      <c r="N11" s="24" t="s">
        <v>131</v>
      </c>
      <c r="O11" s="22" t="s">
        <v>58</v>
      </c>
      <c r="P11" s="22" t="s">
        <v>139</v>
      </c>
      <c r="Q11" s="22" t="s">
        <v>140</v>
      </c>
      <c r="R11" s="22"/>
      <c r="S11" s="22"/>
      <c r="T11" s="22"/>
      <c r="U11" s="22" t="s">
        <v>61</v>
      </c>
      <c r="V11" s="22" t="s">
        <v>61</v>
      </c>
      <c r="W11" s="22" t="s">
        <v>72</v>
      </c>
      <c r="X11" s="22"/>
      <c r="Y11" s="22" t="s">
        <v>141</v>
      </c>
    </row>
    <row r="12" ht="72" customHeight="1" spans="1:25">
      <c r="A12" s="19">
        <v>22</v>
      </c>
      <c r="B12" s="20">
        <v>46217</v>
      </c>
      <c r="C12" s="19" t="s">
        <v>107</v>
      </c>
      <c r="D12" s="19" t="s">
        <v>125</v>
      </c>
      <c r="E12" s="19" t="s">
        <v>142</v>
      </c>
      <c r="F12" s="19" t="s">
        <v>134</v>
      </c>
      <c r="G12" s="19" t="s">
        <v>127</v>
      </c>
      <c r="H12" s="19" t="s">
        <v>135</v>
      </c>
      <c r="I12" s="19" t="s">
        <v>53</v>
      </c>
      <c r="J12" s="19"/>
      <c r="K12" s="19" t="s">
        <v>143</v>
      </c>
      <c r="L12" s="19" t="s">
        <v>144</v>
      </c>
      <c r="M12" s="19" t="s">
        <v>145</v>
      </c>
      <c r="N12" s="21" t="s">
        <v>131</v>
      </c>
      <c r="O12" s="19" t="s">
        <v>58</v>
      </c>
      <c r="P12" s="19" t="s">
        <v>139</v>
      </c>
      <c r="Q12" s="19" t="s">
        <v>146</v>
      </c>
      <c r="R12" s="19"/>
      <c r="S12" s="19"/>
      <c r="T12" s="19"/>
      <c r="U12" s="19" t="s">
        <v>61</v>
      </c>
      <c r="V12" s="19" t="s">
        <v>61</v>
      </c>
      <c r="W12" s="19" t="s">
        <v>72</v>
      </c>
      <c r="X12" s="19"/>
      <c r="Y12" s="19" t="s">
        <v>141</v>
      </c>
    </row>
    <row r="13" ht="72" customHeight="1" spans="1:25">
      <c r="A13" s="22">
        <v>23</v>
      </c>
      <c r="B13" s="23">
        <v>46217</v>
      </c>
      <c r="C13" s="22" t="s">
        <v>107</v>
      </c>
      <c r="D13" s="22" t="s">
        <v>125</v>
      </c>
      <c r="E13" s="22" t="s">
        <v>147</v>
      </c>
      <c r="F13" s="22" t="s">
        <v>134</v>
      </c>
      <c r="G13" s="22" t="s">
        <v>148</v>
      </c>
      <c r="H13" s="22" t="s">
        <v>135</v>
      </c>
      <c r="I13" s="22" t="s">
        <v>53</v>
      </c>
      <c r="J13" s="22" t="s">
        <v>149</v>
      </c>
      <c r="K13" s="22" t="s">
        <v>150</v>
      </c>
      <c r="L13" s="22" t="s">
        <v>151</v>
      </c>
      <c r="M13" s="22" t="s">
        <v>152</v>
      </c>
      <c r="N13" s="24" t="s">
        <v>131</v>
      </c>
      <c r="O13" s="22" t="s">
        <v>58</v>
      </c>
      <c r="P13" s="22" t="s">
        <v>139</v>
      </c>
      <c r="Q13" s="22" t="s">
        <v>153</v>
      </c>
      <c r="R13" s="22"/>
      <c r="S13" s="22"/>
      <c r="T13" s="22"/>
      <c r="U13" s="22" t="s">
        <v>61</v>
      </c>
      <c r="V13" s="22" t="s">
        <v>61</v>
      </c>
      <c r="W13" s="22" t="s">
        <v>154</v>
      </c>
      <c r="X13" s="22"/>
      <c r="Y13" s="22" t="s">
        <v>141</v>
      </c>
    </row>
    <row r="14" ht="72" customHeight="1" spans="1:25">
      <c r="A14" s="19">
        <v>24</v>
      </c>
      <c r="B14" s="20">
        <v>46217</v>
      </c>
      <c r="C14" s="19" t="s">
        <v>107</v>
      </c>
      <c r="D14" s="19" t="s">
        <v>125</v>
      </c>
      <c r="E14" s="19" t="s">
        <v>155</v>
      </c>
      <c r="F14" s="19" t="s">
        <v>134</v>
      </c>
      <c r="G14" s="19" t="s">
        <v>127</v>
      </c>
      <c r="H14" s="19" t="s">
        <v>135</v>
      </c>
      <c r="I14" s="19" t="s">
        <v>53</v>
      </c>
      <c r="J14" s="19"/>
      <c r="K14" s="19" t="s">
        <v>156</v>
      </c>
      <c r="L14" s="19" t="s">
        <v>157</v>
      </c>
      <c r="M14" s="19" t="s">
        <v>158</v>
      </c>
      <c r="N14" s="21" t="s">
        <v>131</v>
      </c>
      <c r="O14" s="19" t="s">
        <v>58</v>
      </c>
      <c r="P14" s="19" t="s">
        <v>139</v>
      </c>
      <c r="Q14" s="19" t="s">
        <v>159</v>
      </c>
      <c r="R14" s="19"/>
      <c r="S14" s="19"/>
      <c r="T14" s="19"/>
      <c r="U14" s="19" t="s">
        <v>61</v>
      </c>
      <c r="V14" s="19" t="s">
        <v>61</v>
      </c>
      <c r="W14" s="19" t="s">
        <v>72</v>
      </c>
      <c r="X14" s="19"/>
      <c r="Y14" s="19" t="s">
        <v>141</v>
      </c>
    </row>
    <row r="15" ht="72" customHeight="1" spans="1:25">
      <c r="A15" s="22">
        <v>25</v>
      </c>
      <c r="B15" s="23">
        <v>46217</v>
      </c>
      <c r="C15" s="22" t="s">
        <v>107</v>
      </c>
      <c r="D15" s="22" t="s">
        <v>125</v>
      </c>
      <c r="E15" s="22" t="s">
        <v>160</v>
      </c>
      <c r="F15" s="22" t="s">
        <v>134</v>
      </c>
      <c r="G15" s="22" t="s">
        <v>161</v>
      </c>
      <c r="H15" s="22" t="s">
        <v>162</v>
      </c>
      <c r="I15" s="22" t="s">
        <v>53</v>
      </c>
      <c r="J15" s="22" t="s">
        <v>163</v>
      </c>
      <c r="K15" s="22" t="s">
        <v>164</v>
      </c>
      <c r="L15" s="22" t="s">
        <v>165</v>
      </c>
      <c r="M15" s="22" t="s">
        <v>166</v>
      </c>
      <c r="N15" s="24" t="s">
        <v>131</v>
      </c>
      <c r="O15" s="22" t="s">
        <v>58</v>
      </c>
      <c r="P15" s="22" t="s">
        <v>139</v>
      </c>
      <c r="Q15" s="22" t="s">
        <v>167</v>
      </c>
      <c r="R15" s="22"/>
      <c r="S15" s="22"/>
      <c r="T15" s="22"/>
      <c r="U15" s="22" t="s">
        <v>61</v>
      </c>
      <c r="V15" s="22" t="s">
        <v>61</v>
      </c>
      <c r="W15" s="22" t="s">
        <v>168</v>
      </c>
      <c r="X15" s="22"/>
      <c r="Y15" s="22" t="s">
        <v>141</v>
      </c>
    </row>
    <row r="16" ht="72" customHeight="1" spans="1:25">
      <c r="A16" s="19">
        <v>26</v>
      </c>
      <c r="B16" s="20">
        <v>46217</v>
      </c>
      <c r="C16" s="19" t="s">
        <v>107</v>
      </c>
      <c r="D16" s="19" t="s">
        <v>125</v>
      </c>
      <c r="E16" s="19" t="s">
        <v>169</v>
      </c>
      <c r="F16" s="19" t="s">
        <v>134</v>
      </c>
      <c r="G16" s="19" t="s">
        <v>170</v>
      </c>
      <c r="H16" s="19" t="s">
        <v>171</v>
      </c>
      <c r="I16" s="19" t="s">
        <v>53</v>
      </c>
      <c r="J16" s="19"/>
      <c r="K16" s="19" t="s">
        <v>172</v>
      </c>
      <c r="L16" s="19" t="s">
        <v>173</v>
      </c>
      <c r="M16" s="19" t="s">
        <v>174</v>
      </c>
      <c r="N16" s="21" t="s">
        <v>131</v>
      </c>
      <c r="O16" s="19" t="s">
        <v>58</v>
      </c>
      <c r="P16" s="19" t="s">
        <v>139</v>
      </c>
      <c r="Q16" s="19" t="s">
        <v>175</v>
      </c>
      <c r="R16" s="19"/>
      <c r="S16" s="19"/>
      <c r="T16" s="19"/>
      <c r="U16" s="19" t="s">
        <v>61</v>
      </c>
      <c r="V16" s="19" t="s">
        <v>61</v>
      </c>
      <c r="W16" s="19" t="s">
        <v>72</v>
      </c>
      <c r="X16" s="19"/>
      <c r="Y16" s="19" t="s">
        <v>141</v>
      </c>
    </row>
    <row r="17" ht="72" customHeight="1" spans="1:25">
      <c r="A17" s="22">
        <v>27</v>
      </c>
      <c r="B17" s="23">
        <v>46227</v>
      </c>
      <c r="C17" s="22" t="s">
        <v>107</v>
      </c>
      <c r="D17" s="22" t="s">
        <v>176</v>
      </c>
      <c r="E17" s="22" t="s">
        <v>177</v>
      </c>
      <c r="F17" s="22" t="s">
        <v>50</v>
      </c>
      <c r="G17" s="22" t="s">
        <v>178</v>
      </c>
      <c r="H17" s="22" t="s">
        <v>179</v>
      </c>
      <c r="I17" s="22" t="s">
        <v>53</v>
      </c>
      <c r="J17" s="22"/>
      <c r="K17" s="22" t="s">
        <v>180</v>
      </c>
      <c r="L17" s="22" t="s">
        <v>181</v>
      </c>
      <c r="M17" s="22" t="s">
        <v>182</v>
      </c>
      <c r="N17" s="24" t="s">
        <v>183</v>
      </c>
      <c r="O17" s="22" t="s">
        <v>58</v>
      </c>
      <c r="P17" s="22" t="s">
        <v>70</v>
      </c>
      <c r="Q17" s="22" t="s">
        <v>184</v>
      </c>
      <c r="R17" s="22"/>
      <c r="S17" s="22"/>
      <c r="T17" s="22"/>
      <c r="U17" s="22" t="s">
        <v>61</v>
      </c>
      <c r="V17" s="22" t="s">
        <v>61</v>
      </c>
      <c r="W17" s="22" t="s">
        <v>62</v>
      </c>
      <c r="X17" s="22"/>
      <c r="Y17" s="22" t="s">
        <v>61</v>
      </c>
    </row>
    <row r="18" ht="72" customHeight="1" spans="1:25">
      <c r="A18" s="19">
        <v>28</v>
      </c>
      <c r="B18" s="20">
        <v>46227</v>
      </c>
      <c r="C18" s="19" t="s">
        <v>107</v>
      </c>
      <c r="D18" s="19" t="s">
        <v>176</v>
      </c>
      <c r="E18" s="19" t="s">
        <v>185</v>
      </c>
      <c r="F18" s="19" t="s">
        <v>134</v>
      </c>
      <c r="G18" s="19" t="s">
        <v>186</v>
      </c>
      <c r="H18" s="19" t="s">
        <v>187</v>
      </c>
      <c r="I18" s="19" t="s">
        <v>53</v>
      </c>
      <c r="J18" s="19"/>
      <c r="K18" s="19" t="s">
        <v>188</v>
      </c>
      <c r="L18" s="19" t="s">
        <v>189</v>
      </c>
      <c r="M18" s="19" t="s">
        <v>190</v>
      </c>
      <c r="N18" s="21" t="s">
        <v>183</v>
      </c>
      <c r="O18" s="19" t="s">
        <v>191</v>
      </c>
      <c r="P18" s="19" t="s">
        <v>139</v>
      </c>
      <c r="Q18" s="19" t="s">
        <v>192</v>
      </c>
      <c r="R18" s="19"/>
      <c r="S18" s="19"/>
      <c r="T18" s="19"/>
      <c r="U18" s="19" t="s">
        <v>61</v>
      </c>
      <c r="V18" s="19" t="s">
        <v>61</v>
      </c>
      <c r="W18" s="19" t="s">
        <v>72</v>
      </c>
      <c r="X18" s="19"/>
      <c r="Y18" s="19" t="s">
        <v>141</v>
      </c>
    </row>
    <row r="19" ht="72" customHeight="1" spans="1:25">
      <c r="A19" s="22">
        <v>29</v>
      </c>
      <c r="B19" s="23">
        <v>46224</v>
      </c>
      <c r="C19" s="22" t="s">
        <v>107</v>
      </c>
      <c r="D19" s="22" t="s">
        <v>193</v>
      </c>
      <c r="E19" s="22" t="s">
        <v>194</v>
      </c>
      <c r="F19" s="22" t="s">
        <v>65</v>
      </c>
      <c r="G19" s="22" t="s">
        <v>195</v>
      </c>
      <c r="H19" s="22" t="s">
        <v>179</v>
      </c>
      <c r="I19" s="22" t="s">
        <v>53</v>
      </c>
      <c r="J19" s="22"/>
      <c r="K19" s="22" t="s">
        <v>196</v>
      </c>
      <c r="L19" s="22" t="s">
        <v>197</v>
      </c>
      <c r="M19" s="22" t="s">
        <v>198</v>
      </c>
      <c r="N19" s="24" t="s">
        <v>199</v>
      </c>
      <c r="O19" s="22" t="s">
        <v>58</v>
      </c>
      <c r="P19" s="22" t="s">
        <v>70</v>
      </c>
      <c r="Q19" s="22" t="s">
        <v>200</v>
      </c>
      <c r="R19" s="22"/>
      <c r="S19" s="22"/>
      <c r="T19" s="22"/>
      <c r="U19" s="22" t="s">
        <v>61</v>
      </c>
      <c r="V19" s="22" t="s">
        <v>61</v>
      </c>
      <c r="W19" s="22" t="s">
        <v>72</v>
      </c>
      <c r="X19" s="22"/>
      <c r="Y19" s="22" t="s">
        <v>61</v>
      </c>
    </row>
    <row r="20" ht="72" customHeight="1" spans="1:25">
      <c r="A20" s="19">
        <v>30</v>
      </c>
      <c r="B20" s="20">
        <v>46228</v>
      </c>
      <c r="C20" s="19" t="s">
        <v>107</v>
      </c>
      <c r="D20" s="19" t="s">
        <v>63</v>
      </c>
      <c r="E20" s="19" t="s">
        <v>201</v>
      </c>
      <c r="F20" s="19" t="s">
        <v>65</v>
      </c>
      <c r="G20" s="19" t="s">
        <v>195</v>
      </c>
      <c r="H20" s="19" t="s">
        <v>179</v>
      </c>
      <c r="I20" s="19" t="s">
        <v>53</v>
      </c>
      <c r="J20" s="19"/>
      <c r="K20" s="19" t="s">
        <v>202</v>
      </c>
      <c r="L20" s="19" t="s">
        <v>203</v>
      </c>
      <c r="M20" s="19" t="s">
        <v>204</v>
      </c>
      <c r="N20" s="21" t="s">
        <v>205</v>
      </c>
      <c r="O20" s="19" t="s">
        <v>58</v>
      </c>
      <c r="P20" s="19" t="s">
        <v>70</v>
      </c>
      <c r="Q20" s="19" t="s">
        <v>206</v>
      </c>
      <c r="R20" s="19"/>
      <c r="S20" s="19"/>
      <c r="T20" s="19"/>
      <c r="U20" s="19" t="s">
        <v>61</v>
      </c>
      <c r="V20" s="19" t="s">
        <v>61</v>
      </c>
      <c r="W20" s="19" t="s">
        <v>62</v>
      </c>
      <c r="X20" s="19"/>
      <c r="Y20" s="19" t="s">
        <v>61</v>
      </c>
    </row>
    <row r="21" ht="72" customHeight="1" spans="1:25">
      <c r="A21" s="22">
        <v>31</v>
      </c>
      <c r="B21" s="23">
        <v>46232</v>
      </c>
      <c r="C21" s="22" t="s">
        <v>207</v>
      </c>
      <c r="D21" s="22" t="s">
        <v>208</v>
      </c>
      <c r="E21" s="22" t="s">
        <v>209</v>
      </c>
      <c r="F21" s="22" t="s">
        <v>50</v>
      </c>
      <c r="G21" s="22" t="s">
        <v>210</v>
      </c>
      <c r="H21" s="22" t="s">
        <v>211</v>
      </c>
      <c r="I21" s="22" t="s">
        <v>53</v>
      </c>
      <c r="J21" s="22" t="s">
        <v>212</v>
      </c>
      <c r="K21" s="22" t="s">
        <v>213</v>
      </c>
      <c r="L21" s="22" t="s">
        <v>214</v>
      </c>
      <c r="M21" s="22" t="s">
        <v>215</v>
      </c>
      <c r="N21" s="24" t="s">
        <v>216</v>
      </c>
      <c r="O21" s="22" t="s">
        <v>58</v>
      </c>
      <c r="P21" s="22" t="s">
        <v>70</v>
      </c>
      <c r="Q21" s="22" t="s">
        <v>217</v>
      </c>
      <c r="R21" s="22"/>
      <c r="S21" s="22"/>
      <c r="T21" s="22"/>
      <c r="U21" s="22" t="s">
        <v>61</v>
      </c>
      <c r="V21" s="22" t="s">
        <v>61</v>
      </c>
      <c r="W21" s="22" t="s">
        <v>218</v>
      </c>
      <c r="X21" s="22"/>
      <c r="Y21" s="22" t="s">
        <v>61</v>
      </c>
    </row>
    <row r="22" ht="72" customHeight="1" spans="1:25">
      <c r="A22" s="19">
        <v>32</v>
      </c>
      <c r="B22" s="20">
        <v>46205</v>
      </c>
      <c r="C22" s="19" t="s">
        <v>207</v>
      </c>
      <c r="D22" s="19" t="s">
        <v>208</v>
      </c>
      <c r="E22" s="19" t="s">
        <v>219</v>
      </c>
      <c r="F22" s="19" t="s">
        <v>50</v>
      </c>
      <c r="G22" s="19" t="s">
        <v>178</v>
      </c>
      <c r="H22" s="19" t="s">
        <v>179</v>
      </c>
      <c r="I22" s="19" t="s">
        <v>53</v>
      </c>
      <c r="J22" s="19"/>
      <c r="K22" s="19" t="s">
        <v>220</v>
      </c>
      <c r="L22" s="19" t="s">
        <v>221</v>
      </c>
      <c r="M22" s="19" t="s">
        <v>222</v>
      </c>
      <c r="N22" s="21" t="s">
        <v>223</v>
      </c>
      <c r="O22" s="19" t="s">
        <v>58</v>
      </c>
      <c r="P22" s="19" t="s">
        <v>59</v>
      </c>
      <c r="Q22" s="19" t="s">
        <v>224</v>
      </c>
      <c r="R22" s="19"/>
      <c r="S22" s="19"/>
      <c r="T22" s="19"/>
      <c r="U22" s="19" t="s">
        <v>61</v>
      </c>
      <c r="V22" s="19" t="s">
        <v>61</v>
      </c>
      <c r="W22" s="19" t="s">
        <v>72</v>
      </c>
      <c r="X22" s="19"/>
      <c r="Y22" s="19" t="s">
        <v>61</v>
      </c>
    </row>
    <row r="23" ht="72" customHeight="1" spans="1:25">
      <c r="A23" s="22">
        <v>33</v>
      </c>
      <c r="B23" s="23">
        <v>46206</v>
      </c>
      <c r="C23" s="22" t="s">
        <v>107</v>
      </c>
      <c r="D23" s="22" t="s">
        <v>225</v>
      </c>
      <c r="E23" s="22" t="s">
        <v>226</v>
      </c>
      <c r="F23" s="22" t="s">
        <v>65</v>
      </c>
      <c r="G23" s="22" t="s">
        <v>227</v>
      </c>
      <c r="H23" s="22" t="s">
        <v>211</v>
      </c>
      <c r="I23" s="22" t="s">
        <v>53</v>
      </c>
      <c r="J23" s="22"/>
      <c r="K23" s="22" t="s">
        <v>228</v>
      </c>
      <c r="L23" s="22" t="s">
        <v>229</v>
      </c>
      <c r="M23" s="22" t="s">
        <v>230</v>
      </c>
      <c r="N23" s="24" t="s">
        <v>231</v>
      </c>
      <c r="O23" s="22" t="s">
        <v>58</v>
      </c>
      <c r="P23" s="22" t="s">
        <v>70</v>
      </c>
      <c r="Q23" s="22" t="s">
        <v>232</v>
      </c>
      <c r="R23" s="22"/>
      <c r="S23" s="22"/>
      <c r="T23" s="22"/>
      <c r="U23" s="22" t="s">
        <v>61</v>
      </c>
      <c r="V23" s="22" t="s">
        <v>61</v>
      </c>
      <c r="W23" s="22" t="s">
        <v>72</v>
      </c>
      <c r="X23" s="22"/>
      <c r="Y23" s="22" t="s">
        <v>61</v>
      </c>
    </row>
    <row r="24" ht="72" customHeight="1" spans="1:25">
      <c r="A24" s="19">
        <v>34</v>
      </c>
      <c r="B24" s="20">
        <v>46205</v>
      </c>
      <c r="C24" s="19" t="s">
        <v>107</v>
      </c>
      <c r="D24" s="19" t="s">
        <v>225</v>
      </c>
      <c r="E24" s="19" t="s">
        <v>233</v>
      </c>
      <c r="F24" s="19" t="s">
        <v>65</v>
      </c>
      <c r="G24" s="19" t="s">
        <v>234</v>
      </c>
      <c r="H24" s="19" t="s">
        <v>211</v>
      </c>
      <c r="I24" s="19" t="s">
        <v>53</v>
      </c>
      <c r="J24" s="19"/>
      <c r="K24" s="19" t="s">
        <v>235</v>
      </c>
      <c r="L24" s="19" t="s">
        <v>236</v>
      </c>
      <c r="M24" s="19" t="s">
        <v>237</v>
      </c>
      <c r="N24" s="21" t="s">
        <v>238</v>
      </c>
      <c r="O24" s="19" t="s">
        <v>58</v>
      </c>
      <c r="P24" s="19" t="s">
        <v>70</v>
      </c>
      <c r="Q24" s="19" t="s">
        <v>239</v>
      </c>
      <c r="R24" s="19"/>
      <c r="S24" s="19"/>
      <c r="T24" s="19"/>
      <c r="U24" s="19" t="s">
        <v>61</v>
      </c>
      <c r="V24" s="19" t="s">
        <v>61</v>
      </c>
      <c r="W24" s="19" t="s">
        <v>62</v>
      </c>
      <c r="X24" s="19"/>
      <c r="Y24" s="19" t="s">
        <v>61</v>
      </c>
    </row>
    <row r="25" ht="72" customHeight="1" spans="1:25">
      <c r="A25" s="22">
        <v>35</v>
      </c>
      <c r="B25" s="23">
        <v>46231</v>
      </c>
      <c r="C25" s="22" t="s">
        <v>107</v>
      </c>
      <c r="D25" s="22" t="s">
        <v>225</v>
      </c>
      <c r="E25" s="22" t="s">
        <v>240</v>
      </c>
      <c r="F25" s="22" t="s">
        <v>65</v>
      </c>
      <c r="G25" s="22" t="s">
        <v>241</v>
      </c>
      <c r="H25" s="22" t="s">
        <v>242</v>
      </c>
      <c r="I25" s="22" t="s">
        <v>53</v>
      </c>
      <c r="J25" s="22"/>
      <c r="K25" s="22" t="s">
        <v>243</v>
      </c>
      <c r="L25" s="22" t="s">
        <v>244</v>
      </c>
      <c r="M25" s="22" t="s">
        <v>245</v>
      </c>
      <c r="N25" s="24" t="s">
        <v>246</v>
      </c>
      <c r="O25" s="22" t="s">
        <v>58</v>
      </c>
      <c r="P25" s="22" t="s">
        <v>70</v>
      </c>
      <c r="Q25" s="22" t="s">
        <v>247</v>
      </c>
      <c r="R25" s="22"/>
      <c r="S25" s="22"/>
      <c r="T25" s="22"/>
      <c r="U25" s="22" t="s">
        <v>61</v>
      </c>
      <c r="V25" s="22" t="s">
        <v>61</v>
      </c>
      <c r="W25" s="22" t="s">
        <v>72</v>
      </c>
      <c r="X25" s="22"/>
      <c r="Y25" s="22" t="s">
        <v>61</v>
      </c>
    </row>
    <row r="26" ht="72" customHeight="1" spans="1:25">
      <c r="A26" s="19">
        <v>36</v>
      </c>
      <c r="B26" s="20">
        <v>46234</v>
      </c>
      <c r="C26" s="19" t="s">
        <v>107</v>
      </c>
      <c r="D26" s="19" t="s">
        <v>225</v>
      </c>
      <c r="E26" s="19" t="s">
        <v>248</v>
      </c>
      <c r="F26" s="19" t="s">
        <v>65</v>
      </c>
      <c r="G26" s="19" t="s">
        <v>249</v>
      </c>
      <c r="H26" s="19" t="s">
        <v>211</v>
      </c>
      <c r="I26" s="19" t="s">
        <v>53</v>
      </c>
      <c r="J26" s="19"/>
      <c r="K26" s="19" t="s">
        <v>250</v>
      </c>
      <c r="L26" s="19" t="s">
        <v>251</v>
      </c>
      <c r="M26" s="19" t="s">
        <v>252</v>
      </c>
      <c r="N26" s="21" t="s">
        <v>253</v>
      </c>
      <c r="O26" s="19" t="s">
        <v>58</v>
      </c>
      <c r="P26" s="19" t="s">
        <v>70</v>
      </c>
      <c r="Q26" s="19" t="s">
        <v>254</v>
      </c>
      <c r="R26" s="19"/>
      <c r="S26" s="19"/>
      <c r="T26" s="19"/>
      <c r="U26" s="19" t="s">
        <v>61</v>
      </c>
      <c r="V26" s="19" t="s">
        <v>61</v>
      </c>
      <c r="W26" s="19" t="s">
        <v>62</v>
      </c>
      <c r="X26" s="19"/>
      <c r="Y26" s="19" t="s">
        <v>61</v>
      </c>
    </row>
    <row r="27" ht="72" customHeight="1" spans="1:25">
      <c r="A27" s="22">
        <v>37</v>
      </c>
      <c r="B27" s="23">
        <v>46234</v>
      </c>
      <c r="C27" s="22" t="s">
        <v>107</v>
      </c>
      <c r="D27" s="22" t="s">
        <v>225</v>
      </c>
      <c r="E27" s="22" t="s">
        <v>255</v>
      </c>
      <c r="F27" s="22" t="s">
        <v>65</v>
      </c>
      <c r="G27" s="22" t="s">
        <v>256</v>
      </c>
      <c r="H27" s="22" t="s">
        <v>257</v>
      </c>
      <c r="I27" s="22" t="s">
        <v>53</v>
      </c>
      <c r="J27" s="22"/>
      <c r="K27" s="22" t="s">
        <v>258</v>
      </c>
      <c r="L27" s="22" t="s">
        <v>259</v>
      </c>
      <c r="M27" s="22" t="s">
        <v>260</v>
      </c>
      <c r="N27" s="24" t="s">
        <v>261</v>
      </c>
      <c r="O27" s="22" t="s">
        <v>58</v>
      </c>
      <c r="P27" s="22" t="s">
        <v>70</v>
      </c>
      <c r="Q27" s="22" t="s">
        <v>262</v>
      </c>
      <c r="R27" s="22"/>
      <c r="S27" s="22"/>
      <c r="T27" s="22"/>
      <c r="U27" s="22" t="s">
        <v>61</v>
      </c>
      <c r="V27" s="22" t="s">
        <v>61</v>
      </c>
      <c r="W27" s="22" t="s">
        <v>62</v>
      </c>
      <c r="X27" s="22"/>
      <c r="Y27" s="22" t="s">
        <v>61</v>
      </c>
    </row>
    <row r="28" ht="72" customHeight="1" spans="1:25">
      <c r="A28" s="19">
        <v>38</v>
      </c>
      <c r="B28" s="20">
        <v>46204</v>
      </c>
      <c r="C28" s="19" t="s">
        <v>107</v>
      </c>
      <c r="D28" s="19" t="s">
        <v>263</v>
      </c>
      <c r="E28" s="19" t="s">
        <v>264</v>
      </c>
      <c r="F28" s="19" t="s">
        <v>50</v>
      </c>
      <c r="G28" s="19" t="s">
        <v>265</v>
      </c>
      <c r="H28" s="19" t="s">
        <v>110</v>
      </c>
      <c r="I28" s="19" t="s">
        <v>53</v>
      </c>
      <c r="J28" s="19"/>
      <c r="K28" s="19" t="s">
        <v>54</v>
      </c>
      <c r="L28" s="19" t="s">
        <v>55</v>
      </c>
      <c r="M28" s="19" t="s">
        <v>266</v>
      </c>
      <c r="N28" s="21" t="s">
        <v>267</v>
      </c>
      <c r="O28" s="19" t="s">
        <v>58</v>
      </c>
      <c r="P28" s="19" t="s">
        <v>59</v>
      </c>
      <c r="Q28" s="19" t="s">
        <v>268</v>
      </c>
      <c r="R28" s="19"/>
      <c r="S28" s="19"/>
      <c r="T28" s="19"/>
      <c r="U28" s="19" t="s">
        <v>141</v>
      </c>
      <c r="V28" s="19" t="s">
        <v>61</v>
      </c>
      <c r="W28" s="19" t="s">
        <v>62</v>
      </c>
      <c r="X28" s="19"/>
      <c r="Y28" s="19" t="s">
        <v>61</v>
      </c>
    </row>
    <row r="29" ht="72" customHeight="1" spans="1:25">
      <c r="A29" s="22">
        <v>39</v>
      </c>
      <c r="B29" s="23">
        <v>46204</v>
      </c>
      <c r="C29" s="22" t="s">
        <v>107</v>
      </c>
      <c r="D29" s="22" t="s">
        <v>269</v>
      </c>
      <c r="E29" s="22" t="s">
        <v>270</v>
      </c>
      <c r="F29" s="22" t="s">
        <v>50</v>
      </c>
      <c r="G29" s="22" t="s">
        <v>271</v>
      </c>
      <c r="H29" s="22" t="s">
        <v>272</v>
      </c>
      <c r="I29" s="22" t="s">
        <v>53</v>
      </c>
      <c r="J29" s="22"/>
      <c r="K29" s="22" t="s">
        <v>273</v>
      </c>
      <c r="L29" s="22" t="s">
        <v>274</v>
      </c>
      <c r="M29" s="22" t="s">
        <v>275</v>
      </c>
      <c r="N29" s="24" t="s">
        <v>276</v>
      </c>
      <c r="O29" s="22" t="s">
        <v>58</v>
      </c>
      <c r="P29" s="22" t="s">
        <v>59</v>
      </c>
      <c r="Q29" s="22" t="s">
        <v>277</v>
      </c>
      <c r="R29" s="22"/>
      <c r="S29" s="22"/>
      <c r="T29" s="22"/>
      <c r="U29" s="22" t="s">
        <v>61</v>
      </c>
      <c r="V29" s="22" t="s">
        <v>61</v>
      </c>
      <c r="W29" s="22" t="s">
        <v>62</v>
      </c>
      <c r="X29" s="22"/>
      <c r="Y29" s="22" t="s">
        <v>61</v>
      </c>
    </row>
    <row r="30" ht="72" customHeight="1" spans="1:25">
      <c r="A30" s="19">
        <v>40</v>
      </c>
      <c r="B30" s="20">
        <v>46204</v>
      </c>
      <c r="C30" s="19" t="s">
        <v>107</v>
      </c>
      <c r="D30" s="19" t="s">
        <v>269</v>
      </c>
      <c r="E30" s="19" t="s">
        <v>278</v>
      </c>
      <c r="F30" s="19" t="s">
        <v>134</v>
      </c>
      <c r="G30" s="19" t="s">
        <v>271</v>
      </c>
      <c r="H30" s="19" t="s">
        <v>279</v>
      </c>
      <c r="I30" s="19" t="s">
        <v>53</v>
      </c>
      <c r="J30" s="19"/>
      <c r="K30" s="19" t="s">
        <v>280</v>
      </c>
      <c r="L30" s="19" t="s">
        <v>281</v>
      </c>
      <c r="M30" s="19" t="s">
        <v>282</v>
      </c>
      <c r="N30" s="21" t="s">
        <v>276</v>
      </c>
      <c r="O30" s="19" t="s">
        <v>58</v>
      </c>
      <c r="P30" s="19" t="s">
        <v>139</v>
      </c>
      <c r="Q30" s="19" t="s">
        <v>283</v>
      </c>
      <c r="R30" s="19"/>
      <c r="S30" s="19"/>
      <c r="T30" s="19"/>
      <c r="U30" s="19" t="s">
        <v>61</v>
      </c>
      <c r="V30" s="19" t="s">
        <v>61</v>
      </c>
      <c r="W30" s="19" t="s">
        <v>72</v>
      </c>
      <c r="X30" s="19"/>
      <c r="Y30" s="19" t="s">
        <v>61</v>
      </c>
    </row>
    <row r="31" ht="72" customHeight="1" spans="1:25">
      <c r="A31" s="22">
        <v>41</v>
      </c>
      <c r="B31" s="23">
        <v>46221</v>
      </c>
      <c r="C31" s="22" t="s">
        <v>107</v>
      </c>
      <c r="D31" s="22" t="s">
        <v>263</v>
      </c>
      <c r="E31" s="22" t="s">
        <v>284</v>
      </c>
      <c r="F31" s="22" t="s">
        <v>65</v>
      </c>
      <c r="G31" s="22" t="s">
        <v>285</v>
      </c>
      <c r="H31" s="22" t="s">
        <v>179</v>
      </c>
      <c r="I31" s="22" t="s">
        <v>53</v>
      </c>
      <c r="J31" s="22"/>
      <c r="K31" s="22" t="s">
        <v>286</v>
      </c>
      <c r="L31" s="22" t="s">
        <v>287</v>
      </c>
      <c r="M31" s="22" t="s">
        <v>288</v>
      </c>
      <c r="N31" s="24" t="s">
        <v>289</v>
      </c>
      <c r="O31" s="22" t="s">
        <v>58</v>
      </c>
      <c r="P31" s="22" t="s">
        <v>70</v>
      </c>
      <c r="Q31" s="22" t="s">
        <v>290</v>
      </c>
      <c r="R31" s="22"/>
      <c r="S31" s="22"/>
      <c r="T31" s="22"/>
      <c r="U31" s="22" t="s">
        <v>61</v>
      </c>
      <c r="V31" s="22" t="s">
        <v>61</v>
      </c>
      <c r="W31" s="22" t="s">
        <v>62</v>
      </c>
      <c r="X31" s="22"/>
      <c r="Y31" s="22" t="s">
        <v>61</v>
      </c>
    </row>
    <row r="32" ht="72" customHeight="1" spans="1:25">
      <c r="A32" s="19">
        <v>42</v>
      </c>
      <c r="B32" s="20">
        <v>46206</v>
      </c>
      <c r="C32" s="19" t="s">
        <v>107</v>
      </c>
      <c r="D32" s="19" t="s">
        <v>291</v>
      </c>
      <c r="E32" s="19" t="s">
        <v>292</v>
      </c>
      <c r="F32" s="19" t="s">
        <v>50</v>
      </c>
      <c r="G32" s="19" t="s">
        <v>293</v>
      </c>
      <c r="H32" s="19" t="s">
        <v>294</v>
      </c>
      <c r="I32" s="19" t="s">
        <v>53</v>
      </c>
      <c r="J32" s="19"/>
      <c r="K32" s="19" t="s">
        <v>295</v>
      </c>
      <c r="L32" s="19" t="s">
        <v>296</v>
      </c>
      <c r="M32" s="19" t="s">
        <v>297</v>
      </c>
      <c r="N32" s="21" t="s">
        <v>298</v>
      </c>
      <c r="O32" s="19" t="s">
        <v>58</v>
      </c>
      <c r="P32" s="19" t="s">
        <v>59</v>
      </c>
      <c r="Q32" s="19" t="s">
        <v>299</v>
      </c>
      <c r="R32" s="19"/>
      <c r="S32" s="19"/>
      <c r="T32" s="19"/>
      <c r="U32" s="19" t="s">
        <v>61</v>
      </c>
      <c r="V32" s="19" t="s">
        <v>61</v>
      </c>
      <c r="W32" s="19" t="s">
        <v>62</v>
      </c>
      <c r="X32" s="19"/>
      <c r="Y32" s="19" t="s">
        <v>61</v>
      </c>
    </row>
    <row r="33" ht="72" customHeight="1" spans="1:25">
      <c r="A33" s="22">
        <v>43</v>
      </c>
      <c r="B33" s="23">
        <v>46204</v>
      </c>
      <c r="C33" s="22" t="s">
        <v>107</v>
      </c>
      <c r="D33" s="22" t="s">
        <v>300</v>
      </c>
      <c r="E33" s="22" t="s">
        <v>301</v>
      </c>
      <c r="F33" s="22" t="s">
        <v>65</v>
      </c>
      <c r="G33" s="22" t="s">
        <v>302</v>
      </c>
      <c r="H33" s="22" t="s">
        <v>110</v>
      </c>
      <c r="I33" s="22" t="s">
        <v>53</v>
      </c>
      <c r="J33" s="22"/>
      <c r="K33" s="22" t="s">
        <v>303</v>
      </c>
      <c r="L33" s="22" t="s">
        <v>304</v>
      </c>
      <c r="M33" s="22" t="s">
        <v>305</v>
      </c>
      <c r="N33" s="24" t="s">
        <v>306</v>
      </c>
      <c r="O33" s="22" t="s">
        <v>58</v>
      </c>
      <c r="P33" s="22" t="s">
        <v>70</v>
      </c>
      <c r="Q33" s="22" t="s">
        <v>307</v>
      </c>
      <c r="R33" s="22"/>
      <c r="S33" s="22"/>
      <c r="T33" s="22"/>
      <c r="U33" s="22" t="s">
        <v>61</v>
      </c>
      <c r="V33" s="22" t="s">
        <v>61</v>
      </c>
      <c r="W33" s="22" t="s">
        <v>62</v>
      </c>
      <c r="X33" s="22"/>
      <c r="Y33" s="22" t="s">
        <v>61</v>
      </c>
    </row>
    <row r="34" ht="72" customHeight="1" spans="1:25">
      <c r="A34" s="19">
        <v>44</v>
      </c>
      <c r="B34" s="20">
        <v>46233</v>
      </c>
      <c r="C34" s="19" t="s">
        <v>107</v>
      </c>
      <c r="D34" s="19" t="s">
        <v>300</v>
      </c>
      <c r="E34" s="19" t="s">
        <v>301</v>
      </c>
      <c r="F34" s="19" t="s">
        <v>65</v>
      </c>
      <c r="G34" s="19" t="s">
        <v>302</v>
      </c>
      <c r="H34" s="19" t="s">
        <v>110</v>
      </c>
      <c r="I34" s="19" t="s">
        <v>53</v>
      </c>
      <c r="J34" s="19"/>
      <c r="K34" s="19" t="s">
        <v>308</v>
      </c>
      <c r="L34" s="19" t="s">
        <v>309</v>
      </c>
      <c r="M34" s="19" t="s">
        <v>310</v>
      </c>
      <c r="N34" s="21" t="s">
        <v>311</v>
      </c>
      <c r="O34" s="19" t="s">
        <v>58</v>
      </c>
      <c r="P34" s="19" t="s">
        <v>70</v>
      </c>
      <c r="Q34" s="19" t="s">
        <v>312</v>
      </c>
      <c r="R34" s="19"/>
      <c r="S34" s="19"/>
      <c r="T34" s="19"/>
      <c r="U34" s="19" t="s">
        <v>61</v>
      </c>
      <c r="V34" s="19" t="s">
        <v>61</v>
      </c>
      <c r="W34" s="19" t="s">
        <v>62</v>
      </c>
      <c r="X34" s="19"/>
      <c r="Y34" s="19" t="s">
        <v>61</v>
      </c>
    </row>
    <row r="35" ht="72" customHeight="1" spans="1:25">
      <c r="A35" s="22">
        <v>45</v>
      </c>
      <c r="B35" s="23">
        <v>46219</v>
      </c>
      <c r="C35" s="22" t="s">
        <v>107</v>
      </c>
      <c r="D35" s="22" t="s">
        <v>300</v>
      </c>
      <c r="E35" s="22" t="s">
        <v>313</v>
      </c>
      <c r="F35" s="22" t="s">
        <v>65</v>
      </c>
      <c r="G35" s="22" t="s">
        <v>314</v>
      </c>
      <c r="H35" s="22" t="s">
        <v>272</v>
      </c>
      <c r="I35" s="22" t="s">
        <v>53</v>
      </c>
      <c r="J35" s="22" t="s">
        <v>315</v>
      </c>
      <c r="K35" s="22" t="s">
        <v>316</v>
      </c>
      <c r="L35" s="22" t="s">
        <v>317</v>
      </c>
      <c r="M35" s="22" t="s">
        <v>318</v>
      </c>
      <c r="N35" s="24" t="s">
        <v>319</v>
      </c>
      <c r="O35" s="22" t="s">
        <v>58</v>
      </c>
      <c r="P35" s="22" t="s">
        <v>70</v>
      </c>
      <c r="Q35" s="22" t="s">
        <v>320</v>
      </c>
      <c r="R35" s="22"/>
      <c r="S35" s="22"/>
      <c r="T35" s="22"/>
      <c r="U35" s="22" t="s">
        <v>61</v>
      </c>
      <c r="V35" s="22" t="s">
        <v>61</v>
      </c>
      <c r="W35" s="22" t="s">
        <v>321</v>
      </c>
      <c r="X35" s="22"/>
      <c r="Y35" s="22" t="s">
        <v>61</v>
      </c>
    </row>
    <row r="36" ht="72" customHeight="1" spans="1:25">
      <c r="A36" s="19">
        <v>46</v>
      </c>
      <c r="B36" s="20">
        <v>46223</v>
      </c>
      <c r="C36" s="19" t="s">
        <v>107</v>
      </c>
      <c r="D36" s="19" t="s">
        <v>322</v>
      </c>
      <c r="E36" s="19" t="s">
        <v>323</v>
      </c>
      <c r="F36" s="19" t="s">
        <v>50</v>
      </c>
      <c r="G36" s="19" t="s">
        <v>324</v>
      </c>
      <c r="H36" s="19" t="s">
        <v>325</v>
      </c>
      <c r="I36" s="19" t="s">
        <v>53</v>
      </c>
      <c r="J36" s="19"/>
      <c r="K36" s="19" t="s">
        <v>326</v>
      </c>
      <c r="L36" s="19" t="s">
        <v>327</v>
      </c>
      <c r="M36" s="19" t="s">
        <v>328</v>
      </c>
      <c r="N36" s="21" t="s">
        <v>329</v>
      </c>
      <c r="O36" s="19" t="s">
        <v>58</v>
      </c>
      <c r="P36" s="19" t="s">
        <v>59</v>
      </c>
      <c r="Q36" s="19" t="s">
        <v>330</v>
      </c>
      <c r="R36" s="19"/>
      <c r="S36" s="19"/>
      <c r="T36" s="19"/>
      <c r="U36" s="19" t="s">
        <v>61</v>
      </c>
      <c r="V36" s="19" t="s">
        <v>61</v>
      </c>
      <c r="W36" s="19" t="s">
        <v>62</v>
      </c>
      <c r="X36" s="19"/>
      <c r="Y36" s="19" t="s">
        <v>61</v>
      </c>
    </row>
    <row r="37" ht="72" customHeight="1" spans="1:25">
      <c r="A37" s="22">
        <v>47</v>
      </c>
      <c r="B37" s="23">
        <v>46206</v>
      </c>
      <c r="C37" s="22" t="s">
        <v>107</v>
      </c>
      <c r="D37" s="22" t="s">
        <v>331</v>
      </c>
      <c r="E37" s="22" t="s">
        <v>332</v>
      </c>
      <c r="F37" s="22" t="s">
        <v>50</v>
      </c>
      <c r="G37" s="22" t="s">
        <v>333</v>
      </c>
      <c r="H37" s="22" t="s">
        <v>325</v>
      </c>
      <c r="I37" s="22" t="s">
        <v>53</v>
      </c>
      <c r="J37" s="22" t="s">
        <v>334</v>
      </c>
      <c r="K37" s="22" t="s">
        <v>335</v>
      </c>
      <c r="L37" s="22" t="s">
        <v>336</v>
      </c>
      <c r="M37" s="22" t="s">
        <v>337</v>
      </c>
      <c r="N37" s="24" t="s">
        <v>338</v>
      </c>
      <c r="O37" s="22" t="s">
        <v>58</v>
      </c>
      <c r="P37" s="22" t="s">
        <v>59</v>
      </c>
      <c r="Q37" s="22" t="s">
        <v>339</v>
      </c>
      <c r="R37" s="22"/>
      <c r="S37" s="22"/>
      <c r="T37" s="22"/>
      <c r="U37" s="22" t="s">
        <v>61</v>
      </c>
      <c r="V37" s="22" t="s">
        <v>61</v>
      </c>
      <c r="W37" s="22" t="s">
        <v>340</v>
      </c>
      <c r="X37" s="22"/>
      <c r="Y37" s="22" t="s">
        <v>61</v>
      </c>
    </row>
    <row r="38" ht="72" customHeight="1" spans="1:25">
      <c r="A38" s="19">
        <v>48</v>
      </c>
      <c r="B38" s="20">
        <v>46206</v>
      </c>
      <c r="C38" s="19" t="s">
        <v>107</v>
      </c>
      <c r="D38" s="19" t="s">
        <v>331</v>
      </c>
      <c r="E38" s="19" t="s">
        <v>341</v>
      </c>
      <c r="F38" s="19" t="s">
        <v>134</v>
      </c>
      <c r="G38" s="19" t="s">
        <v>333</v>
      </c>
      <c r="H38" s="19" t="s">
        <v>279</v>
      </c>
      <c r="I38" s="19" t="s">
        <v>53</v>
      </c>
      <c r="J38" s="19" t="s">
        <v>342</v>
      </c>
      <c r="K38" s="19" t="s">
        <v>343</v>
      </c>
      <c r="L38" s="19" t="s">
        <v>344</v>
      </c>
      <c r="M38" s="19" t="s">
        <v>345</v>
      </c>
      <c r="N38" s="21" t="s">
        <v>338</v>
      </c>
      <c r="O38" s="19" t="s">
        <v>58</v>
      </c>
      <c r="P38" s="19" t="s">
        <v>139</v>
      </c>
      <c r="Q38" s="19" t="s">
        <v>346</v>
      </c>
      <c r="R38" s="19"/>
      <c r="S38" s="19"/>
      <c r="T38" s="19"/>
      <c r="U38" s="19" t="s">
        <v>61</v>
      </c>
      <c r="V38" s="19" t="s">
        <v>61</v>
      </c>
      <c r="W38" s="19" t="s">
        <v>347</v>
      </c>
      <c r="X38" s="19"/>
      <c r="Y38" s="19" t="s">
        <v>141</v>
      </c>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5"/>
  <sheetViews>
    <sheetView showGridLines="0" workbookViewId="0">
      <selection activeCell="A1" sqref="A1"/>
    </sheetView>
  </sheetViews>
  <sheetFormatPr defaultColWidth="9" defaultRowHeight="14" outlineLevelCol="1"/>
  <cols>
    <col min="1" max="1" width="14" customWidth="1"/>
    <col min="2" max="2" width="58" customWidth="1"/>
  </cols>
  <sheetData>
    <row r="1" ht="36" customHeight="1" spans="1:2">
      <c r="A1" s="18" t="s">
        <v>583</v>
      </c>
      <c r="B1" s="18" t="s">
        <v>584</v>
      </c>
    </row>
    <row r="2" ht="34" customHeight="1" spans="1:2">
      <c r="A2" s="25">
        <v>3</v>
      </c>
      <c r="B2" s="19" t="s">
        <v>459</v>
      </c>
    </row>
    <row r="3" ht="34" customHeight="1" spans="1:2">
      <c r="A3" s="26">
        <v>4</v>
      </c>
      <c r="B3" s="22" t="s">
        <v>465</v>
      </c>
    </row>
    <row r="4" ht="34" customHeight="1" spans="1:2">
      <c r="A4" s="25">
        <v>4</v>
      </c>
      <c r="B4" s="19" t="s">
        <v>466</v>
      </c>
    </row>
    <row r="5" ht="34" customHeight="1" spans="1:2">
      <c r="A5" s="26">
        <v>6</v>
      </c>
      <c r="B5" s="22" t="s">
        <v>465</v>
      </c>
    </row>
    <row r="6" ht="34" customHeight="1" spans="1:2">
      <c r="A6" s="25">
        <v>6</v>
      </c>
      <c r="B6" s="19" t="s">
        <v>466</v>
      </c>
    </row>
    <row r="7" ht="34" customHeight="1" spans="1:2">
      <c r="A7" s="26">
        <v>18</v>
      </c>
      <c r="B7" s="22" t="s">
        <v>459</v>
      </c>
    </row>
    <row r="8" ht="34" customHeight="1" spans="1:2">
      <c r="A8" s="25">
        <v>19</v>
      </c>
      <c r="B8" s="19" t="s">
        <v>467</v>
      </c>
    </row>
    <row r="9" ht="34" customHeight="1" spans="1:2">
      <c r="A9" s="26">
        <v>20</v>
      </c>
      <c r="B9" s="22" t="s">
        <v>459</v>
      </c>
    </row>
    <row r="10" ht="34" customHeight="1" spans="1:2">
      <c r="A10" s="25">
        <v>22</v>
      </c>
      <c r="B10" s="19" t="s">
        <v>459</v>
      </c>
    </row>
    <row r="11" ht="34" customHeight="1" spans="1:2">
      <c r="A11" s="26">
        <v>23</v>
      </c>
      <c r="B11" s="22" t="s">
        <v>459</v>
      </c>
    </row>
    <row r="12" ht="34" customHeight="1" spans="1:2">
      <c r="A12" s="25">
        <v>23</v>
      </c>
      <c r="B12" s="19" t="s">
        <v>461</v>
      </c>
    </row>
    <row r="13" ht="34" customHeight="1" spans="1:2">
      <c r="A13" s="26">
        <v>23</v>
      </c>
      <c r="B13" s="22" t="s">
        <v>462</v>
      </c>
    </row>
    <row r="14" ht="34" customHeight="1" spans="1:2">
      <c r="A14" s="25">
        <v>24</v>
      </c>
      <c r="B14" s="19" t="s">
        <v>459</v>
      </c>
    </row>
    <row r="15" ht="34" customHeight="1" spans="1:2">
      <c r="A15" s="26">
        <v>25</v>
      </c>
      <c r="B15" s="22" t="s">
        <v>459</v>
      </c>
    </row>
    <row r="16" ht="34" customHeight="1" spans="1:2">
      <c r="A16" s="25">
        <v>25</v>
      </c>
      <c r="B16" s="19" t="s">
        <v>461</v>
      </c>
    </row>
    <row r="17" ht="34" customHeight="1" spans="1:2">
      <c r="A17" s="26">
        <v>26</v>
      </c>
      <c r="B17" s="22" t="s">
        <v>459</v>
      </c>
    </row>
    <row r="18" ht="34" customHeight="1" spans="1:2">
      <c r="A18" s="25">
        <v>27</v>
      </c>
      <c r="B18" s="19" t="s">
        <v>459</v>
      </c>
    </row>
    <row r="19" ht="34" customHeight="1" spans="1:2">
      <c r="A19" s="26">
        <v>27</v>
      </c>
      <c r="B19" s="22" t="s">
        <v>464</v>
      </c>
    </row>
    <row r="20" ht="34" customHeight="1" spans="1:2">
      <c r="A20" s="25">
        <v>27</v>
      </c>
      <c r="B20" s="19" t="s">
        <v>462</v>
      </c>
    </row>
    <row r="21" ht="34" customHeight="1" spans="1:2">
      <c r="A21" s="26">
        <v>28</v>
      </c>
      <c r="B21" s="22" t="s">
        <v>459</v>
      </c>
    </row>
    <row r="22" ht="34" customHeight="1" spans="1:2">
      <c r="A22" s="25">
        <v>30</v>
      </c>
      <c r="B22" s="19" t="s">
        <v>463</v>
      </c>
    </row>
    <row r="23" ht="34" customHeight="1" spans="1:2">
      <c r="A23" s="26">
        <v>31</v>
      </c>
      <c r="B23" s="22" t="s">
        <v>459</v>
      </c>
    </row>
    <row r="24" ht="34" customHeight="1" spans="1:2">
      <c r="A24" s="25">
        <v>31</v>
      </c>
      <c r="B24" s="19" t="s">
        <v>461</v>
      </c>
    </row>
    <row r="25" ht="34" customHeight="1" spans="1:2">
      <c r="A25" s="26">
        <v>31</v>
      </c>
      <c r="B25" s="22" t="s">
        <v>464</v>
      </c>
    </row>
    <row r="26" ht="34" customHeight="1" spans="1:2">
      <c r="A26" s="25">
        <v>33</v>
      </c>
      <c r="B26" s="19" t="s">
        <v>459</v>
      </c>
    </row>
    <row r="27" ht="34" customHeight="1" spans="1:2">
      <c r="A27" s="26">
        <v>35</v>
      </c>
      <c r="B27" s="22" t="s">
        <v>459</v>
      </c>
    </row>
    <row r="28" ht="34" customHeight="1" spans="1:2">
      <c r="A28" s="25">
        <v>36</v>
      </c>
      <c r="B28" s="19" t="s">
        <v>459</v>
      </c>
    </row>
    <row r="29" ht="34" customHeight="1" spans="1:2">
      <c r="A29" s="26">
        <v>37</v>
      </c>
      <c r="B29" s="22" t="s">
        <v>463</v>
      </c>
    </row>
    <row r="30" ht="34" customHeight="1" spans="1:2">
      <c r="A30" s="25">
        <v>37</v>
      </c>
      <c r="B30" s="19" t="s">
        <v>464</v>
      </c>
    </row>
    <row r="31" ht="34" customHeight="1" spans="1:2">
      <c r="A31" s="26">
        <v>39</v>
      </c>
      <c r="B31" s="22" t="s">
        <v>463</v>
      </c>
    </row>
    <row r="32" ht="34" customHeight="1" spans="1:2">
      <c r="A32" s="25">
        <v>40</v>
      </c>
      <c r="B32" s="19" t="s">
        <v>463</v>
      </c>
    </row>
    <row r="33" ht="34" customHeight="1" spans="1:2">
      <c r="A33" s="26">
        <v>41</v>
      </c>
      <c r="B33" s="22" t="s">
        <v>459</v>
      </c>
    </row>
    <row r="34" ht="34" customHeight="1" spans="1:2">
      <c r="A34" s="25">
        <v>42</v>
      </c>
      <c r="B34" s="19" t="s">
        <v>459</v>
      </c>
    </row>
    <row r="35" ht="34" customHeight="1" spans="1:2">
      <c r="A35" s="26">
        <v>43</v>
      </c>
      <c r="B35" s="22" t="s">
        <v>459</v>
      </c>
    </row>
    <row r="36" ht="34" customHeight="1" spans="1:2">
      <c r="A36" s="25">
        <v>44</v>
      </c>
      <c r="B36" s="19" t="s">
        <v>459</v>
      </c>
    </row>
    <row r="37" ht="34" customHeight="1" spans="1:2">
      <c r="A37" s="26">
        <v>45</v>
      </c>
      <c r="B37" s="22" t="s">
        <v>459</v>
      </c>
    </row>
    <row r="38" ht="34" customHeight="1" spans="1:2">
      <c r="A38" s="25">
        <v>45</v>
      </c>
      <c r="B38" s="19" t="s">
        <v>461</v>
      </c>
    </row>
    <row r="39" ht="34" customHeight="1" spans="1:2">
      <c r="A39" s="26">
        <v>45</v>
      </c>
      <c r="B39" s="22" t="s">
        <v>462</v>
      </c>
    </row>
    <row r="40" ht="34" customHeight="1" spans="1:2">
      <c r="A40" s="25">
        <v>46</v>
      </c>
      <c r="B40" s="19" t="s">
        <v>459</v>
      </c>
    </row>
    <row r="41" ht="34" customHeight="1" spans="1:2">
      <c r="A41" s="26">
        <v>47</v>
      </c>
      <c r="B41" s="22" t="s">
        <v>459</v>
      </c>
    </row>
    <row r="42" ht="34" customHeight="1" spans="1:2">
      <c r="A42" s="25">
        <v>47</v>
      </c>
      <c r="B42" s="19" t="s">
        <v>461</v>
      </c>
    </row>
    <row r="43" ht="34" customHeight="1" spans="1:2">
      <c r="A43" s="26">
        <v>48</v>
      </c>
      <c r="B43" s="22" t="s">
        <v>459</v>
      </c>
    </row>
    <row r="44" ht="34" customHeight="1" spans="1:2">
      <c r="A44" s="25">
        <v>48</v>
      </c>
      <c r="B44" s="19" t="s">
        <v>461</v>
      </c>
    </row>
    <row r="45" ht="34" customHeight="1" spans="1:2">
      <c r="A45" s="26">
        <v>48</v>
      </c>
      <c r="B45" s="22" t="s">
        <v>462</v>
      </c>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showGridLines="0" workbookViewId="0">
      <selection activeCell="A1" sqref="A1"/>
    </sheetView>
  </sheetViews>
  <sheetFormatPr defaultColWidth="9" defaultRowHeight="14" outlineLevelRow="6" outlineLevelCol="4"/>
  <cols>
    <col min="1" max="1" width="18" customWidth="1"/>
    <col min="2" max="2" width="40" customWidth="1"/>
    <col min="3" max="3" width="13" customWidth="1"/>
    <col min="4" max="4" width="62" customWidth="1"/>
    <col min="5" max="5" width="68" customWidth="1"/>
  </cols>
  <sheetData>
    <row r="1" ht="36" customHeight="1" spans="1:5">
      <c r="A1" s="18" t="s">
        <v>585</v>
      </c>
      <c r="B1" s="18" t="s">
        <v>586</v>
      </c>
      <c r="C1" s="18" t="s">
        <v>23</v>
      </c>
      <c r="D1" s="18" t="s">
        <v>587</v>
      </c>
      <c r="E1" s="18" t="s">
        <v>588</v>
      </c>
    </row>
    <row r="2" ht="62" customHeight="1" spans="1:5">
      <c r="A2" s="19" t="s">
        <v>589</v>
      </c>
      <c r="B2" s="19" t="s">
        <v>590</v>
      </c>
      <c r="C2" s="20">
        <v>46204</v>
      </c>
      <c r="D2" s="19" t="s">
        <v>591</v>
      </c>
      <c r="E2" s="21" t="s">
        <v>57</v>
      </c>
    </row>
    <row r="3" ht="62" customHeight="1" spans="1:5">
      <c r="A3" s="22" t="s">
        <v>592</v>
      </c>
      <c r="B3" s="22" t="s">
        <v>566</v>
      </c>
      <c r="C3" s="23">
        <v>46205</v>
      </c>
      <c r="D3" s="22" t="s">
        <v>593</v>
      </c>
      <c r="E3" s="24" t="s">
        <v>69</v>
      </c>
    </row>
    <row r="4" ht="62" customHeight="1" spans="1:5">
      <c r="A4" s="19" t="s">
        <v>594</v>
      </c>
      <c r="B4" s="19" t="s">
        <v>595</v>
      </c>
      <c r="C4" s="20">
        <v>46213</v>
      </c>
      <c r="D4" s="19" t="s">
        <v>596</v>
      </c>
      <c r="E4" s="21" t="s">
        <v>78</v>
      </c>
    </row>
    <row r="5" ht="62" customHeight="1" spans="1:5">
      <c r="A5" s="22" t="s">
        <v>597</v>
      </c>
      <c r="B5" s="22" t="s">
        <v>598</v>
      </c>
      <c r="C5" s="23">
        <v>46205</v>
      </c>
      <c r="D5" s="22" t="s">
        <v>599</v>
      </c>
      <c r="E5" s="24" t="s">
        <v>98</v>
      </c>
    </row>
    <row r="6" ht="62" customHeight="1" spans="1:5">
      <c r="A6" s="19" t="s">
        <v>597</v>
      </c>
      <c r="B6" s="19" t="s">
        <v>600</v>
      </c>
      <c r="C6" s="20">
        <v>46211</v>
      </c>
      <c r="D6" s="19" t="s">
        <v>601</v>
      </c>
      <c r="E6" s="21" t="s">
        <v>105</v>
      </c>
    </row>
    <row r="7" ht="62" customHeight="1" spans="1:5">
      <c r="A7" s="22" t="s">
        <v>602</v>
      </c>
      <c r="B7" s="22" t="s">
        <v>603</v>
      </c>
      <c r="C7" s="23">
        <v>46237</v>
      </c>
      <c r="D7" s="22" t="s">
        <v>604</v>
      </c>
      <c r="E7" s="24" t="s">
        <v>114</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
  <sheetViews>
    <sheetView showGridLines="0" workbookViewId="0">
      <selection activeCell="A1" sqref="A1:L1"/>
    </sheetView>
  </sheetViews>
  <sheetFormatPr defaultColWidth="9" defaultRowHeight="14"/>
  <cols>
    <col min="1" max="1" width="10" customWidth="1"/>
    <col min="2" max="2" width="30" customWidth="1"/>
    <col min="3" max="3" width="22" customWidth="1"/>
    <col min="4" max="4" width="20" customWidth="1"/>
    <col min="5" max="5" width="42" customWidth="1"/>
    <col min="6" max="6" width="28" customWidth="1"/>
    <col min="7" max="7" width="16" customWidth="1"/>
    <col min="8" max="8" width="25" customWidth="1"/>
    <col min="9" max="9" width="48" customWidth="1"/>
    <col min="10" max="10" width="45" customWidth="1"/>
    <col min="11" max="11" width="28" customWidth="1"/>
    <col min="12" max="12" width="16" customWidth="1"/>
  </cols>
  <sheetData>
    <row r="1" ht="30" customHeight="1" spans="1:12">
      <c r="A1" s="1" t="s">
        <v>605</v>
      </c>
      <c r="B1" s="1"/>
      <c r="C1" s="1"/>
      <c r="D1" s="1"/>
      <c r="E1" s="1"/>
      <c r="F1" s="1"/>
      <c r="G1" s="1"/>
      <c r="H1" s="1"/>
      <c r="I1" s="1"/>
      <c r="J1" s="1"/>
      <c r="K1" s="1"/>
      <c r="L1" s="1"/>
    </row>
    <row r="2" ht="36" customHeight="1" spans="1:12">
      <c r="A2" s="2" t="s">
        <v>606</v>
      </c>
      <c r="B2" s="2"/>
      <c r="C2" s="2"/>
      <c r="D2" s="2"/>
      <c r="E2" s="2"/>
      <c r="F2" s="2"/>
      <c r="G2" s="2"/>
      <c r="H2" s="2"/>
      <c r="I2" s="2"/>
      <c r="J2" s="2"/>
      <c r="K2" s="2"/>
      <c r="L2" s="2"/>
    </row>
    <row r="3" spans="1:12">
      <c r="A3" s="3"/>
      <c r="B3" s="3"/>
      <c r="C3" s="3"/>
      <c r="D3" s="3"/>
      <c r="E3" s="3"/>
      <c r="F3" s="3"/>
      <c r="G3" s="3"/>
      <c r="H3" s="3"/>
      <c r="I3" s="3"/>
      <c r="J3" s="3"/>
      <c r="K3" s="3"/>
      <c r="L3" s="3"/>
    </row>
    <row r="4" ht="24" customHeight="1" spans="1:12">
      <c r="A4" s="4" t="s">
        <v>607</v>
      </c>
      <c r="B4" s="4"/>
      <c r="C4" s="4"/>
      <c r="D4" s="4"/>
      <c r="E4" s="4"/>
      <c r="F4" s="4"/>
      <c r="G4" s="4"/>
      <c r="H4" s="4"/>
      <c r="I4" s="4"/>
      <c r="J4" s="4"/>
      <c r="K4" s="4"/>
      <c r="L4" s="4"/>
    </row>
    <row r="5" ht="30" customHeight="1" spans="1:12">
      <c r="A5" s="5" t="s">
        <v>432</v>
      </c>
      <c r="B5" s="5" t="s">
        <v>433</v>
      </c>
      <c r="C5" s="5" t="s">
        <v>608</v>
      </c>
      <c r="D5" s="3"/>
      <c r="E5" s="3"/>
      <c r="F5" s="3"/>
      <c r="G5" s="3"/>
      <c r="H5" s="3"/>
      <c r="I5" s="3"/>
      <c r="J5" s="3"/>
      <c r="K5" s="3"/>
      <c r="L5" s="3"/>
    </row>
    <row r="6" ht="42" customHeight="1" spans="1:12">
      <c r="A6" s="6" t="s">
        <v>609</v>
      </c>
      <c r="B6" s="7">
        <f>COUNTA($B$14:$B$37)</f>
        <v>24</v>
      </c>
      <c r="C6" s="6" t="s">
        <v>610</v>
      </c>
      <c r="D6" s="3"/>
      <c r="E6" s="3"/>
      <c r="F6" s="3"/>
      <c r="G6" s="3"/>
      <c r="H6" s="3"/>
      <c r="I6" s="3"/>
      <c r="J6" s="3"/>
      <c r="K6" s="3"/>
      <c r="L6" s="3"/>
    </row>
    <row r="7" ht="42" customHeight="1" spans="1:12">
      <c r="A7" s="6" t="s">
        <v>611</v>
      </c>
      <c r="B7" s="7">
        <v>48</v>
      </c>
      <c r="C7" s="6" t="s">
        <v>612</v>
      </c>
      <c r="D7" s="3"/>
      <c r="E7" s="3"/>
      <c r="F7" s="3"/>
      <c r="G7" s="3"/>
      <c r="H7" s="3"/>
      <c r="I7" s="3"/>
      <c r="J7" s="3"/>
      <c r="K7" s="3"/>
      <c r="L7" s="3"/>
    </row>
    <row r="8" ht="42" customHeight="1" spans="1:12">
      <c r="A8" s="6" t="s">
        <v>613</v>
      </c>
      <c r="B8" s="7">
        <v>37</v>
      </c>
      <c r="C8" s="6" t="s">
        <v>614</v>
      </c>
      <c r="D8" s="3"/>
      <c r="E8" s="3"/>
      <c r="F8" s="3"/>
      <c r="G8" s="3"/>
      <c r="H8" s="3"/>
      <c r="I8" s="3"/>
      <c r="J8" s="3"/>
      <c r="K8" s="3"/>
      <c r="L8" s="3"/>
    </row>
    <row r="9" ht="42" customHeight="1" spans="1:12">
      <c r="A9" s="6" t="s">
        <v>615</v>
      </c>
      <c r="B9" s="7">
        <v>36</v>
      </c>
      <c r="C9" s="6" t="s">
        <v>616</v>
      </c>
      <c r="D9" s="3"/>
      <c r="E9" s="3"/>
      <c r="F9" s="3"/>
      <c r="G9" s="3"/>
      <c r="H9" s="3"/>
      <c r="I9" s="3"/>
      <c r="J9" s="3"/>
      <c r="K9" s="3"/>
      <c r="L9" s="3"/>
    </row>
    <row r="10" ht="42" customHeight="1" spans="1:12">
      <c r="A10" s="6" t="s">
        <v>617</v>
      </c>
      <c r="B10" s="7">
        <v>1</v>
      </c>
      <c r="C10" s="6" t="s">
        <v>618</v>
      </c>
      <c r="D10" s="3"/>
      <c r="E10" s="3"/>
      <c r="F10" s="3"/>
      <c r="G10" s="3"/>
      <c r="H10" s="3"/>
      <c r="I10" s="3"/>
      <c r="J10" s="3"/>
      <c r="K10" s="3"/>
      <c r="L10" s="3"/>
    </row>
    <row r="11" ht="42" customHeight="1" spans="1:12">
      <c r="A11" s="6" t="s">
        <v>619</v>
      </c>
      <c r="B11" s="7">
        <v>3</v>
      </c>
      <c r="C11" s="6" t="s">
        <v>620</v>
      </c>
      <c r="D11" s="3"/>
      <c r="E11" s="3"/>
      <c r="F11" s="3"/>
      <c r="G11" s="3"/>
      <c r="H11" s="3"/>
      <c r="I11" s="3"/>
      <c r="J11" s="3"/>
      <c r="K11" s="3"/>
      <c r="L11" s="3"/>
    </row>
    <row r="12" ht="26" customHeight="1" spans="1:12">
      <c r="A12" s="4" t="s">
        <v>621</v>
      </c>
      <c r="B12" s="4"/>
      <c r="C12" s="4"/>
      <c r="D12" s="4"/>
      <c r="E12" s="4"/>
      <c r="F12" s="4"/>
      <c r="G12" s="4"/>
      <c r="H12" s="4"/>
      <c r="I12" s="4"/>
      <c r="J12" s="4"/>
      <c r="K12" s="4"/>
      <c r="L12" s="4"/>
    </row>
    <row r="13" ht="26" customHeight="1" spans="1:12">
      <c r="A13" s="5" t="s">
        <v>22</v>
      </c>
      <c r="B13" s="5" t="s">
        <v>622</v>
      </c>
      <c r="C13" s="5" t="s">
        <v>585</v>
      </c>
      <c r="D13" s="5" t="s">
        <v>623</v>
      </c>
      <c r="E13" s="5" t="s">
        <v>458</v>
      </c>
      <c r="F13" s="3"/>
      <c r="G13" s="3"/>
      <c r="H13" s="3"/>
      <c r="I13" s="3"/>
      <c r="J13" s="3"/>
      <c r="K13" s="3"/>
      <c r="L13" s="3"/>
    </row>
    <row r="14" ht="28" customHeight="1" spans="1:12">
      <c r="A14" s="8">
        <v>1</v>
      </c>
      <c r="B14" s="8" t="s">
        <v>624</v>
      </c>
      <c r="C14" s="8" t="s">
        <v>625</v>
      </c>
      <c r="D14" s="8" t="s">
        <v>626</v>
      </c>
      <c r="E14" s="8" t="s">
        <v>627</v>
      </c>
      <c r="F14" s="3"/>
      <c r="G14" s="3"/>
      <c r="H14" s="3"/>
      <c r="I14" s="3"/>
      <c r="J14" s="3"/>
      <c r="K14" s="3"/>
      <c r="L14" s="3"/>
    </row>
    <row r="15" ht="28" customHeight="1" spans="1:12">
      <c r="A15" s="8">
        <v>2</v>
      </c>
      <c r="B15" s="8" t="s">
        <v>628</v>
      </c>
      <c r="C15" s="8" t="s">
        <v>625</v>
      </c>
      <c r="D15" s="8" t="s">
        <v>626</v>
      </c>
      <c r="E15" s="8" t="s">
        <v>627</v>
      </c>
      <c r="F15" s="3"/>
      <c r="G15" s="3"/>
      <c r="H15" s="3"/>
      <c r="I15" s="3"/>
      <c r="J15" s="3"/>
      <c r="K15" s="3"/>
      <c r="L15" s="3"/>
    </row>
    <row r="16" ht="28" customHeight="1" spans="1:12">
      <c r="A16" s="8">
        <v>3</v>
      </c>
      <c r="B16" s="8" t="s">
        <v>629</v>
      </c>
      <c r="C16" s="8" t="s">
        <v>625</v>
      </c>
      <c r="D16" s="8" t="s">
        <v>626</v>
      </c>
      <c r="E16" s="8" t="s">
        <v>627</v>
      </c>
      <c r="F16" s="3"/>
      <c r="G16" s="3"/>
      <c r="H16" s="3"/>
      <c r="I16" s="3"/>
      <c r="J16" s="3"/>
      <c r="K16" s="3"/>
      <c r="L16" s="3"/>
    </row>
    <row r="17" ht="28" customHeight="1" spans="1:12">
      <c r="A17" s="8">
        <v>4</v>
      </c>
      <c r="B17" s="8" t="s">
        <v>630</v>
      </c>
      <c r="C17" s="8" t="s">
        <v>631</v>
      </c>
      <c r="D17" s="8" t="s">
        <v>626</v>
      </c>
      <c r="E17" s="8" t="s">
        <v>632</v>
      </c>
      <c r="F17" s="3"/>
      <c r="G17" s="3"/>
      <c r="H17" s="3"/>
      <c r="I17" s="3"/>
      <c r="J17" s="3"/>
      <c r="K17" s="3"/>
      <c r="L17" s="3"/>
    </row>
    <row r="18" ht="28" customHeight="1" spans="1:12">
      <c r="A18" s="8">
        <v>5</v>
      </c>
      <c r="B18" s="8" t="s">
        <v>633</v>
      </c>
      <c r="C18" s="8" t="s">
        <v>631</v>
      </c>
      <c r="D18" s="8" t="s">
        <v>626</v>
      </c>
      <c r="E18" s="8" t="s">
        <v>634</v>
      </c>
      <c r="F18" s="3"/>
      <c r="G18" s="3"/>
      <c r="H18" s="3"/>
      <c r="I18" s="3"/>
      <c r="J18" s="3"/>
      <c r="K18" s="3"/>
      <c r="L18" s="3"/>
    </row>
    <row r="19" ht="28" customHeight="1" spans="1:12">
      <c r="A19" s="8">
        <v>6</v>
      </c>
      <c r="B19" s="8" t="s">
        <v>635</v>
      </c>
      <c r="C19" s="8" t="s">
        <v>636</v>
      </c>
      <c r="D19" s="8" t="s">
        <v>626</v>
      </c>
      <c r="E19" s="8" t="s">
        <v>627</v>
      </c>
      <c r="F19" s="3"/>
      <c r="G19" s="3"/>
      <c r="H19" s="3"/>
      <c r="I19" s="3"/>
      <c r="J19" s="3"/>
      <c r="K19" s="3"/>
      <c r="L19" s="3"/>
    </row>
    <row r="20" ht="28" customHeight="1" spans="1:12">
      <c r="A20" s="8">
        <v>7</v>
      </c>
      <c r="B20" s="8" t="s">
        <v>637</v>
      </c>
      <c r="C20" s="8" t="s">
        <v>625</v>
      </c>
      <c r="D20" s="8" t="s">
        <v>626</v>
      </c>
      <c r="E20" s="8" t="s">
        <v>627</v>
      </c>
      <c r="F20" s="3"/>
      <c r="G20" s="3"/>
      <c r="H20" s="3"/>
      <c r="I20" s="3"/>
      <c r="J20" s="3"/>
      <c r="K20" s="3"/>
      <c r="L20" s="3"/>
    </row>
    <row r="21" ht="28" customHeight="1" spans="1:12">
      <c r="A21" s="8">
        <v>8</v>
      </c>
      <c r="B21" s="8" t="s">
        <v>638</v>
      </c>
      <c r="C21" s="8" t="s">
        <v>636</v>
      </c>
      <c r="D21" s="8" t="s">
        <v>626</v>
      </c>
      <c r="E21" s="8" t="s">
        <v>639</v>
      </c>
      <c r="F21" s="3"/>
      <c r="G21" s="3"/>
      <c r="H21" s="3"/>
      <c r="I21" s="3"/>
      <c r="J21" s="3"/>
      <c r="K21" s="3"/>
      <c r="L21" s="3"/>
    </row>
    <row r="22" ht="28" customHeight="1" spans="1:12">
      <c r="A22" s="8">
        <v>9</v>
      </c>
      <c r="B22" s="8" t="s">
        <v>640</v>
      </c>
      <c r="C22" s="8" t="s">
        <v>641</v>
      </c>
      <c r="D22" s="8" t="s">
        <v>626</v>
      </c>
      <c r="E22" s="8" t="s">
        <v>627</v>
      </c>
      <c r="F22" s="3"/>
      <c r="G22" s="3"/>
      <c r="H22" s="3"/>
      <c r="I22" s="3"/>
      <c r="J22" s="3"/>
      <c r="K22" s="3"/>
      <c r="L22" s="3"/>
    </row>
    <row r="23" ht="28" customHeight="1" spans="1:12">
      <c r="A23" s="8">
        <v>10</v>
      </c>
      <c r="B23" s="8" t="s">
        <v>642</v>
      </c>
      <c r="C23" s="8" t="s">
        <v>625</v>
      </c>
      <c r="D23" s="8" t="s">
        <v>626</v>
      </c>
      <c r="E23" s="8" t="s">
        <v>627</v>
      </c>
      <c r="F23" s="3"/>
      <c r="G23" s="3"/>
      <c r="H23" s="3"/>
      <c r="I23" s="3"/>
      <c r="J23" s="3"/>
      <c r="K23" s="3"/>
      <c r="L23" s="3"/>
    </row>
    <row r="24" ht="28" customHeight="1" spans="1:12">
      <c r="A24" s="8">
        <v>11</v>
      </c>
      <c r="B24" s="8" t="s">
        <v>643</v>
      </c>
      <c r="C24" s="8" t="s">
        <v>631</v>
      </c>
      <c r="D24" s="8" t="s">
        <v>626</v>
      </c>
      <c r="E24" s="8" t="s">
        <v>627</v>
      </c>
      <c r="F24" s="3"/>
      <c r="G24" s="3"/>
      <c r="H24" s="3"/>
      <c r="I24" s="3"/>
      <c r="J24" s="3"/>
      <c r="K24" s="3"/>
      <c r="L24" s="3"/>
    </row>
    <row r="25" ht="28" customHeight="1" spans="1:12">
      <c r="A25" s="8">
        <v>12</v>
      </c>
      <c r="B25" s="8" t="s">
        <v>644</v>
      </c>
      <c r="C25" s="8" t="s">
        <v>631</v>
      </c>
      <c r="D25" s="8" t="s">
        <v>626</v>
      </c>
      <c r="E25" s="8" t="s">
        <v>627</v>
      </c>
      <c r="F25" s="3"/>
      <c r="G25" s="3"/>
      <c r="H25" s="3"/>
      <c r="I25" s="3"/>
      <c r="J25" s="3"/>
      <c r="K25" s="3"/>
      <c r="L25" s="3"/>
    </row>
    <row r="26" ht="28" customHeight="1" spans="1:12">
      <c r="A26" s="8">
        <v>13</v>
      </c>
      <c r="B26" s="8" t="s">
        <v>645</v>
      </c>
      <c r="C26" s="8" t="s">
        <v>625</v>
      </c>
      <c r="D26" s="8" t="s">
        <v>626</v>
      </c>
      <c r="E26" s="8" t="s">
        <v>646</v>
      </c>
      <c r="F26" s="3"/>
      <c r="G26" s="3"/>
      <c r="H26" s="3"/>
      <c r="I26" s="3"/>
      <c r="J26" s="3"/>
      <c r="K26" s="3"/>
      <c r="L26" s="3"/>
    </row>
    <row r="27" ht="28" customHeight="1" spans="1:12">
      <c r="A27" s="8">
        <v>14</v>
      </c>
      <c r="B27" s="8" t="s">
        <v>647</v>
      </c>
      <c r="C27" s="8" t="s">
        <v>631</v>
      </c>
      <c r="D27" s="8" t="s">
        <v>626</v>
      </c>
      <c r="E27" s="8" t="s">
        <v>627</v>
      </c>
      <c r="F27" s="3"/>
      <c r="G27" s="3"/>
      <c r="H27" s="3"/>
      <c r="I27" s="3"/>
      <c r="J27" s="3"/>
      <c r="K27" s="3"/>
      <c r="L27" s="3"/>
    </row>
    <row r="28" ht="28" customHeight="1" spans="1:12">
      <c r="A28" s="8">
        <v>15</v>
      </c>
      <c r="B28" s="8" t="s">
        <v>648</v>
      </c>
      <c r="C28" s="8" t="s">
        <v>631</v>
      </c>
      <c r="D28" s="8" t="s">
        <v>626</v>
      </c>
      <c r="E28" s="8" t="s">
        <v>649</v>
      </c>
      <c r="F28" s="3"/>
      <c r="G28" s="3"/>
      <c r="H28" s="3"/>
      <c r="I28" s="3"/>
      <c r="J28" s="3"/>
      <c r="K28" s="3"/>
      <c r="L28" s="3"/>
    </row>
    <row r="29" ht="28" customHeight="1" spans="1:12">
      <c r="A29" s="8">
        <v>16</v>
      </c>
      <c r="B29" s="8" t="s">
        <v>472</v>
      </c>
      <c r="C29" s="8" t="s">
        <v>631</v>
      </c>
      <c r="D29" s="8" t="s">
        <v>650</v>
      </c>
      <c r="E29" s="8" t="s">
        <v>651</v>
      </c>
      <c r="F29" s="3"/>
      <c r="G29" s="3"/>
      <c r="H29" s="3"/>
      <c r="I29" s="3"/>
      <c r="J29" s="3"/>
      <c r="K29" s="3"/>
      <c r="L29" s="3"/>
    </row>
    <row r="30" ht="28" customHeight="1" spans="1:12">
      <c r="A30" s="8">
        <v>17</v>
      </c>
      <c r="B30" s="8" t="s">
        <v>652</v>
      </c>
      <c r="C30" s="8" t="s">
        <v>636</v>
      </c>
      <c r="D30" s="8" t="s">
        <v>650</v>
      </c>
      <c r="E30" s="8" t="s">
        <v>653</v>
      </c>
      <c r="F30" s="3"/>
      <c r="G30" s="3"/>
      <c r="H30" s="3"/>
      <c r="I30" s="3"/>
      <c r="J30" s="3"/>
      <c r="K30" s="3"/>
      <c r="L30" s="3"/>
    </row>
    <row r="31" ht="28" customHeight="1" spans="1:12">
      <c r="A31" s="8">
        <v>18</v>
      </c>
      <c r="B31" s="8" t="s">
        <v>654</v>
      </c>
      <c r="C31" s="8" t="s">
        <v>636</v>
      </c>
      <c r="D31" s="8" t="s">
        <v>650</v>
      </c>
      <c r="E31" s="8" t="s">
        <v>655</v>
      </c>
      <c r="F31" s="3"/>
      <c r="G31" s="3"/>
      <c r="H31" s="3"/>
      <c r="I31" s="3"/>
      <c r="J31" s="3"/>
      <c r="K31" s="3"/>
      <c r="L31" s="3"/>
    </row>
    <row r="32" ht="28" customHeight="1" spans="1:12">
      <c r="A32" s="8">
        <v>19</v>
      </c>
      <c r="B32" s="8" t="s">
        <v>656</v>
      </c>
      <c r="C32" s="8" t="s">
        <v>636</v>
      </c>
      <c r="D32" s="8" t="s">
        <v>650</v>
      </c>
      <c r="E32" s="8" t="s">
        <v>657</v>
      </c>
      <c r="F32" s="3"/>
      <c r="G32" s="3"/>
      <c r="H32" s="3"/>
      <c r="I32" s="3"/>
      <c r="J32" s="3"/>
      <c r="K32" s="3"/>
      <c r="L32" s="3"/>
    </row>
    <row r="33" ht="28" customHeight="1" spans="1:12">
      <c r="A33" s="8">
        <v>20</v>
      </c>
      <c r="B33" s="8" t="s">
        <v>491</v>
      </c>
      <c r="C33" s="8" t="s">
        <v>636</v>
      </c>
      <c r="D33" s="8" t="s">
        <v>650</v>
      </c>
      <c r="E33" s="8" t="s">
        <v>658</v>
      </c>
      <c r="F33" s="3"/>
      <c r="G33" s="3"/>
      <c r="H33" s="3"/>
      <c r="I33" s="3"/>
      <c r="J33" s="3"/>
      <c r="K33" s="3"/>
      <c r="L33" s="3"/>
    </row>
    <row r="34" ht="28" customHeight="1" spans="1:12">
      <c r="A34" s="8">
        <v>21</v>
      </c>
      <c r="B34" s="8" t="s">
        <v>494</v>
      </c>
      <c r="C34" s="8" t="s">
        <v>636</v>
      </c>
      <c r="D34" s="8" t="s">
        <v>650</v>
      </c>
      <c r="E34" s="8" t="s">
        <v>655</v>
      </c>
      <c r="F34" s="3"/>
      <c r="G34" s="3"/>
      <c r="H34" s="3"/>
      <c r="I34" s="3"/>
      <c r="J34" s="3"/>
      <c r="K34" s="3"/>
      <c r="L34" s="3"/>
    </row>
    <row r="35" ht="28" customHeight="1" spans="1:12">
      <c r="A35" s="8">
        <v>22</v>
      </c>
      <c r="B35" s="8" t="s">
        <v>500</v>
      </c>
      <c r="C35" s="8" t="s">
        <v>636</v>
      </c>
      <c r="D35" s="8" t="s">
        <v>659</v>
      </c>
      <c r="E35" s="8" t="s">
        <v>660</v>
      </c>
      <c r="F35" s="3"/>
      <c r="G35" s="3"/>
      <c r="H35" s="3"/>
      <c r="I35" s="3"/>
      <c r="J35" s="3"/>
      <c r="K35" s="3"/>
      <c r="L35" s="3"/>
    </row>
    <row r="36" ht="28" customHeight="1" spans="1:12">
      <c r="A36" s="8">
        <v>23</v>
      </c>
      <c r="B36" s="8" t="s">
        <v>661</v>
      </c>
      <c r="C36" s="8" t="s">
        <v>662</v>
      </c>
      <c r="D36" s="8" t="s">
        <v>659</v>
      </c>
      <c r="E36" s="8" t="s">
        <v>663</v>
      </c>
      <c r="F36" s="3"/>
      <c r="G36" s="3"/>
      <c r="H36" s="3"/>
      <c r="I36" s="3"/>
      <c r="J36" s="3"/>
      <c r="K36" s="3"/>
      <c r="L36" s="3"/>
    </row>
    <row r="37" ht="28" customHeight="1" spans="1:12">
      <c r="A37" s="8">
        <v>24</v>
      </c>
      <c r="B37" s="8" t="s">
        <v>664</v>
      </c>
      <c r="C37" s="8" t="s">
        <v>662</v>
      </c>
      <c r="D37" s="8" t="s">
        <v>659</v>
      </c>
      <c r="E37" s="8" t="s">
        <v>665</v>
      </c>
      <c r="F37" s="3"/>
      <c r="G37" s="3"/>
      <c r="H37" s="3"/>
      <c r="I37" s="3"/>
      <c r="J37" s="3"/>
      <c r="K37" s="3"/>
      <c r="L37" s="3"/>
    </row>
    <row r="38" spans="1:12">
      <c r="A38" s="3"/>
      <c r="B38" s="3"/>
      <c r="C38" s="3"/>
      <c r="D38" s="3"/>
      <c r="E38" s="3"/>
      <c r="F38" s="3"/>
      <c r="G38" s="3"/>
      <c r="H38" s="3"/>
      <c r="I38" s="3"/>
      <c r="J38" s="3"/>
      <c r="K38" s="3"/>
      <c r="L38" s="3"/>
    </row>
    <row r="39" ht="30" customHeight="1" spans="1:12">
      <c r="A39" s="4" t="s">
        <v>666</v>
      </c>
      <c r="B39" s="4"/>
      <c r="C39" s="4"/>
      <c r="D39" s="4"/>
      <c r="E39" s="4"/>
      <c r="F39" s="4"/>
      <c r="G39" s="4"/>
      <c r="H39" s="4"/>
      <c r="I39" s="4"/>
      <c r="J39" s="4"/>
      <c r="K39" s="4"/>
      <c r="L39" s="4"/>
    </row>
    <row r="40" ht="30" customHeight="1" spans="1:12">
      <c r="A40" s="5" t="s">
        <v>468</v>
      </c>
      <c r="B40" s="5" t="s">
        <v>667</v>
      </c>
      <c r="C40" s="5" t="s">
        <v>668</v>
      </c>
      <c r="D40" s="5" t="s">
        <v>669</v>
      </c>
      <c r="E40" s="5" t="s">
        <v>670</v>
      </c>
      <c r="F40" s="5" t="s">
        <v>31</v>
      </c>
      <c r="G40" s="5" t="s">
        <v>671</v>
      </c>
      <c r="H40" s="5" t="s">
        <v>672</v>
      </c>
      <c r="I40" s="5" t="s">
        <v>35</v>
      </c>
      <c r="J40" s="5" t="s">
        <v>673</v>
      </c>
      <c r="K40" s="5" t="s">
        <v>674</v>
      </c>
      <c r="L40" s="5" t="s">
        <v>675</v>
      </c>
    </row>
    <row r="41" ht="90" customHeight="1" spans="1:12">
      <c r="A41" s="8">
        <v>4</v>
      </c>
      <c r="B41" s="8" t="s">
        <v>676</v>
      </c>
      <c r="C41" s="8" t="s">
        <v>80</v>
      </c>
      <c r="D41" s="8" t="s">
        <v>53</v>
      </c>
      <c r="E41" s="8" t="s">
        <v>86</v>
      </c>
      <c r="F41" s="8" t="s">
        <v>677</v>
      </c>
      <c r="G41" s="8" t="s">
        <v>678</v>
      </c>
      <c r="H41" s="8" t="s">
        <v>679</v>
      </c>
      <c r="I41" s="9" t="s">
        <v>88</v>
      </c>
      <c r="J41" s="8" t="s">
        <v>680</v>
      </c>
      <c r="K41" s="8" t="s">
        <v>681</v>
      </c>
      <c r="L41" s="8" t="s">
        <v>682</v>
      </c>
    </row>
    <row r="42" ht="90" customHeight="1" spans="1:12">
      <c r="A42" s="10">
        <v>23</v>
      </c>
      <c r="B42" s="10" t="s">
        <v>683</v>
      </c>
      <c r="C42" s="10" t="s">
        <v>125</v>
      </c>
      <c r="D42" s="10" t="s">
        <v>53</v>
      </c>
      <c r="E42" s="10" t="s">
        <v>684</v>
      </c>
      <c r="F42" s="10" t="s">
        <v>685</v>
      </c>
      <c r="G42" s="10" t="s">
        <v>678</v>
      </c>
      <c r="H42" s="10" t="s">
        <v>686</v>
      </c>
      <c r="I42" s="11" t="s">
        <v>131</v>
      </c>
      <c r="J42" s="10" t="s">
        <v>687</v>
      </c>
      <c r="K42" s="10" t="s">
        <v>688</v>
      </c>
      <c r="L42" s="10" t="s">
        <v>682</v>
      </c>
    </row>
    <row r="43" ht="90" customHeight="1" spans="1:12">
      <c r="A43" s="8">
        <v>25</v>
      </c>
      <c r="B43" s="8" t="s">
        <v>689</v>
      </c>
      <c r="C43" s="8" t="s">
        <v>125</v>
      </c>
      <c r="D43" s="8" t="s">
        <v>53</v>
      </c>
      <c r="E43" s="8" t="s">
        <v>690</v>
      </c>
      <c r="F43" s="8" t="s">
        <v>677</v>
      </c>
      <c r="G43" s="8" t="s">
        <v>678</v>
      </c>
      <c r="H43" s="8" t="s">
        <v>686</v>
      </c>
      <c r="I43" s="9" t="s">
        <v>131</v>
      </c>
      <c r="J43" s="8" t="s">
        <v>691</v>
      </c>
      <c r="K43" s="8" t="s">
        <v>681</v>
      </c>
      <c r="L43" s="8" t="s">
        <v>682</v>
      </c>
    </row>
    <row r="44" ht="90" customHeight="1" spans="1:12">
      <c r="A44" s="10">
        <v>31</v>
      </c>
      <c r="B44" s="10" t="s">
        <v>683</v>
      </c>
      <c r="C44" s="10" t="s">
        <v>692</v>
      </c>
      <c r="D44" s="10" t="s">
        <v>53</v>
      </c>
      <c r="E44" s="10" t="s">
        <v>693</v>
      </c>
      <c r="F44" s="10" t="s">
        <v>694</v>
      </c>
      <c r="G44" s="10" t="s">
        <v>678</v>
      </c>
      <c r="H44" s="10" t="s">
        <v>70</v>
      </c>
      <c r="I44" s="11" t="s">
        <v>216</v>
      </c>
      <c r="J44" s="10" t="s">
        <v>695</v>
      </c>
      <c r="K44" s="10" t="s">
        <v>688</v>
      </c>
      <c r="L44" s="10" t="s">
        <v>682</v>
      </c>
    </row>
    <row r="45" ht="90" customHeight="1" spans="1:12">
      <c r="A45" s="8">
        <v>45</v>
      </c>
      <c r="B45" s="8" t="s">
        <v>689</v>
      </c>
      <c r="C45" s="8" t="s">
        <v>300</v>
      </c>
      <c r="D45" s="8" t="s">
        <v>53</v>
      </c>
      <c r="E45" s="8" t="s">
        <v>696</v>
      </c>
      <c r="F45" s="8" t="s">
        <v>677</v>
      </c>
      <c r="G45" s="8" t="s">
        <v>678</v>
      </c>
      <c r="H45" s="8" t="s">
        <v>70</v>
      </c>
      <c r="I45" s="9" t="s">
        <v>319</v>
      </c>
      <c r="J45" s="8" t="s">
        <v>697</v>
      </c>
      <c r="K45" s="8" t="s">
        <v>681</v>
      </c>
      <c r="L45" s="8" t="s">
        <v>682</v>
      </c>
    </row>
    <row r="46" ht="90" customHeight="1" spans="1:12">
      <c r="A46" s="10">
        <v>47</v>
      </c>
      <c r="B46" s="10" t="s">
        <v>683</v>
      </c>
      <c r="C46" s="10" t="s">
        <v>331</v>
      </c>
      <c r="D46" s="10" t="s">
        <v>53</v>
      </c>
      <c r="E46" s="10" t="s">
        <v>698</v>
      </c>
      <c r="F46" s="10" t="s">
        <v>699</v>
      </c>
      <c r="G46" s="10" t="s">
        <v>678</v>
      </c>
      <c r="H46" s="10" t="s">
        <v>59</v>
      </c>
      <c r="I46" s="11" t="s">
        <v>338</v>
      </c>
      <c r="J46" s="10" t="s">
        <v>700</v>
      </c>
      <c r="K46" s="10" t="s">
        <v>688</v>
      </c>
      <c r="L46" s="10" t="s">
        <v>682</v>
      </c>
    </row>
    <row r="47" ht="90" customHeight="1" spans="1:12">
      <c r="A47" s="8">
        <v>48</v>
      </c>
      <c r="B47" s="8" t="s">
        <v>689</v>
      </c>
      <c r="C47" s="8" t="s">
        <v>331</v>
      </c>
      <c r="D47" s="8" t="s">
        <v>53</v>
      </c>
      <c r="E47" s="8" t="s">
        <v>701</v>
      </c>
      <c r="F47" s="8" t="s">
        <v>702</v>
      </c>
      <c r="G47" s="8" t="s">
        <v>678</v>
      </c>
      <c r="H47" s="8" t="s">
        <v>686</v>
      </c>
      <c r="I47" s="9" t="s">
        <v>338</v>
      </c>
      <c r="J47" s="8" t="s">
        <v>703</v>
      </c>
      <c r="K47" s="8" t="s">
        <v>681</v>
      </c>
      <c r="L47" s="8" t="s">
        <v>682</v>
      </c>
    </row>
    <row r="48" spans="1:12">
      <c r="A48" s="3"/>
      <c r="B48" s="3"/>
      <c r="C48" s="3"/>
      <c r="D48" s="3"/>
      <c r="E48" s="3"/>
      <c r="F48" s="3"/>
      <c r="G48" s="3"/>
      <c r="H48" s="3"/>
      <c r="I48" s="3"/>
      <c r="J48" s="3"/>
      <c r="K48" s="3"/>
      <c r="L48" s="3"/>
    </row>
    <row r="49" ht="42" customHeight="1" spans="1:12">
      <c r="A49" s="12" t="s">
        <v>704</v>
      </c>
      <c r="B49" s="13"/>
      <c r="C49" s="13"/>
      <c r="D49" s="13"/>
      <c r="E49" s="13"/>
      <c r="F49" s="13"/>
      <c r="G49" s="13"/>
      <c r="H49" s="13"/>
      <c r="I49" s="13"/>
      <c r="J49" s="13"/>
      <c r="K49" s="13"/>
      <c r="L49" s="14"/>
    </row>
    <row r="50" ht="42" customHeight="1" spans="1:12">
      <c r="A50" s="15"/>
      <c r="B50" s="16"/>
      <c r="C50" s="16"/>
      <c r="D50" s="16"/>
      <c r="E50" s="16"/>
      <c r="F50" s="16"/>
      <c r="G50" s="16"/>
      <c r="H50" s="16"/>
      <c r="I50" s="16"/>
      <c r="J50" s="16"/>
      <c r="K50" s="16"/>
      <c r="L50" s="17"/>
    </row>
  </sheetData>
  <mergeCells count="6">
    <mergeCell ref="A1:L1"/>
    <mergeCell ref="A2:L2"/>
    <mergeCell ref="A4:L4"/>
    <mergeCell ref="A12:L12"/>
    <mergeCell ref="A39:L39"/>
    <mergeCell ref="A49:L50"/>
  </mergeCells>
  <conditionalFormatting sqref="A14:E37">
    <cfRule type="expression" dxfId="0" priority="1">
      <formula>MOD(ROW(),2)=0</formula>
    </cfRule>
  </conditionalFormatting>
  <conditionalFormatting sqref="A41:L47">
    <cfRule type="expression" dxfId="0" priority="2">
      <formula>MOD(ROW(),2)=1</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11</vt:i4>
      </vt:variant>
    </vt:vector>
  </HeadingPairs>
  <TitlesOfParts>
    <vt:vector size="11" baseType="lpstr">
      <vt:lpstr>说明与结论</vt:lpstr>
      <vt:lpstr>有效舆情明细</vt:lpstr>
      <vt:lpstr>官方实施信息</vt:lpstr>
      <vt:lpstr>公众意见汇总</vt:lpstr>
      <vt:lpstr>排除记录</vt:lpstr>
      <vt:lpstr>人工补查入口</vt:lpstr>
      <vt:lpstr>检索日志</vt:lpstr>
      <vt:lpstr>扁平化数据</vt:lpstr>
      <vt:lpstr>议题标签</vt:lpstr>
      <vt:lpstr>核验依据</vt:lpstr>
      <vt:lpstr>统计与专项复核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2026-08-11T06:00:30Z</dcterms:created>
  <dcterms:modified xsi:type="dcterms:W3CDTF">2026-08-11T06:00:46Z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57048F9735EC4003BD67FD9CC1847581_13</vt:lpwstr>
  </property>
  <property fmtid="{D5CDD505-2E9C-101B-9397-08002B2CF9AE}" pid="3" name="KSOProductBuildVer">
    <vt:lpwstr>2052-12.1.0.28043</vt:lpwstr>
  </property>
  <property fmtid="{D5CDD505-2E9C-101B-9397-08002B2CF9AE}" pid="4" name="CalculationRule">
    <vt:i4>0</vt:i4>
  </property>
</Properties>
</file>