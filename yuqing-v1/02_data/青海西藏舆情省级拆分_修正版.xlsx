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bookViews>
  <sheets>
    <sheet name="有效舆情明细表" sheetId="1" r:id="rId1"/>
    <sheet name="官方舆论汇总" sheetId="2" r:id="rId2"/>
    <sheet name="公众意见汇总" sheetId="3" r:id="rId3"/>
    <sheet name="排除记录" sheetId="4" r:id="rId4"/>
    <sheet name="人工补查入口及结果" sheetId="5" r:id="rId5"/>
    <sheet name="扁平化数据（青海）" sheetId="6" r:id="rId6"/>
    <sheet name="扁平化数据（西藏）"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<sst xmlns="http://schemas.openxmlformats.org/spreadsheetml/2006/main" count="895" uniqueCount="474">
  <si>
    <t>发布日期</t>
  </si>
  <si>
    <t>采集来源</t>
  </si>
  <si>
    <t>平台或网站</t>
  </si>
  <si>
    <t>账号或栏目名称</t>
  </si>
  <si>
    <t>来源类型</t>
  </si>
  <si>
    <t>地区大类</t>
  </si>
  <si>
    <t>涉及地区</t>
  </si>
  <si>
    <t>行政层级</t>
  </si>
  <si>
    <t>标题或话题</t>
  </si>
  <si>
    <t>原文证据摘录</t>
  </si>
  <si>
    <t>客观摘要</t>
  </si>
  <si>
    <t>原始链接</t>
  </si>
  <si>
    <t>关联度</t>
  </si>
  <si>
    <t>意见类型</t>
  </si>
  <si>
    <t>具体议题</t>
  </si>
  <si>
    <t>中新网青海</t>
  </si>
  <si>
    <t>中国新闻网</t>
  </si>
  <si>
    <t>中新网青海频道</t>
  </si>
  <si>
    <t>媒体报道</t>
  </si>
  <si>
    <t>青海</t>
  </si>
  <si>
    <t>青海省、果洛藏族自治州</t>
  </si>
  <si>
    <t>省级、州级</t>
  </si>
  <si>
    <t>青海：16 项举措推动民族团结进步促进法落地落实</t>
  </si>
  <si>
    <t>中共青海省委铸牢中华民族共同体意识暨青海省民族团结进步事业工作领导小组办公室印发《关于学习宣传贯彻〈中华人民共和国民族团结进步促进法〉工作方案》，统筹推出 16 项具体工作举措</t>
  </si>
  <si>
    <t>青海省委相关部门印发省级工作方案，从宣传阐释研究、对标贯彻落实、统筹凝聚合力三个维度系统推进该法落地；果洛州同步开展基层民众宣讲活动</t>
  </si>
  <si>
    <t>http://www.qh.chinanews.com.cn/mzzs/news/2026/0701/145476.html</t>
  </si>
  <si>
    <t>A 类</t>
  </si>
  <si>
    <t>官方政策信息</t>
  </si>
  <si>
    <t>地方实施方案</t>
  </si>
  <si>
    <t>国家民族事务委员会</t>
  </si>
  <si>
    <t>国家民委官网</t>
  </si>
  <si>
    <t>新闻中心</t>
  </si>
  <si>
    <t>官方实施信息</t>
  </si>
  <si>
    <t>西藏</t>
  </si>
  <si>
    <t>西藏自治区</t>
  </si>
  <si>
    <t>省级</t>
  </si>
  <si>
    <t>西藏部署 20 项举措，全方位推进民族团结进步促进法落地落实</t>
  </si>
  <si>
    <t>西藏自治区印发《关于学习宣传贯彻〈中华人民共和国民族团结进步促进法〉的工作方案》，系统部署 20 项具体任务</t>
  </si>
  <si>
    <t>西藏自治区出台工作方案，将该法纳入 “九五” 普法内容，覆盖干部学习、基层宣讲、法治体系建设等 20 项任务，推动法律在雪域高原落地</t>
  </si>
  <si>
    <t>https://www.neac.gov.cn/seac/xwzx/202607/1192192.shtml</t>
  </si>
  <si>
    <t>中新网（繁体频道）</t>
  </si>
  <si>
    <t>时政新闻</t>
  </si>
  <si>
    <t>青海省西宁市</t>
  </si>
  <si>
    <t>青海开展《中华人民共和国民族团结进步促进法》集中宣传</t>
  </si>
  <si>
    <t>7 月 1 日，青海省、西宁市、城西区统战民宗部门联合举办该法集中宣传暨促进各民族交往交流交融主题活动</t>
  </si>
  <si>
    <t>法律施行当日，青海省市县三级联合在西宁新宁广场开展集中宣传，融合普法宣讲、非遗产品展销、趣味学法互动、成果展示等多元形式</t>
  </si>
  <si>
    <t>http://m.chinanews.com/wap/detail/cht/zw/10650990.shtml</t>
  </si>
  <si>
    <t>主题宣传活动</t>
  </si>
  <si>
    <t>新华网西藏</t>
  </si>
  <si>
    <t>新华网</t>
  </si>
  <si>
    <t>西藏频道</t>
  </si>
  <si>
    <t>让民族团结进步促进法在雪域高原落地生根</t>
  </si>
  <si>
    <t>将以民族团结进步促进法为核心，以《西藏自治区民族团结进步模范区创建条例》为基础，加快构建 “国家法律 + 自治区条例 + 配套法规” 的立体化法治体系</t>
  </si>
  <si>
    <t>西藏自治区人大常委会召开学习贯彻座谈会，提出统筹民族领域法规 “立改废释”，完善本地配套法治体系，保障法治统一衔接顺畅</t>
  </si>
  <si>
    <t>http://www.xz.xinhuanet.com/20260702/f4b40dd0e2c94f5d80e468434f7ee47e/c.html</t>
  </si>
  <si>
    <t>地方法治体系建设</t>
  </si>
  <si>
    <t>国内新闻</t>
  </si>
  <si>
    <t>青海省</t>
  </si>
  <si>
    <t>青海：用好民族团结进步促进法 守护 “生命树、团结树、幸福树”</t>
  </si>
  <si>
    <t>贯彻落实民族团结进步促进法，就是用法治守护青海大地上生态根基的 “生命树”，各族民众手足相亲的 “团结树”，生态惠民的 “幸福树”</t>
  </si>
  <si>
    <t>青海省召开专题新闻发布会，省委统战部、省民宗委等部门介绍法律贯彻思路，提出实现 “五个新跃升”、打造铸牢中华民族共同体意识 “青海样板” 的目标</t>
  </si>
  <si>
    <t>http://www.chinanews.com.cn/txy/2026-07-02/10651435.shtml</t>
  </si>
  <si>
    <t>省级新闻发布</t>
  </si>
  <si>
    <t>澎湃新闻</t>
  </si>
  <si>
    <t>玉树发布（中共玉树州委宣传部官方账号）</t>
  </si>
  <si>
    <t>玉树藏族自治州</t>
  </si>
  <si>
    <t>州级</t>
  </si>
  <si>
    <t>玉树州检察机关促进民族团结进步法律监督十项措施</t>
  </si>
  <si>
    <t>常态化开展《中华人民共和国民族团结进步促进法》普法 “七进” 活动；本措施自 2026 年 7 月 1 日起施行</t>
  </si>
  <si>
    <t>玉树藏族自治州属于青海省；玉树州检察机关出台专项法律监督措施，涵盖重点领域监督、双语普法、未成年人司法守护、长效机制建设等十项内容，与法律同步施行</t>
  </si>
  <si>
    <t>https://m.thepaper.cn/newsDetail_forward_33504935</t>
  </si>
  <si>
    <t>部门落实细则</t>
  </si>
  <si>
    <t>中共中央统一战线工作部</t>
  </si>
  <si>
    <t>中央统战部官网</t>
  </si>
  <si>
    <t>媒体转载</t>
  </si>
  <si>
    <t>青海以 “五个新跃升” 推动民族团结进步促进法落地见效</t>
  </si>
  <si>
    <t>全省统筹部署多项实招硬招，全力推动法律精神在青海落地生根、开花结果</t>
  </si>
  <si>
    <t>转载青海日报报道，系统介绍青海贯彻该法的工作部署，明确在体制机制、精神家园、交往交融、共同富裕、法治体系五个方面实现跃升</t>
  </si>
  <si>
    <t>https://www.zytzb.gov.cn/zytzb/2026-07/03/article_15409.shtml</t>
  </si>
  <si>
    <t>工作部署解读</t>
  </si>
  <si>
    <t>理论专栏</t>
  </si>
  <si>
    <t>全国（含青藏地区）</t>
  </si>
  <si>
    <t>国家级</t>
  </si>
  <si>
    <t>深入学习贯彻民族团结进步促进法 谱写新时代民族团结进步事业新篇章</t>
  </si>
  <si>
    <t>该法自 2026 年 7 月 1 日起施行，标志着民族事务迈入依法治理、依法保障、依法推进的新阶段</t>
  </si>
  <si>
    <t>国家级权威理论解读文章，系统阐释法律的立法意义、核心要义与实施路径，为青藏等民族地区落实工作提供指导</t>
  </si>
  <si>
    <t>https://www.neac.gov.cn/seac/c103533/202607/1192348.shtml</t>
  </si>
  <si>
    <t>政策理论解读</t>
  </si>
  <si>
    <t>今日头条</t>
  </si>
  <si>
    <t>中国网官方账号</t>
  </si>
  <si>
    <t>个人原创观点</t>
  </si>
  <si>
    <t>从 “心的认同” 到 “法的规则”: 西藏学者的田野观察与法治思考</t>
  </si>
  <si>
    <t>民族团结不是抽象的理念，这部法律将日常生活中的互助经验上升为国家意志、转化为法治保障</t>
  </si>
  <si>
    <t>西藏社科院人类学学者结合高原田野调查经验，从学术视角解读法律的社会价值，认为其实现了从情感认同到制度保障的升维</t>
  </si>
  <si>
    <t>http://m.toutiao.com/group/7660516728694358528/</t>
  </si>
  <si>
    <t>支持认可</t>
  </si>
  <si>
    <t>学术解读与社会价值分析</t>
  </si>
  <si>
    <t>青海新闻网官方账号</t>
  </si>
  <si>
    <t>海北藏族自治州、海南藏族自治州</t>
  </si>
  <si>
    <t>全国人大常委会副委员长雪克来提・扎克尔率调研组来青开展专题调研</t>
  </si>
  <si>
    <t>调研组深入海北、海南等地，以多种形式宣传解读民族团结进步促进法</t>
  </si>
  <si>
    <t>海北藏族自治州、海南藏族自治州均属于青海省；全国人大调研组赴青海海北、海南州调研民族团结创建工作，同步开展法律宣讲，指导基层依法推进民族工作</t>
  </si>
  <si>
    <t>http://m.toutiao.com/group/7663302395752989184/</t>
  </si>
  <si>
    <t>调研督导与基层宣讲</t>
  </si>
  <si>
    <t>海东市互助土族自治县</t>
  </si>
  <si>
    <t>县级</t>
  </si>
  <si>
    <t>班彦十年蝶变团结答卷亮相国新办</t>
  </si>
  <si>
    <t>今年是《中华人民共和国民族团结进步促进法》施行第一年，法律的施行让民族团结工作有了硬标尺，基层干事底气更足</t>
  </si>
  <si>
    <t>互助县班彦村基层代表在国新办活动中表态，该法为基层民族团结工作提供明确法治依据，当地将开展 “庭院释法”、纳入村规民约</t>
  </si>
  <si>
    <t>http://m.toutiao.com/group/7664090977057686022/</t>
  </si>
  <si>
    <t>基层落实感受与实践计划</t>
  </si>
  <si>
    <t>光明网官方账号</t>
  </si>
  <si>
    <t>全面贯彻新时代党的治藏方略奋力推进 “十五五” 时期西藏现代化建设</t>
  </si>
  <si>
    <t>要抓好民族团结进步促进法贯彻实施，提高依法治理民族事务能力和水平，推动所有发展赋予民族团结进步的意义</t>
  </si>
  <si>
    <t>中央领导赴西藏调研时明确要求，将该法贯彻实施作为治藏稳藏的重要法治抓手，融入西藏发展稳定全局</t>
  </si>
  <si>
    <t>http://m.toutiao.com/group/7665476909098091048/</t>
  </si>
  <si>
    <t>高层工作部署</t>
  </si>
  <si>
    <t>新闻动态列表</t>
  </si>
  <si>
    <t>西藏自治区拉萨市</t>
  </si>
  <si>
    <t>国家民委民族团结进步促进法示范宣讲在西藏拉萨举行</t>
  </si>
  <si>
    <t>国家民委宣讲团赴拉萨开展示范宣讲，推动该法学习宣传走深走实</t>
  </si>
  <si>
    <t>仅检索到列表标题，无全文详情，需人工核验具体宣讲内容、覆盖范围与参与情况</t>
  </si>
  <si>
    <t>https://www.neac.gov.cn/seac/c103759/list_article1782787310289.shtml</t>
  </si>
  <si>
    <t>省级示范宣讲</t>
  </si>
  <si>
    <t>地区</t>
  </si>
  <si>
    <t>发布部门</t>
  </si>
  <si>
    <t>文件或活动名称</t>
  </si>
  <si>
    <t>主要实施内容</t>
  </si>
  <si>
    <t>是否包含意见征集、群众留言或公开答复</t>
  </si>
  <si>
    <t>省委铸牢中华民族共同体意识工作领导小组办公室</t>
  </si>
  <si>
    <t>《关于学习宣传贯彻〈中华人民共和国民族团结进步促进法〉工作方案》</t>
  </si>
  <si>
    <t>2026-06-30（发布），2026-07-01 公开报道</t>
  </si>
  <si>
    <t>推出 16 项举措，涵盖法治宣传 “十进”、干部教育培训、宣讲团建设、法规立改废释、配套政策制定等</t>
  </si>
  <si>
    <t>否</t>
  </si>
  <si>
    <t>省委统战部、省民族宗教事务委员会</t>
  </si>
  <si>
    <t>学习宣传贯彻《中华人民共和国民族团结进步促进法》新闻发布会</t>
  </si>
  <si>
    <t>提出 “五个新跃升” 工作目标，明确打造铸牢中华民族共同体意识 “青海样板” 的实施路径</t>
  </si>
  <si>
    <t>有（多集中于答记者问）</t>
  </si>
  <si>
    <t>自治区党委相关部门</t>
  </si>
  <si>
    <t>《关于学习宣传贯彻〈中华人民共和国民族团结进步促进法〉的工作方案》</t>
  </si>
  <si>
    <t>部署 20 项具体任务，纳入 “九五” 普法，覆盖中心组学习、党校教学、基层宣讲、模范区创建等</t>
  </si>
  <si>
    <t>自治区人大常委会</t>
  </si>
  <si>
    <t>学习宣传贯彻民族团结进步促进法座谈会</t>
  </si>
  <si>
    <t>2026-06-30（召开），2026-07-02 公开报道</t>
  </si>
  <si>
    <t>提出构建 “国家法律 + 自治区条例 + 配套法规” 立体化法治体系，统筹法规立改废释</t>
  </si>
  <si>
    <t>州人民检察院</t>
  </si>
  <si>
    <t>《玉树州检察机关促进民族团结进步法律监督十项措施》</t>
  </si>
  <si>
    <t>包含重点领域法律监督、双语普法 “七进”、未成年人司法守护、长效履职机制等内容，7 月 1 日同步施行</t>
  </si>
  <si>
    <t>省、市、区三级统战民宗部门</t>
  </si>
  <si>
    <t>“法治护航聚同心 民族团结促发展” 集中宣传主题活动</t>
  </si>
  <si>
    <t>开展普法宣讲、互动问答、非遗展销、成果展示等现场活动，面向市民普及法律内容</t>
  </si>
  <si>
    <t>互助土族自治县五十镇班彦村</t>
  </si>
  <si>
    <t>基层村委会</t>
  </si>
  <si>
    <t>“庭院释法”、村规民约融入法律内容</t>
  </si>
  <si>
    <t>2026-07-19 公开报道</t>
  </si>
  <si>
    <t>将法律条款纳入村规民约，依托感恩教育阵地开展基层普法，搭建跨村互助产业平台</t>
  </si>
  <si>
    <t>青藏地区公众意见汇总（按信息来源地区统计，青海、西藏分开）</t>
  </si>
  <si>
    <t>类别</t>
  </si>
  <si>
    <t>数量</t>
  </si>
  <si>
    <t>地区总计数</t>
  </si>
  <si>
    <r>
      <rPr>
        <b/>
        <sz val="1400"/>
        <color rgb="FF000000"/>
        <rFont val="宋体"/>
        <charset val="134"/>
      </rPr>
      <t>青海</t>
    </r>
    <r>
      <rPr>
        <b/>
        <sz val="1100"/>
        <color rgb="FF000000"/>
        <rFont val="宋体"/>
        <charset val="134"/>
      </rPr>
      <t>省有效公众意见总数</t>
    </r>
  </si>
  <si>
    <r>
      <rPr>
        <b/>
        <sz val="1400"/>
        <color rgb="FF000000"/>
        <rFont val="宋体"/>
        <charset val="134"/>
      </rPr>
      <t>西藏</t>
    </r>
    <r>
      <rPr>
        <b/>
        <sz val="1100"/>
        <color rgb="FF000000"/>
        <rFont val="宋体"/>
        <charset val="134"/>
      </rPr>
      <t>自治区有效公众意见总数</t>
    </r>
  </si>
  <si>
    <t>咨询疑问</t>
  </si>
  <si>
    <t>担忧影响</t>
  </si>
  <si>
    <t>明确批评</t>
  </si>
  <si>
    <t>投诉维权</t>
  </si>
  <si>
    <t>实施问题</t>
  </si>
  <si>
    <t>公平争议</t>
  </si>
  <si>
    <t>待核实信息</t>
  </si>
  <si>
    <t>全国/非青藏平台补充</t>
  </si>
  <si>
    <t>58</t>
  </si>
  <si>
    <t>不计入青藏地区统计；微博全国来源13、小红书22、知乎3、B站全国/地区不明7、百度贴吧13，共58条。</t>
  </si>
  <si>
    <t>全平台去重后公众意见</t>
  </si>
  <si>
    <t>固定统计口径：全平台去重后306条=青藏248+全国/非青藏58。青藏248条构成：微博19+抖音20+快手15+B站8+微信公众号/视频号184+具名青藏观点2；态度为支持247、担忧1。另补查发现青海抖音支持认可16条，作为补充发现单列，暂不纳入原248条及地区总量1294条固定统计口径。</t>
  </si>
  <si>
    <t>主要争议问题</t>
  </si>
  <si>
    <t>问题</t>
  </si>
  <si>
    <t>代表来源</t>
  </si>
  <si>
    <t>说明</t>
  </si>
  <si>
    <t>学习培训与宣传覆盖</t>
  </si>
  <si>
    <t>https://www.xzdw.gov.cn/xwzx/qnyw/202607/t20260722_685540.html</t>
  </si>
  <si>
    <t>官方公开信息中最常见，涉及干部培训、宣讲覆盖和专题学习</t>
  </si>
  <si>
    <t>法律施行与总体解读</t>
  </si>
  <si>
    <t>https://mzw.qinghai.gov.cn/index.php/qhyw/5075.html</t>
  </si>
  <si>
    <t>新闻发布会、媒体解读法律定位和制度逻辑</t>
  </si>
  <si>
    <t>基层普法与群众参与</t>
  </si>
  <si>
    <t>http://www.qinghai.gov.cn/zwgk/system/2026/07/03/030103038.shtml</t>
  </si>
  <si>
    <t>集中宣传日、法律进校园等具体活动</t>
  </si>
  <si>
    <t>基层执行与依法履职</t>
  </si>
  <si>
    <t>https://www.zytzb.gov.cn</t>
  </si>
  <si>
    <t>基层干部谈法律实施感受和依法履职</t>
  </si>
  <si>
    <t>地方法规衔接与执行机制</t>
  </si>
  <si>
    <t>https://mw.xizang.gov.cn</t>
  </si>
  <si>
    <t>西藏20项举措、青海条例修订等</t>
  </si>
  <si>
    <t>青少年交往交流交融</t>
  </si>
  <si>
    <t>https://www.qh.chinanews.com.cn</t>
  </si>
  <si>
    <t>果洛西宁民族中学主题活动</t>
  </si>
  <si>
    <t>高频关注问题及来源本次检索周期内，公开可查的讨论以正面解读与落实展望为主，核心关注方向如下：
 法律对基层民族工作的支撑作用 核心观点：法律为基层民族团结工作提供了明确的 “硬标尺”，提升了基层开展工作的法治底气 来源链接：http://m.toutiao.com/group/7664090977057686022/ 
法律的社会价值与本土适配性 核心观点：法律将高原民族地区日常互助的生活经验上升为国家法治保障，实现了从情感认同到制度规范的升维 来源链接：http://m.toutiao.com/group/7660516728694358528/ 
地方配套法治体系的完善方向 核心观点：需以国家法律为核心，结合本地已有条例构建立体化法治体系，做好法规衔接与立改废释 来源链接：http://www.xz.xinhuanet.com/20260702/f4b40dd0e2c94f5d80e468434f7ee47e/c.html</t>
  </si>
  <si>
    <t>详细争议内容出处放在sheet：人工补查入口及结果栏</t>
  </si>
  <si>
    <t>序号</t>
  </si>
  <si>
    <t>内容标题 / 简述</t>
  </si>
  <si>
    <t>排除原因</t>
  </si>
  <si>
    <t>青海省委常委、统战部部长班果赴玉树州宣讲民族团结进步促进法</t>
  </si>
  <si>
    <t>发布时间为2026年6月30日，不在本次2026年7月1日00:00—8月5日23:59（北京时间）的监测范围内</t>
  </si>
  <si>
    <t>《中华人民共和国民族团结进步促进法》法律全文（中央统战部、人民日报等发布）</t>
  </si>
  <si>
    <t>发布时间为 2026 年 3 月，早于施行时间，不属于本次回溯的实施后舆情</t>
  </si>
  <si>
    <t>海西蒙古族藏族自治州促进民族团结进步条例</t>
  </si>
  <si>
    <t>为 2023 年施行的地方性法规，与本次 7 月 1 日施行的国家法律无直接关联，属于一般民族议题</t>
  </si>
  <si>
    <t>黄南州人大常委会副主任谈民族团结进步法治建设</t>
  </si>
  <si>
    <t>发布时间为 2025 年 12 月 31 日，不在本次时间范围内，且未提及 7 月 1 日施行的国家法律</t>
  </si>
  <si>
    <t>互助土族自治县政府官网刊载的《中华人民共和国民族团结进步促进法》</t>
  </si>
  <si>
    <t>发布时间为 2026 年 6 月 5 日，属于施行前的法律刊载，不在本次时间范围</t>
  </si>
  <si>
    <t>全国两会代表委员热议民族团结进步促进法表决通过</t>
  </si>
  <si>
    <t>发布时间为 2026 年 3 月，为立法通过阶段内容，不属于施行后舆情</t>
  </si>
  <si>
    <t>果洛、玉树、海南、海北等自治州官网首页通用内容</t>
  </si>
  <si>
    <t>检索范围内未发现上述州官网在 7 月 1 日后发布的与该法直接相关的独立文件或报道，仅在省级通稿中被提及</t>
  </si>
  <si>
    <t>化隆、循化、河南蒙古族、门源、大通、民和等自治县相关搜索结果</t>
  </si>
  <si>
    <t>未检索到上述县级行政区在指定时间内发布的与该法直接相关的公开内容</t>
  </si>
  <si>
    <t>“民族团结进步法怎么落地？看这3招”科普与询问栏目及其部分疑问咨询的评论2条</t>
  </si>
  <si>
    <t>发布时间早于7月1日时间范围，此外，符合时间范围内的评论已计入</t>
  </si>
  <si>
    <t>“反对民族歧视”一贴下评论区关于民族政策争议的反对言论，担忧影响5条</t>
  </si>
  <si>
    <t>与本法律本身和青藏地区舆情无关</t>
  </si>
  <si>
    <t>小红书、百度贴吧平台内部分言论，如贴《为何多势力对民族团结促进法百般抵触》；
《民族团结加分政策》等发布贴及其争议性评论区发言；
共计约5条公平争议类发言</t>
  </si>
  <si>
    <t>与法律本身和青藏地区舆情无关</t>
  </si>
  <si>
    <t>拜城溶媒康其站视频内容中 对于该法律的问答解惑，视频中有提及“疑问提出”</t>
  </si>
  <si>
    <t>该账号为新疆发表，与青藏地区无关</t>
  </si>
  <si>
    <t>抖音平台内，相关账号和评论区，涉及民族对立问题公平争议问题约10条</t>
  </si>
  <si>
    <t>法治和田公众号内容相关评论区言论</t>
  </si>
  <si>
    <t>全国/非青藏平台公众意见58条</t>
  </si>
  <si>
    <t>保留为全国平台补充，不计入青藏地区统计：微博13、小红书22、知乎3、B站7、百度贴吧13。</t>
  </si>
  <si>
    <t>B站“公平争议+咨询疑问”同一条记录</t>
  </si>
  <si>
    <t>同一公众意见只能归一个主态度，最终归为“公平争议”，不再在咨询疑问中重复计数。</t>
  </si>
  <si>
    <t>快手数量口径修正</t>
  </si>
  <si>
    <t>人工补查文字已明确采集15条且均来自青藏相关账号，原“支持认可10条”为旧数字，已同步修正为15条。</t>
  </si>
  <si>
    <t>一、公共社交平台</t>
  </si>
  <si>
    <t>平台或账号</t>
  </si>
  <si>
    <t>无法自动获取的原因</t>
  </si>
  <si>
    <t>建议人工搜索的关键词</t>
  </si>
  <si>
    <t>需要重点查看的位置</t>
  </si>
  <si>
    <t>当前人工补查情况</t>
  </si>
  <si>
    <t>数量统计</t>
  </si>
  <si>
    <t>非支持态度复核</t>
  </si>
  <si>
    <t>是否计入青海、西藏地区最终统计（及数量）</t>
  </si>
  <si>
    <r>
      <rPr>
        <sz val="1100"/>
        <color theme="1"/>
        <rFont val="Calibri"/>
        <charset val="134"/>
        <scheme val="minor"/>
      </rPr>
      <t>微博（</t>
    </r>
    <r>
      <rPr>
        <sz val="1100"/>
        <color theme="1"/>
        <rFont val="Calibri"/>
        <charset val="134"/>
        <scheme val="minor"/>
      </rPr>
      <t>weibo.com</t>
    </r>
    <r>
      <rPr>
        <sz val="1100"/>
        <color theme="1"/>
        <rFont val="Calibri"/>
        <charset val="134"/>
        <scheme val="minor"/>
      </rPr>
      <t>、</t>
    </r>
    <r>
      <rPr>
        <sz val="1100"/>
        <color theme="1"/>
        <rFont val="Calibri"/>
        <charset val="134"/>
        <scheme val="minor"/>
      </rPr>
      <t>s.weibo.com</t>
    </r>
    <r>
      <rPr>
        <sz val="1100"/>
        <color theme="1"/>
        <rFont val="Calibri"/>
        <charset val="134"/>
        <scheme val="minor"/>
      </rPr>
      <t>）</t>
    </r>
  </si>
  <si>
    <t>需登录后才能查看完整搜索结果、评论区与转发内容，网页端检索受限</t>
  </si>
  <si>
    <t>民族团结进步促进法 青海；民族团结法 西藏；民族团结法 形式主义；民族团结法 一刀切</t>
  </si>
  <si>
    <t>热搜话题、超话讨论、普通用户原创微博、评论区、转发语</t>
  </si>
  <si>
    <t xml:space="preserve">青海正能量热搜榜专栏推动核心看点，青海账号发言及评论区表态5条；
如“民族团结进步促进法，是观察西藏人权进步的关键窗口”“民族团结进步促进法正式实施，赋能西藏模范区创建”“塔恰拉木社区宣讲中国人民共和国民族团结进步促进法”，西藏账号发言及评论区表态14条
全国性账号新华社、中国网、中国新闻网，其发布话题及评论区言论以支持态度言论为主要意见，搜集13条。
</t>
  </si>
  <si>
    <t>支持认可32条（青藏19条；全国性来源13条）</t>
  </si>
  <si>
    <t>未检出可确认的非支持态度</t>
  </si>
  <si>
    <t>部分计入：
青海5条，西藏14条；全国13条不计</t>
  </si>
  <si>
    <t>微博32条已按信息来源拆分，地区统计只计青海/西藏本地账号或本地来源19条。</t>
  </si>
  <si>
    <t>抖音（douyin.com）</t>
  </si>
  <si>
    <t>网页端仅展示少量推荐内容，完整搜索、评论、弹幕需客户端登录</t>
  </si>
  <si>
    <t>民族团结进步促进法 青海；民族团结法 西藏；7 月 1 日 民族团结法</t>
  </si>
  <si>
    <t>视频字幕、评论区、弹幕、相关话题合集</t>
  </si>
  <si>
    <t>西藏地区：西藏广播电视台、青春昌都等发布，如《西藏自治区民族团结进步模范区创建条例》；评论区言论为支持，共采集20条。
青海地区：青海法治报、青海新闻综合广播发布“深入贯彻《民族团结进步促进法》”开创治理新局面，共采集16条。</t>
  </si>
  <si>
    <t>支持认可36条（原固定样本20条；青海补充发现16条）</t>
  </si>
  <si>
    <t>固定统计口径计入：西藏20条；青海补充发现16条暂不计入原248条固定地区统计</t>
  </si>
  <si>
    <t>本次补查共发现36条支持认可，其中西藏20条属于原固定样本；青海16条为后续补查新增样本，单列为“补充发现”，暂不并入原青藏248条及地区总量1294条。</t>
  </si>
  <si>
    <t>快手（kuaishou.com）</t>
  </si>
  <si>
    <t>网页端功能受限，完整内容需客户端访问</t>
  </si>
  <si>
    <t>民族团结进步促进法 青藏；民族团结法 基层落实</t>
  </si>
  <si>
    <t>视频评论、直播回放、话题标签内容</t>
  </si>
  <si>
    <t>西藏地区：民族团结进步促进法话题标签内容采集13条，如西藏文旅、西藏日报
青海地区：青海石榴籽家园，2条
均为支持</t>
  </si>
  <si>
    <t>支持认可15条</t>
  </si>
  <si>
    <t>是：西藏13条，青海2条</t>
  </si>
  <si>
    <t>已复核账号包括西藏文旅、西藏日报、青海石榴籽家园等青藏来源，按15条计。</t>
  </si>
  <si>
    <t>小红书（xiaohongshu.com）</t>
  </si>
  <si>
    <t>站点封禁，无法通过网页检索内容</t>
  </si>
  <si>
    <t>民族团结进步促进法 青海；民族团结法 解读</t>
  </si>
  <si>
    <t>笔记正文、评论区、收藏合集</t>
  </si>
  <si>
    <t>多账号发布立法宣传贴；言论内容呼吁加强对境外势力和不法势力的打击，遏制煽动民族分裂、挑拨对立等不法行为，支持态度，采集约14条，与青藏地区账号和主题无关联；
以“民族团结”“藏族”“汉族”等关键词为中心的内容搜索，有提及对该理念的争议行为。</t>
  </si>
  <si>
    <t>支持认可14条
公平争议7条
咨询疑问1条</t>
  </si>
  <si>
    <t>《为何多势力对民族团结促进法百般抵触》该贴做了该言论的记录总结；
《沈逸锐评民族团结进步促进法》(http://xhslink.cn/o/7HytT96tz8g)，该贴评论区出现批评、煽动对立、抹黑历史言论如攻击少数民族，公平争议1条，提问“那左宗棠等历史事迹宣传是否违反民族团结法”，咨询疑问1条；
《反对民族歧视》（http://xhslink.cn/o/5zcGHPiryQE）该贴针对民族团结进步法进行讨论，评论区出现“该法律是否能相应取消少数民族的加分政策”等公平争议类发言5条（均为类似表达）
抓人民共和国民族团结进步促进法解读贴下（http://xhslink.cn/o/9jEgp0FAca8），评论区出现“取消少民特权”等公平争议类发言2条</t>
  </si>
  <si>
    <t>否：22条</t>
  </si>
  <si>
    <t>14条支持、7条公平争议、1条咨询疑问均作为全国平台补充，不计青藏地区。</t>
  </si>
  <si>
    <t>知乎（zhihu.com）</t>
  </si>
  <si>
    <t>网页端检索返回空结果，完整问答内容需客户端登录查看</t>
  </si>
  <si>
    <t>民族团结进步促进法 影响；民族团结法 青海 西藏；民族团结法 怎么执行</t>
  </si>
  <si>
    <t>问题回答、评论区、专栏文章</t>
  </si>
  <si>
    <t>健康妇女等官媒报道，地区性相关报道较少，
采集评论约3条</t>
  </si>
  <si>
    <t>支持认可3条</t>
  </si>
  <si>
    <t>搜索范围内可确定基本没有</t>
  </si>
  <si>
    <t>否：3条</t>
  </si>
  <si>
    <t>3条支持来自全国/官媒相关内容，缺少青藏本地信息来源证明，不计青藏地区。</t>
  </si>
  <si>
    <t>哔哩哔哩（bilibili.com）</t>
  </si>
  <si>
    <t>网页端仅能抓取首页推荐内容，定向搜索结果与弹幕、评论无法完整获取</t>
  </si>
  <si>
    <t>民族团结进步促进法 解读；民族团结法 青海；民族团结法 西藏</t>
  </si>
  <si>
    <t>视频正文、弹幕、评论区、专栏文章</t>
  </si>
  <si>
    <t>西藏地区：西藏广播电视台、青春昌都发布，如《西藏自治区民族团结进步模范区创建条例》；评论区言论为支持，共采集6条。
青海地区：青海普法账号发布解读，采集1条
专栏文章内容，有提出对于促进法的修改意见，如“忽视民族历史对立，单纯强调合作的逻辑存在致命缺陷，压制冲突可能引发更强反弹”。此外提出需要加强对平台的约束</t>
  </si>
  <si>
    <t>支持认可7条
担忧影响4条
咨询疑问3条
公平争议1条</t>
  </si>
  <si>
    <t>最终复核：第一条“对民族团结进步促进法的意见与认为其不合理之处”原同时标注“公平争议+咨询疑问”，为避免重复计数，统一以“公平争议”为主态度。
青藏地区可确认：本地账号支持7条；“西藏、西北等地区宗教信仰和教育……”相关担忧1条。</t>
  </si>
  <si>
    <t>部分计入：
西藏7条，青海1条；全国/地区不明7条不计</t>
  </si>
  <si>
    <t>西藏7条=支持6+担忧1；青海1条；其余7条作为全国平台补充。</t>
  </si>
  <si>
    <t>百度贴吧（tieba.baidu.com）</t>
  </si>
  <si>
    <t>仅能抓取少量吧内首页内容，完整帖子与回复无法全量检索</t>
  </si>
  <si>
    <t>民族团结进步促进法；青海 民族团结法；西藏 民族团结法</t>
  </si>
  <si>
    <t>各地方吧、民族相关吧的主题帖与回复</t>
  </si>
  <si>
    <t>共采集筛选的信息量数据中，支持态度5条，为热搜话题#民族团结进步促进法颁布#下的评论
多为呼吁加强管制、加大力度打击不法势力分子</t>
  </si>
  <si>
    <t>支持认可5条
答疑疑问3条
担忧影响1条
公平争议4条</t>
  </si>
  <si>
    <t xml:space="preserve">特定的范围吧内存在着反对意见和不支持民族团结概念、对本法律提出争议的言论
举例如：历史吧、中国历史吧、满族吧、明朝吧
https://tieba.baidu.com/p/10886934811?share=9105&amp;fr=sharewise&amp;see_lz=0&amp;share_from=post&amp;sfc=copy&amp;client_type=2&amp;client_version=22.9.1.0&amp;st=1786091243&amp;is_video=false&amp;unique=A44708A0BED875A063B1E971D8603C50该贴认为民族团结进步促进法施行以来，对于民族服饰穿戴必须加以重视；评论区有发言询问该法律“是否包含文化类内容说明？”咨询疑问3条。
https://tieba.baidu.com/p/10866755857?share=9105&amp;fr=sharewise&amp;see_lz=0&amp;share_from=post&amp;sfc=copy&amp;client_type=2&amp;client_version=22.9.1.0&amp;st=1786091462&amp;is_video=false&amp;unique=3E93D908C64A612FAE404358B8E143C4该贴贴主认为部分思想偏颇的x民族至上主义者会错误解读民族团结进步法的发布影响担忧影响1条，争议“团结”一词是否被污名化
在该法律评论区中出现了污名化民族团结（发言为图片讽刺，此处仅作意义转述）的争议言论
</t>
  </si>
  <si>
    <t>否：13条</t>
  </si>
  <si>
    <t>支持5、咨询3、担忧1、公平争议4均缺少青藏本地信息来源证明，作为全国平台补充。</t>
  </si>
  <si>
    <t>微信公众号 / 视频号</t>
  </si>
  <si>
    <t>无统一公开检索入口，网页端仅能抓取被搜索引擎收录的少量文章</t>
  </si>
  <si>
    <t>青海 民族团结进步促进法；西藏 民族团结法；各州 / 县名称 + 民族团结进步促进法</t>
  </si>
  <si>
    <t>公众号文章正文、精选留言、视频号评论、直播回放</t>
  </si>
  <si>
    <t>青春拉萨（6条）、西藏组工（17条）、澜源野牛沟（6条）、那曲市民委（34条）、安多卫视（发布双语解读，63条）、青海石榴籽家园（7条）、青海藏文法治报（51条）公众号发表内容转载与解读；
评论区、文章正文等基本为支持认可。</t>
  </si>
  <si>
    <t>支持认可184条</t>
  </si>
  <si>
    <t>是：西藏57条，青海127条</t>
  </si>
  <si>
    <t>已剔除新疆“法治和田”；现184条均来自青海/西藏相关公众号或视频号。</t>
  </si>
  <si>
    <t>二、地方渠道与少数民族语言</t>
  </si>
  <si>
    <t>待相应语言人员复核</t>
  </si>
  <si>
    <t>海南、海北、海西、黄南藏族自治州人民政府官网</t>
  </si>
  <si>
    <t>通用搜索引擎未检索到各州独立发布的该法相关文件，需站内定向检索</t>
  </si>
  <si>
    <t>民族团结进步促进法；学习贯彻；实施方案</t>
  </si>
  <si>
    <t>政务公开、通知公告、要闻动态栏目</t>
  </si>
  <si>
    <t>化隆、循化、河南蒙古族、门源、大通、民和等自治县人民政府官网</t>
  </si>
  <si>
    <t>通用搜索仅能获取站点首页信息，无该法相关内容，需站内检索</t>
  </si>
  <si>
    <t>民族团结进步促进法；宣传贯彻；落实措施</t>
  </si>
  <si>
    <t>县政府公告、部门动态、乡镇新闻栏目</t>
  </si>
  <si>
    <t>藏文、蒙古文等少数民族语言内容</t>
  </si>
  <si>
    <t>通用搜索引擎以中文检索为主，少数民族语言网页内容覆盖不全</t>
  </si>
  <si>
    <t>藏文法律全称མི་རིགས་མཐུན་སྒྲིལ་ཡར་ཐོན་ལ་སྐུལ་སྤེལ་གཏོང་ཕྱོགས་སྐོར་གྱི་ཀྲུང་ཧྭ་མི་དམངས་སྤྱི་མཐུན་རྒྱལ་ཁབ་ཀྱི་བཅའ་ཁྲིམས།；蒙古文对应关键词</t>
  </si>
  <si>
    <t>藏文 / 蒙古文政府网站、民族语言论坛、本地新媒体账号</t>
  </si>
  <si>
    <t>西藏自治区政府官网、中国西藏网</t>
  </si>
  <si>
    <t>通用搜索仅抓取到转载报道，需站内检索原文与藏文版本</t>
  </si>
  <si>
    <t>民族团结进步促进法；贯彻实施；藏文版</t>
  </si>
  <si>
    <t>政务公开、新闻中心、藏文频道</t>
  </si>
  <si>
    <t>统计地区</t>
  </si>
  <si>
    <t>原始语言</t>
  </si>
  <si>
    <t>中文翻译</t>
  </si>
  <si>
    <t>点赞量</t>
  </si>
  <si>
    <t>评论量</t>
  </si>
  <si>
    <t>转发量</t>
  </si>
  <si>
    <t>是否重复</t>
  </si>
  <si>
    <t>是否待核实</t>
  </si>
  <si>
    <t>人工复核说明</t>
  </si>
  <si>
    <t>其他转载平台</t>
  </si>
  <si>
    <t>是否计入公众统计</t>
  </si>
  <si>
    <t>原始网页</t>
  </si>
  <si>
    <t>青海省民族宗教事务委员会</t>
  </si>
  <si>
    <t>青海要闻</t>
  </si>
  <si>
    <t>青海全省</t>
  </si>
  <si>
    <t>中文</t>
  </si>
  <si>
    <t>青海：尊法学法守法用法 推进民族事务依法治理</t>
  </si>
  <si>
    <t>青海省民宗委主任马成芳在发布会上介绍，《中华人民共和国民族团结进步促进法》于7月1日起正式施行。</t>
  </si>
  <si>
    <t>青海省民宗委召开新闻发布会，就青海省深入贯彻该法进行解读。</t>
  </si>
  <si>
    <t>A</t>
  </si>
  <si>
    <t>官方新闻发布会</t>
  </si>
  <si>
    <t>新华网青海频道</t>
  </si>
  <si>
    <t>青海玉树州</t>
  </si>
  <si>
    <t>自治州</t>
  </si>
  <si>
    <t>玉树州检察机关启动法律监督专项行动护航民族事务治理现代化法治化</t>
  </si>
  <si>
    <t>7月1日，《中华人民共和国民族团结进步促进法》正式施行，青海省玉树藏族自治州人民检察院启动为期一年的促进民族团结进步法律监督专项行动。</t>
  </si>
  <si>
    <t>玉树州检察院启动专项行动，从六个方面打击破坏民族团结违法犯罪。</t>
  </si>
  <si>
    <t>http://qh.news.cn/20260702/df211c8de61b4f9a8ee80350a9cf2e8f/c.html</t>
  </si>
  <si>
    <t>检察系统专项行动</t>
  </si>
  <si>
    <t>青海省人民政府网</t>
  </si>
  <si>
    <t>地区动态</t>
  </si>
  <si>
    <t>海东市</t>
  </si>
  <si>
    <t>地级市</t>
  </si>
  <si>
    <t>海东市开展《中华人民共和国民族团结进步促进法》集中宣传日活动</t>
  </si>
  <si>
    <t>7月1日，《中华人民共和国民族团结进步促进法》正式施行。当日，海东市集中宣传日主会场设在乐都区中心广场。</t>
  </si>
  <si>
    <t>海东市在主会场和各县区同步开展集中宣传日活动。</t>
  </si>
  <si>
    <t>集中宣传活动</t>
  </si>
  <si>
    <t>青海省新闻办/青海新闻网</t>
  </si>
  <si>
    <t>西海都市报</t>
  </si>
  <si>
    <t>锚定"五个新跃升"青海把民族团结进步促进法落到高原大地</t>
  </si>
  <si>
    <t>7月2日，记者从青海省人民政府新闻办公室召开的贯彻落实《中华人民共和国民族团结进步促进法》新闻发布会上获悉。</t>
  </si>
  <si>
    <t>青海省新闻发布会介绍"五个新跃升"落实举措。</t>
  </si>
  <si>
    <t>http://www.qhio.gov.cn/system/2026/07/03/030578052.shtml</t>
  </si>
  <si>
    <t>省级新闻发布会</t>
  </si>
  <si>
    <t>青海：用好民族团结进步促进法 守护"生命树、团结树、幸福树"</t>
  </si>
  <si>
    <t>"贯彻落实民族团结进步促进法，就是用法治守护青海大地上生态根基的'生命树'。"</t>
  </si>
  <si>
    <t>青海省委统战部副部长马成芳在新闻发布会上表示。</t>
  </si>
  <si>
    <t>https://www.zytzb.gov.cn/zytzb/2026-07/03/article_15394.shtml</t>
  </si>
  <si>
    <t>中性信息</t>
  </si>
  <si>
    <t>媒体转述发布会内容</t>
  </si>
  <si>
    <t>循化撒拉族自治县人民政府</t>
  </si>
  <si>
    <t>循化县</t>
  </si>
  <si>
    <t>循化撒拉族自治县</t>
  </si>
  <si>
    <t>自治县</t>
  </si>
  <si>
    <t>全域普法润民心 石榴花开满循化——循化县开展学习宣传贯彻《民族团结进步促进法》集中宣传日活动</t>
  </si>
  <si>
    <t>此次集中宣传活动共计15000余人参与。</t>
  </si>
  <si>
    <t>循化县开展集中宣传日活动，15000余人参与。</t>
  </si>
  <si>
    <t>https://www.xunhua.gov.cn</t>
  </si>
  <si>
    <t>链接为政府网站首页，具体文章需在站内查找</t>
  </si>
  <si>
    <t>青海日报</t>
  </si>
  <si>
    <t>西宁市</t>
  </si>
  <si>
    <t>西宁市让民族团结进步促进法落地落实</t>
  </si>
  <si>
    <t>坚持把学习宣传贯彻《促进法》摆在重要位置，结合西宁市工作实际，制定印发工作方案。</t>
  </si>
  <si>
    <t>西宁市制定工作方案推动法律学习宣传和贯彻落实。</t>
  </si>
  <si>
    <t>https://www.qinghai.gov.cn</t>
  </si>
  <si>
    <t>链接为政府网站首页</t>
  </si>
  <si>
    <t>铸牢共同体 民族一家亲——西宁市让民族团结进步促进法落地落实</t>
  </si>
  <si>
    <t>坚持把学习宣传贯彻《促进法》摆在重要位置。</t>
  </si>
  <si>
    <t>西宁市推动法律学习宣传和贯彻落实。</t>
  </si>
  <si>
    <t>统战新语</t>
  </si>
  <si>
    <t>个人观点（媒体引语）</t>
  </si>
  <si>
    <t>互助土族自治县</t>
  </si>
  <si>
    <t>基层代表：新法律为依法保障各民族权益提供清晰路径和坚实保障</t>
  </si>
  <si>
    <t>"民族团结进步促进法明确了各民族互嵌式发展，其实写的就是我们每天经历的日子。"</t>
  </si>
  <si>
    <t>互助土族自治县五十镇党委副书记、镇长李永仁谈法律实施感受。</t>
  </si>
  <si>
    <t>公开具名引语</t>
  </si>
  <si>
    <t>是</t>
  </si>
  <si>
    <t>中新网</t>
  </si>
  <si>
    <t>果洛州</t>
  </si>
  <si>
    <t>"法润民族校园·同心共筑团结"主题系列活动走进果洛西宁民族中学</t>
  </si>
  <si>
    <t>举办了《中华人民共和国民族团结进步促进法》专题分享会，5名学生结合日常校园学习生活分享学法感悟。</t>
  </si>
  <si>
    <t>果洛西宁民族中学开展法律进校园活动。</t>
  </si>
  <si>
    <t>链接为网站首页</t>
  </si>
  <si>
    <t>今年是《中华人民共和国民族团结进步促进法》施行第一年。</t>
  </si>
  <si>
    <t>互助县五十镇镇长李永仁在国新办发布会介绍基层实践。</t>
  </si>
  <si>
    <t>http://www.qhio.gov.cn</t>
  </si>
  <si>
    <t>国新办发布会</t>
  </si>
  <si>
    <t>青海民委</t>
  </si>
  <si>
    <t>海西州</t>
  </si>
  <si>
    <t>海西州委理论学习中心组专题学习民族团结进步促进法</t>
  </si>
  <si>
    <t>以法律实施为契机，统筹推进州域内民族领域法规的"立改废释"工作。</t>
  </si>
  <si>
    <t>海西州委理论学习中心组专题学习该法。</t>
  </si>
  <si>
    <t>https://mzw.qinghai.gov.cn</t>
  </si>
  <si>
    <t>中国人大网</t>
  </si>
  <si>
    <t>全国人大</t>
  </si>
  <si>
    <t>全国人大常委会副委员长雪克来提·扎克尔率调研组到青开展专题调研</t>
  </si>
  <si>
    <t>要切实抓好民族团结进步促进法的学习宣传贯彻实施。</t>
  </si>
  <si>
    <t>全国人大调研组到青海开展专题调研。</t>
  </si>
  <si>
    <t>https://www.npc.gov.cn</t>
  </si>
  <si>
    <t>全国人大调研</t>
  </si>
  <si>
    <t>青海省政协</t>
  </si>
  <si>
    <t>省政协召开学习贯彻《中华人民共和国民族团结进步促进法》专题研讨会</t>
  </si>
  <si>
    <t>大家一致表示，该法律为铸牢中华民族共同体意识提供了坚实法治保障。</t>
  </si>
  <si>
    <t>青海省政协召开专题研讨会。</t>
  </si>
  <si>
    <t>省政协研讨会</t>
  </si>
  <si>
    <t>央广网</t>
  </si>
  <si>
    <t>青海省铸牢中华民族共同体意识培训班在青海两弹一星干部学院开班</t>
  </si>
  <si>
    <t>培训旨在交流学习各地民族团结进步创建工作经验。</t>
  </si>
  <si>
    <t>青海省举办铸牢中华民族共同体意识培训班。</t>
  </si>
  <si>
    <t>https://www.cnr.cn</t>
  </si>
  <si>
    <t>日喀则市</t>
  </si>
  <si>
    <t>西藏日报</t>
  </si>
  <si>
    <t>西藏全区</t>
  </si>
  <si>
    <t>学习宣传贯彻《中华人民共和国民族团结进步促进法》座谈会召开</t>
  </si>
  <si>
    <t>《中华人民共和国民族团结进步促进法》于2026年7月1日起正式施行，是长治久安的固基之法。</t>
  </si>
  <si>
    <t>西藏自治区召开学习宣传贯彻该法座谈会。</t>
  </si>
  <si>
    <t>https://rikaze.xzdw.gov.cn/wdjs_491/202607/t20260706_682284.html</t>
  </si>
  <si>
    <t>自治区座谈会</t>
  </si>
  <si>
    <t>中国藏学研究中心</t>
  </si>
  <si>
    <t>以法治固根本 以文化聚共识——西藏宗教工作领域深入贯彻民族团结进步促进法</t>
  </si>
  <si>
    <t>民族团结进步促进法为宗教工作领域推进中华民族共同体建设提供根本法治遵循。</t>
  </si>
  <si>
    <t>西藏宗教工作领域学习贯彻该法。</t>
  </si>
  <si>
    <t>https://www.tibetology.ac.cn</t>
  </si>
  <si>
    <t>宗教领域实施</t>
  </si>
  <si>
    <t>昌都市</t>
  </si>
  <si>
    <t>拉萨市</t>
  </si>
  <si>
    <t>严金海在拉萨市堆龙德庆区东嘎街道人大工委"人大代表之家"调研</t>
  </si>
  <si>
    <t>制定出台民族团结进步促进法，是铸牢中华民族共同体意识、推进中华民族共同体建设的重大法治举措。</t>
  </si>
  <si>
    <t>西藏自治区领导在拉萨调研法律学习宣传贯彻情况。</t>
  </si>
  <si>
    <t>https://cd.xzdw.gov.cn</t>
  </si>
  <si>
    <t>西藏自治区民族事务委员会</t>
  </si>
  <si>
    <t>西藏民委</t>
  </si>
  <si>
    <t>西藏20项举措全方位推进民族团结进步促进法落地落实</t>
  </si>
  <si>
    <t>西藏自治区印发《关于学习宣传贯彻〈中华人民共和国民族团结进步促进法〉的工作方案》，系统部署20项具体任务。</t>
  </si>
  <si>
    <t>西藏自治区部署20项举措推进法律落地落实。</t>
  </si>
  <si>
    <t>中国西藏网</t>
  </si>
  <si>
    <t>五级人大代表学习贯彻民族团结进步促进法"话团结、作表率"专题交流分享会召开</t>
  </si>
  <si>
    <t>全区五级人大代表学习贯彻《中华人民共和国民族团结进步促进法》"话团结、作表率"专题交流分享会在拉萨召开。</t>
  </si>
  <si>
    <t>西藏五级人大代表召开专题交流分享会。</t>
  </si>
  <si>
    <t>https://lasa.xzdw.gov.cn</t>
  </si>
  <si>
    <t>西藏持续推进民族团结进步促进法学习宣传贯彻</t>
  </si>
  <si>
    <t>西藏各地持续开展法律学习宣传贯彻活动。</t>
  </si>
  <si>
    <t>中国西藏网综合报道西藏各地法律学习宣传贯彻情况。</t>
  </si>
  <si>
    <t>https://www.tibet.cn</t>
  </si>
  <si>
    <t>综合报道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</si>
</sst>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font>
    <font>
      <sz val="11"/>
      <color rgb="FF0F1115"/>
      <name val="Segoe UI"/>
      <charset val="134"/>
    </font>
    <font>
      <sz val="11"/>
      <color rgb="FF0F1115"/>
      <name val="宋体"/>
      <charset val="134"/>
    </font>
    <font>
      <sz val="11"/>
      <color rgb="FF3964FE"/>
      <name val="Segoe UI"/>
      <charset val="134"/>
    </font>
    <font>
      <sz val="12"/>
      <color theme="1"/>
      <name val="宋体"/>
      <charset val="134"/>
    </font>
    <font>
      <b/>
      <sz val="18"/>
      <color theme="1"/>
      <name val="宋体"/>
      <charset val="134"/>
    </font>
    <font>
      <b/>
      <sz val="12"/>
      <color theme="1"/>
      <name val="宋体"/>
      <charset val="134"/>
    </font>
    <font>
      <b/>
      <sz val="11"/>
      <color theme="1"/>
      <name val="宋体"/>
      <charset val="134"/>
    </font>
    <font>
      <b/>
      <sz val="16"/>
      <color theme="1"/>
      <name val="宋体"/>
      <charset val="134"/>
    </font>
    <font>
      <b/>
      <sz val="14"/>
      <color theme="0"/>
      <name val="宋体"/>
      <charset val="134"/>
    </font>
    <font>
      <b/>
      <sz val="11"/>
      <color theme="0"/>
      <name val="宋体"/>
      <charset val="134"/>
    </font>
    <font>
      <b/>
      <sz val="14"/>
      <color theme="1"/>
      <name val="宋体"/>
      <charset val="134"/>
    </font>
    <font>
      <sz val="11"/>
      <color rgb="FF0000FF"/>
      <name val="宋体"/>
      <charset val="134"/>
    </font>
    <font>
      <sz val="12"/>
      <color rgb="FF000000"/>
      <name val="宋体"/>
      <charset val="134"/>
    </font>
    <font>
      <sz val="11"/>
      <color theme="0"/>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sz val="11"/>
      <color rgb="FF006100"/>
      <name val="宋体"/>
      <charset val="134"/>
    </font>
    <font>
      <sz val="11"/>
      <color rgb="FF9C0006"/>
      <name val="宋体"/>
      <charset val="134"/>
    </font>
    <font>
      <sz val="11"/>
      <color rgb="FF9C6500"/>
      <name val="宋体"/>
      <charset val="134"/>
    </font>
    <font>
      <b/>
      <sz val="1400"/>
      <color rgb="FF000000"/>
      <name val="宋体"/>
      <charset val="134"/>
    </font>
    <font>
      <b/>
      <sz val="1100"/>
      <color rgb="FF000000"/>
      <name val="宋体"/>
      <charset val="134"/>
    </font>
    <font>
      <sz val="1100"/>
      <color theme="1"/>
      <name val="Calibri"/>
      <charset val="134"/>
      <scheme val="minor"/>
    </font>
  </fonts>
  <fills count="39">
    <fill>
      <patternFill patternType="none"/>
    </fill>
    <fill>
      <patternFill patternType="gray125"/>
    </fill>
    <fill>
      <patternFill patternType="solid">
        <fgColor rgb="FFFFFFFF"/>
        <bgColor indexed="64"/>
      </patternFill>
    </fill>
    <fill>
      <patternFill patternType="solid">
        <fgColor theme="3" tint="-0.5"/>
        <bgColor indexed="64"/>
      </patternFill>
    </fill>
    <fill>
      <patternFill patternType="solid">
        <fgColor theme="8" tint="-0.25"/>
        <bgColor indexed="64"/>
      </patternFill>
    </fill>
    <fill>
      <patternFill patternType="solid">
        <fgColor theme="8" tint="0.8"/>
        <bgColor indexed="64"/>
      </patternFill>
    </fill>
    <fill>
      <patternFill patternType="solid">
        <fgColor theme="4" tint="0.6"/>
        <bgColor indexed="64"/>
      </patternFill>
    </fill>
    <fill>
      <patternFill patternType="solid">
        <fgColor theme="4"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thin">
        <color auto="1"/>
      </left>
      <right style="thin">
        <color auto="1"/>
      </right>
      <top/>
      <bottom/>
      <diagonal/>
    </border>
    <border>
      <left style="medium">
        <color rgb="FFCCCCCC"/>
      </left>
      <right style="medium">
        <color rgb="FFCCCCCC"/>
      </right>
      <top style="medium">
        <color rgb="FFCCCCCC"/>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8" borderId="19"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0" applyNumberFormat="0" applyFill="0" applyAlignment="0" applyProtection="0">
      <alignment vertical="center"/>
    </xf>
    <xf numFmtId="0" fontId="20" fillId="0" borderId="20" applyNumberFormat="0" applyFill="0" applyAlignment="0" applyProtection="0">
      <alignment vertical="center"/>
    </xf>
    <xf numFmtId="0" fontId="21" fillId="0" borderId="21" applyNumberFormat="0" applyFill="0" applyAlignment="0" applyProtection="0">
      <alignment vertical="center"/>
    </xf>
    <xf numFmtId="0" fontId="21" fillId="0" borderId="0" applyNumberFormat="0" applyFill="0" applyBorder="0" applyAlignment="0" applyProtection="0">
      <alignment vertical="center"/>
    </xf>
    <xf numFmtId="0" fontId="22" fillId="9" borderId="22" applyNumberFormat="0" applyAlignment="0" applyProtection="0">
      <alignment vertical="center"/>
    </xf>
    <xf numFmtId="0" fontId="23" fillId="10" borderId="23" applyNumberFormat="0" applyAlignment="0" applyProtection="0">
      <alignment vertical="center"/>
    </xf>
    <xf numFmtId="0" fontId="24" fillId="10" borderId="22" applyNumberFormat="0" applyAlignment="0" applyProtection="0">
      <alignment vertical="center"/>
    </xf>
    <xf numFmtId="0" fontId="25" fillId="11" borderId="24" applyNumberFormat="0" applyAlignment="0" applyProtection="0">
      <alignment vertical="center"/>
    </xf>
    <xf numFmtId="0" fontId="26" fillId="0" borderId="25" applyNumberFormat="0" applyFill="0" applyAlignment="0" applyProtection="0">
      <alignment vertical="center"/>
    </xf>
    <xf numFmtId="0" fontId="7" fillId="0" borderId="26"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14"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4" fillId="26" borderId="0" applyNumberFormat="0" applyBorder="0" applyAlignment="0" applyProtection="0">
      <alignment vertical="center"/>
    </xf>
    <xf numFmtId="0" fontId="14"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4" fillId="30" borderId="0" applyNumberFormat="0" applyBorder="0" applyAlignment="0" applyProtection="0">
      <alignment vertical="center"/>
    </xf>
    <xf numFmtId="0" fontId="14"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14" fillId="34" borderId="0" applyNumberFormat="0" applyBorder="0" applyAlignment="0" applyProtection="0">
      <alignment vertical="center"/>
    </xf>
    <xf numFmtId="0" fontId="14"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14" fillId="38" borderId="0" applyNumberFormat="0" applyBorder="0" applyAlignment="0" applyProtection="0">
      <alignment vertical="center"/>
    </xf>
  </cellStyleXfs>
  <cellXfs count="56">
    <xf numFmtId="0" fontId="0" fillId="0" borderId="0" xfId="0">
      <alignment vertical="center"/>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0" fillId="2" borderId="0" xfId="0" applyFill="1">
      <alignment vertical="center"/>
    </xf>
    <xf numFmtId="0" fontId="1" fillId="2" borderId="0" xfId="0" applyFont="1" applyFill="1" applyAlignment="1">
      <alignment vertical="center" wrapText="1"/>
    </xf>
    <xf numFmtId="22" fontId="1" fillId="2" borderId="0" xfId="0" applyNumberFormat="1"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4" fillId="0" borderId="0" xfId="0" applyFont="1">
      <alignment vertical="center"/>
    </xf>
    <xf numFmtId="0" fontId="0" fillId="0" borderId="0" xfId="0" applyNumberFormat="1" applyFont="1" applyFill="1" applyBorder="1" applyAlignment="1">
      <alignment vertical="center" wrapText="1"/>
    </xf>
    <xf numFmtId="0" fontId="5" fillId="0" borderId="1"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6" fillId="0" borderId="4" xfId="0" applyNumberFormat="1" applyFont="1" applyFill="1" applyBorder="1" applyAlignment="1">
      <alignment horizontal="left" vertical="center" wrapText="1"/>
    </xf>
    <xf numFmtId="0" fontId="6" fillId="0" borderId="4" xfId="0" applyNumberFormat="1" applyFont="1" applyFill="1" applyBorder="1" applyAlignment="1">
      <alignment vertical="center" wrapText="1"/>
    </xf>
    <xf numFmtId="0" fontId="7" fillId="0" borderId="5" xfId="0" applyNumberFormat="1" applyFont="1" applyFill="1" applyBorder="1" applyAlignment="1">
      <alignment vertical="center" wrapText="1"/>
    </xf>
    <xf numFmtId="0" fontId="7" fillId="0" borderId="0" xfId="0" applyNumberFormat="1" applyFont="1" applyFill="1" applyBorder="1" applyAlignment="1">
      <alignment vertical="center" wrapText="1"/>
    </xf>
    <xf numFmtId="0" fontId="0" fillId="0" borderId="6" xfId="0" applyNumberFormat="1" applyFont="1" applyFill="1" applyBorder="1" applyAlignment="1">
      <alignment horizontal="left" vertical="center" wrapText="1"/>
    </xf>
    <xf numFmtId="0" fontId="0" fillId="0" borderId="7" xfId="0" applyNumberFormat="1" applyFont="1" applyFill="1" applyBorder="1" applyAlignment="1">
      <alignment horizontal="left" vertical="center" wrapText="1"/>
    </xf>
    <xf numFmtId="0" fontId="0" fillId="0" borderId="8" xfId="0" applyNumberFormat="1" applyFont="1" applyFill="1" applyBorder="1" applyAlignment="1">
      <alignment vertical="center" wrapText="1"/>
    </xf>
    <xf numFmtId="0" fontId="0" fillId="0" borderId="4" xfId="0" applyNumberFormat="1" applyFont="1" applyFill="1" applyBorder="1" applyAlignment="1">
      <alignment vertical="center" wrapText="1"/>
    </xf>
    <xf numFmtId="0" fontId="0" fillId="0" borderId="9" xfId="0" applyNumberFormat="1" applyFont="1" applyFill="1" applyBorder="1" applyAlignment="1">
      <alignment horizontal="left" vertical="center" wrapText="1"/>
    </xf>
    <xf numFmtId="0" fontId="0" fillId="0" borderId="10" xfId="0" applyNumberFormat="1" applyFont="1" applyFill="1" applyBorder="1" applyAlignment="1">
      <alignment horizontal="left" vertical="center" wrapText="1"/>
    </xf>
    <xf numFmtId="0" fontId="8" fillId="0" borderId="4" xfId="0" applyNumberFormat="1" applyFont="1" applyFill="1" applyBorder="1" applyAlignment="1">
      <alignment horizontal="left" vertical="center" wrapText="1"/>
    </xf>
    <xf numFmtId="0" fontId="8" fillId="0" borderId="1" xfId="0" applyNumberFormat="1" applyFont="1" applyFill="1" applyBorder="1" applyAlignment="1">
      <alignment horizontal="left" vertical="center" wrapText="1"/>
    </xf>
    <xf numFmtId="0" fontId="0" fillId="0" borderId="5" xfId="0" applyNumberFormat="1" applyFont="1" applyFill="1" applyBorder="1" applyAlignment="1">
      <alignment horizontal="center" vertical="center" wrapText="1"/>
    </xf>
    <xf numFmtId="0" fontId="6" fillId="0" borderId="6" xfId="0" applyNumberFormat="1" applyFont="1" applyFill="1" applyBorder="1" applyAlignment="1">
      <alignment horizontal="left" vertical="center" wrapText="1"/>
    </xf>
    <xf numFmtId="0" fontId="6" fillId="0" borderId="7" xfId="0" applyNumberFormat="1" applyFont="1" applyFill="1" applyBorder="1" applyAlignment="1">
      <alignment horizontal="left" vertical="center" wrapText="1"/>
    </xf>
    <xf numFmtId="0" fontId="0" fillId="0" borderId="11" xfId="0" applyNumberFormat="1" applyFont="1" applyFill="1" applyBorder="1" applyAlignment="1">
      <alignment horizontal="center" vertical="center" wrapText="1"/>
    </xf>
    <xf numFmtId="0" fontId="0" fillId="0" borderId="8" xfId="0" applyNumberFormat="1" applyFont="1" applyFill="1" applyBorder="1" applyAlignment="1">
      <alignment horizontal="center" vertical="center" wrapText="1"/>
    </xf>
    <xf numFmtId="0" fontId="7" fillId="0" borderId="9" xfId="0" applyNumberFormat="1" applyFont="1" applyFill="1" applyBorder="1" applyAlignment="1">
      <alignment horizontal="left" vertical="center" wrapText="1"/>
    </xf>
    <xf numFmtId="0" fontId="0" fillId="0" borderId="12" xfId="0" applyNumberFormat="1" applyFont="1" applyFill="1" applyBorder="1" applyAlignment="1">
      <alignment horizontal="left" vertical="center" wrapText="1"/>
    </xf>
    <xf numFmtId="0" fontId="0" fillId="0" borderId="4" xfId="0" applyNumberFormat="1" applyFont="1" applyFill="1" applyBorder="1" applyAlignment="1">
      <alignment horizontal="left" vertical="center" wrapText="1"/>
    </xf>
    <xf numFmtId="0" fontId="9" fillId="3" borderId="0" xfId="0" applyNumberFormat="1" applyFont="1" applyFill="1" applyBorder="1" applyAlignment="1">
      <alignment horizontal="left" vertical="center" wrapText="1"/>
    </xf>
    <xf numFmtId="0" fontId="9" fillId="3" borderId="0" xfId="0" applyFont="1" applyFill="1" applyAlignment="1">
      <alignment horizontal="left" vertical="center"/>
    </xf>
    <xf numFmtId="0" fontId="0" fillId="0" borderId="0" xfId="0" applyNumberFormat="1" applyFont="1" applyFill="1" applyBorder="1" applyAlignment="1">
      <alignment horizontal="center" vertical="center" wrapText="1"/>
    </xf>
    <xf numFmtId="0" fontId="0" fillId="0" borderId="0" xfId="0" applyAlignment="1">
      <alignment horizontal="center" vertical="center"/>
    </xf>
    <xf numFmtId="0" fontId="10" fillId="4" borderId="13" xfId="0" applyNumberFormat="1" applyFont="1" applyFill="1" applyBorder="1" applyAlignment="1">
      <alignment horizontal="left" vertical="center" wrapText="1"/>
    </xf>
    <xf numFmtId="0" fontId="10" fillId="4" borderId="14" xfId="0" applyNumberFormat="1" applyFont="1" applyFill="1" applyBorder="1" applyAlignment="1">
      <alignment horizontal="left" vertical="center" wrapText="1"/>
    </xf>
    <xf numFmtId="0" fontId="11" fillId="5" borderId="15" xfId="0" applyNumberFormat="1" applyFont="1" applyFill="1" applyBorder="1" applyAlignment="1">
      <alignment horizontal="left" vertical="center" wrapText="1"/>
    </xf>
    <xf numFmtId="0" fontId="0" fillId="0" borderId="16" xfId="0" applyNumberFormat="1" applyFont="1" applyFill="1" applyBorder="1" applyAlignment="1">
      <alignment horizontal="left" vertical="center" wrapText="1"/>
    </xf>
    <xf numFmtId="0" fontId="7" fillId="5" borderId="15" xfId="0" applyNumberFormat="1" applyFont="1" applyFill="1" applyBorder="1" applyAlignment="1">
      <alignment horizontal="left" vertical="center" wrapText="1"/>
    </xf>
    <xf numFmtId="0" fontId="7" fillId="5" borderId="17" xfId="0" applyNumberFormat="1" applyFont="1" applyFill="1" applyBorder="1" applyAlignment="1">
      <alignment horizontal="left" vertical="center" wrapText="1"/>
    </xf>
    <xf numFmtId="0" fontId="0" fillId="0" borderId="18" xfId="0" applyNumberFormat="1" applyFont="1" applyFill="1" applyBorder="1" applyAlignment="1">
      <alignment horizontal="left" vertical="center" wrapText="1"/>
    </xf>
    <xf numFmtId="0" fontId="9" fillId="4" borderId="0" xfId="0" applyNumberFormat="1" applyFont="1" applyFill="1" applyBorder="1" applyAlignment="1">
      <alignment vertical="center" wrapText="1"/>
    </xf>
    <xf numFmtId="0" fontId="12" fillId="0" borderId="0" xfId="0" applyNumberFormat="1" applyFont="1" applyFill="1" applyBorder="1" applyAlignment="1">
      <alignment vertical="center" wrapText="1"/>
    </xf>
    <xf numFmtId="0" fontId="13" fillId="0" borderId="0" xfId="0" applyNumberFormat="1" applyFont="1" applyFill="1" applyBorder="1" applyAlignment="1">
      <alignment horizontal="left" vertical="center" wrapText="1"/>
    </xf>
    <xf numFmtId="0" fontId="13" fillId="0" borderId="0" xfId="0" applyFont="1" applyAlignment="1">
      <alignment horizontal="left" vertical="center" wrapText="1"/>
    </xf>
    <xf numFmtId="0" fontId="11" fillId="5" borderId="0" xfId="0" applyNumberFormat="1" applyFont="1" applyFill="1" applyBorder="1" applyAlignment="1">
      <alignment horizontal="center" vertical="center" wrapText="1"/>
    </xf>
    <xf numFmtId="0" fontId="11" fillId="5" borderId="0" xfId="0" applyFont="1" applyFill="1" applyAlignment="1">
      <alignment horizontal="center" vertical="center"/>
    </xf>
    <xf numFmtId="0" fontId="0" fillId="6" borderId="0" xfId="0" applyFill="1" applyAlignment="1">
      <alignment horizontal="center" vertical="center"/>
    </xf>
    <xf numFmtId="0" fontId="7" fillId="6" borderId="9" xfId="0" applyFont="1" applyFill="1" applyBorder="1" applyAlignment="1">
      <alignment horizontal="center" vertical="center" wrapText="1"/>
    </xf>
    <xf numFmtId="0" fontId="0" fillId="0" borderId="9" xfId="0" applyBorder="1" applyAlignment="1">
      <alignment horizontal="left" vertical="center" wrapText="1"/>
    </xf>
    <xf numFmtId="14" fontId="0" fillId="0" borderId="9" xfId="0" applyNumberFormat="1" applyBorder="1" applyAlignment="1">
      <alignment horizontal="left" vertical="center" wrapText="1"/>
    </xf>
    <xf numFmtId="0" fontId="14" fillId="7" borderId="0" xfId="0" applyFont="1" applyFill="1" applyAlignment="1">
      <alignment horizontal="center" vertical="center"/>
    </xf>
    <xf numFmtId="0" fontId="10" fillId="7" borderId="9"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tabSelected="1" workbookViewId="0">
      <selection activeCell="A1" sqref="A1"/>
    </sheetView>
  </sheetViews>
  <sheetFormatPr defaultColWidth="8.60909090909091" defaultRowHeight="14"/>
  <cols>
    <col min="1" max="1" width="20.3090909090909" customWidth="1"/>
    <col min="2" max="2" width="17.6818181818182" customWidth="1"/>
    <col min="3" max="3" width="17.0727272727273" customWidth="1"/>
    <col min="4" max="4" width="28.8818181818182" customWidth="1"/>
    <col min="5" max="5" width="21.3909090909091" customWidth="1"/>
    <col min="6" max="7" width="21.7" customWidth="1"/>
    <col min="8" max="8" width="14.0545454545455" customWidth="1"/>
    <col min="9" max="9" width="20" customWidth="1"/>
    <col min="10" max="10" width="32.2" customWidth="1"/>
    <col min="11" max="11" width="34.1272727272727" customWidth="1"/>
    <col min="12" max="12" width="24.3272727272727" customWidth="1"/>
    <col min="15" max="15" width="6.94545454545455" customWidth="1"/>
  </cols>
  <sheetData>
    <row r="1" s="54" customFormat="1" ht="28.75" spans="1:15">
      <c r="A1" s="55" t="s">
        <v>0</v>
      </c>
      <c r="B1" s="55" t="s">
        <v>1</v>
      </c>
      <c r="C1" s="55" t="s">
        <v>2</v>
      </c>
      <c r="D1" s="55" t="s">
        <v>3</v>
      </c>
      <c r="E1" s="55" t="s">
        <v>4</v>
      </c>
      <c r="F1" s="55" t="s">
        <v>5</v>
      </c>
      <c r="G1" s="55" t="s">
        <v>6</v>
      </c>
      <c r="H1" s="55" t="s">
        <v>7</v>
      </c>
      <c r="I1" s="55" t="s">
        <v>8</v>
      </c>
      <c r="J1" s="55" t="s">
        <v>9</v>
      </c>
      <c r="K1" s="55" t="s">
        <v>10</v>
      </c>
      <c r="L1" s="55" t="s">
        <v>11</v>
      </c>
      <c r="M1" s="55" t="s">
        <v>12</v>
      </c>
      <c r="N1" s="55" t="s">
        <v>13</v>
      </c>
      <c r="O1" s="55" t="s">
        <v>14</v>
      </c>
    </row>
    <row r="2" ht="84.75" spans="1:15">
      <c r="A2" s="53">
        <v>46204</v>
      </c>
      <c r="B2" s="52" t="s">
        <v>15</v>
      </c>
      <c r="C2" s="52" t="s">
        <v>16</v>
      </c>
      <c r="D2" s="52" t="s">
        <v>17</v>
      </c>
      <c r="E2" s="52" t="s">
        <v>18</v>
      </c>
      <c r="F2" s="52" t="s">
        <v>19</v>
      </c>
      <c r="G2" s="52" t="s">
        <v>20</v>
      </c>
      <c r="H2" s="52" t="s">
        <v>21</v>
      </c>
      <c r="I2" s="52" t="s">
        <v>22</v>
      </c>
      <c r="J2" s="52" t="s">
        <v>23</v>
      </c>
      <c r="K2" s="52" t="s">
        <v>24</v>
      </c>
      <c r="L2" s="52" t="s">
        <v>25</v>
      </c>
      <c r="M2" s="52" t="s">
        <v>26</v>
      </c>
      <c r="N2" s="52" t="s">
        <v>27</v>
      </c>
      <c r="O2" s="52" t="s">
        <v>28</v>
      </c>
    </row>
    <row r="3" ht="56.75" spans="1:15">
      <c r="A3" s="53">
        <v>46204</v>
      </c>
      <c r="B3" s="52" t="s">
        <v>29</v>
      </c>
      <c r="C3" s="52" t="s">
        <v>30</v>
      </c>
      <c r="D3" s="52" t="s">
        <v>31</v>
      </c>
      <c r="E3" s="52" t="s">
        <v>32</v>
      </c>
      <c r="F3" s="52" t="s">
        <v>33</v>
      </c>
      <c r="G3" s="52" t="s">
        <v>34</v>
      </c>
      <c r="H3" s="52" t="s">
        <v>35</v>
      </c>
      <c r="I3" s="52" t="s">
        <v>36</v>
      </c>
      <c r="J3" s="52" t="s">
        <v>37</v>
      </c>
      <c r="K3" s="52" t="s">
        <v>38</v>
      </c>
      <c r="L3" s="52" t="s">
        <v>39</v>
      </c>
      <c r="M3" s="52" t="s">
        <v>26</v>
      </c>
      <c r="N3" s="52" t="s">
        <v>27</v>
      </c>
      <c r="O3" s="52" t="s">
        <v>28</v>
      </c>
    </row>
    <row r="4" ht="56.75" spans="1:15">
      <c r="A4" s="53">
        <v>46204</v>
      </c>
      <c r="B4" s="52" t="s">
        <v>16</v>
      </c>
      <c r="C4" s="52" t="s">
        <v>40</v>
      </c>
      <c r="D4" s="52" t="s">
        <v>41</v>
      </c>
      <c r="E4" s="52" t="s">
        <v>18</v>
      </c>
      <c r="F4" s="52" t="s">
        <v>19</v>
      </c>
      <c r="G4" s="52" t="s">
        <v>42</v>
      </c>
      <c r="H4" s="52" t="s">
        <v>35</v>
      </c>
      <c r="I4" s="52" t="s">
        <v>43</v>
      </c>
      <c r="J4" s="52" t="s">
        <v>44</v>
      </c>
      <c r="K4" s="52" t="s">
        <v>45</v>
      </c>
      <c r="L4" s="52" t="s">
        <v>46</v>
      </c>
      <c r="M4" s="52" t="s">
        <v>26</v>
      </c>
      <c r="N4" s="52" t="s">
        <v>32</v>
      </c>
      <c r="O4" s="52" t="s">
        <v>47</v>
      </c>
    </row>
    <row r="5" ht="70.75" spans="1:15">
      <c r="A5" s="53">
        <v>46205</v>
      </c>
      <c r="B5" s="52" t="s">
        <v>48</v>
      </c>
      <c r="C5" s="52" t="s">
        <v>49</v>
      </c>
      <c r="D5" s="52" t="s">
        <v>50</v>
      </c>
      <c r="E5" s="52" t="s">
        <v>18</v>
      </c>
      <c r="F5" s="52" t="s">
        <v>33</v>
      </c>
      <c r="G5" s="52" t="s">
        <v>34</v>
      </c>
      <c r="H5" s="52" t="s">
        <v>35</v>
      </c>
      <c r="I5" s="52" t="s">
        <v>51</v>
      </c>
      <c r="J5" s="52" t="s">
        <v>52</v>
      </c>
      <c r="K5" s="52" t="s">
        <v>53</v>
      </c>
      <c r="L5" s="52" t="s">
        <v>54</v>
      </c>
      <c r="M5" s="52" t="s">
        <v>26</v>
      </c>
      <c r="N5" s="52" t="s">
        <v>27</v>
      </c>
      <c r="O5" s="52" t="s">
        <v>55</v>
      </c>
    </row>
    <row r="6" ht="70.75" spans="1:15">
      <c r="A6" s="53">
        <v>46205</v>
      </c>
      <c r="B6" s="52" t="s">
        <v>16</v>
      </c>
      <c r="C6" s="52" t="s">
        <v>16</v>
      </c>
      <c r="D6" s="52" t="s">
        <v>56</v>
      </c>
      <c r="E6" s="52" t="s">
        <v>18</v>
      </c>
      <c r="F6" s="52" t="s">
        <v>19</v>
      </c>
      <c r="G6" s="52" t="s">
        <v>57</v>
      </c>
      <c r="H6" s="52" t="s">
        <v>35</v>
      </c>
      <c r="I6" s="52" t="s">
        <v>58</v>
      </c>
      <c r="J6" s="52" t="s">
        <v>59</v>
      </c>
      <c r="K6" s="52" t="s">
        <v>60</v>
      </c>
      <c r="L6" s="52" t="s">
        <v>61</v>
      </c>
      <c r="M6" s="52" t="s">
        <v>26</v>
      </c>
      <c r="N6" s="52" t="s">
        <v>27</v>
      </c>
      <c r="O6" s="52" t="s">
        <v>62</v>
      </c>
    </row>
    <row r="7" ht="70.75" spans="1:15">
      <c r="A7" s="53">
        <v>46205</v>
      </c>
      <c r="B7" s="52" t="s">
        <v>63</v>
      </c>
      <c r="C7" s="52" t="s">
        <v>63</v>
      </c>
      <c r="D7" s="52" t="s">
        <v>64</v>
      </c>
      <c r="E7" s="52" t="s">
        <v>32</v>
      </c>
      <c r="F7" s="52" t="s">
        <v>19</v>
      </c>
      <c r="G7" s="52" t="s">
        <v>65</v>
      </c>
      <c r="H7" s="52" t="s">
        <v>66</v>
      </c>
      <c r="I7" s="52" t="s">
        <v>67</v>
      </c>
      <c r="J7" s="52" t="s">
        <v>68</v>
      </c>
      <c r="K7" s="21" t="s">
        <v>69</v>
      </c>
      <c r="L7" s="52" t="s">
        <v>70</v>
      </c>
      <c r="M7" s="52" t="s">
        <v>26</v>
      </c>
      <c r="N7" s="52" t="s">
        <v>27</v>
      </c>
      <c r="O7" s="52" t="s">
        <v>71</v>
      </c>
    </row>
    <row r="8" ht="56.75" spans="1:15">
      <c r="A8" s="53">
        <v>46206</v>
      </c>
      <c r="B8" s="52" t="s">
        <v>72</v>
      </c>
      <c r="C8" s="52" t="s">
        <v>73</v>
      </c>
      <c r="D8" s="52" t="s">
        <v>31</v>
      </c>
      <c r="E8" s="52" t="s">
        <v>74</v>
      </c>
      <c r="F8" s="52" t="s">
        <v>19</v>
      </c>
      <c r="G8" s="52" t="s">
        <v>57</v>
      </c>
      <c r="H8" s="52" t="s">
        <v>35</v>
      </c>
      <c r="I8" s="52" t="s">
        <v>75</v>
      </c>
      <c r="J8" s="52" t="s">
        <v>76</v>
      </c>
      <c r="K8" s="52" t="s">
        <v>77</v>
      </c>
      <c r="L8" s="52" t="s">
        <v>78</v>
      </c>
      <c r="M8" s="52" t="s">
        <v>26</v>
      </c>
      <c r="N8" s="52" t="s">
        <v>27</v>
      </c>
      <c r="O8" s="52" t="s">
        <v>79</v>
      </c>
    </row>
    <row r="9" ht="56.75" spans="1:15">
      <c r="A9" s="53">
        <v>46210</v>
      </c>
      <c r="B9" s="52" t="s">
        <v>29</v>
      </c>
      <c r="C9" s="52" t="s">
        <v>30</v>
      </c>
      <c r="D9" s="52" t="s">
        <v>80</v>
      </c>
      <c r="E9" s="52" t="s">
        <v>27</v>
      </c>
      <c r="F9" s="52" t="s">
        <v>33</v>
      </c>
      <c r="G9" s="52" t="s">
        <v>81</v>
      </c>
      <c r="H9" s="52" t="s">
        <v>82</v>
      </c>
      <c r="I9" s="52" t="s">
        <v>83</v>
      </c>
      <c r="J9" s="52" t="s">
        <v>84</v>
      </c>
      <c r="K9" s="52" t="s">
        <v>85</v>
      </c>
      <c r="L9" s="52" t="s">
        <v>86</v>
      </c>
      <c r="M9" s="52" t="s">
        <v>26</v>
      </c>
      <c r="N9" s="52" t="s">
        <v>27</v>
      </c>
      <c r="O9" s="52" t="s">
        <v>87</v>
      </c>
    </row>
    <row r="10" ht="56.75" spans="1:15">
      <c r="A10" s="53">
        <v>46212</v>
      </c>
      <c r="B10" s="52" t="s">
        <v>88</v>
      </c>
      <c r="C10" s="52" t="s">
        <v>88</v>
      </c>
      <c r="D10" s="52" t="s">
        <v>89</v>
      </c>
      <c r="E10" s="52" t="s">
        <v>90</v>
      </c>
      <c r="F10" s="52" t="s">
        <v>33</v>
      </c>
      <c r="G10" s="52" t="s">
        <v>34</v>
      </c>
      <c r="H10" s="52" t="s">
        <v>35</v>
      </c>
      <c r="I10" s="52" t="s">
        <v>91</v>
      </c>
      <c r="J10" s="52" t="s">
        <v>92</v>
      </c>
      <c r="K10" s="52" t="s">
        <v>93</v>
      </c>
      <c r="L10" s="52" t="s">
        <v>94</v>
      </c>
      <c r="M10" s="52" t="s">
        <v>26</v>
      </c>
      <c r="N10" s="52" t="s">
        <v>95</v>
      </c>
      <c r="O10" s="52" t="s">
        <v>96</v>
      </c>
    </row>
    <row r="11" ht="70.75" spans="1:15">
      <c r="A11" s="53">
        <v>46220</v>
      </c>
      <c r="B11" s="52" t="s">
        <v>88</v>
      </c>
      <c r="C11" s="52" t="s">
        <v>88</v>
      </c>
      <c r="D11" s="52" t="s">
        <v>97</v>
      </c>
      <c r="E11" s="52" t="s">
        <v>18</v>
      </c>
      <c r="F11" s="52" t="s">
        <v>19</v>
      </c>
      <c r="G11" s="52" t="s">
        <v>98</v>
      </c>
      <c r="H11" s="52" t="s">
        <v>66</v>
      </c>
      <c r="I11" s="52" t="s">
        <v>99</v>
      </c>
      <c r="J11" s="52" t="s">
        <v>100</v>
      </c>
      <c r="K11" s="21" t="s">
        <v>101</v>
      </c>
      <c r="L11" s="52" t="s">
        <v>102</v>
      </c>
      <c r="M11" s="52" t="s">
        <v>26</v>
      </c>
      <c r="N11" s="52" t="s">
        <v>32</v>
      </c>
      <c r="O11" s="52" t="s">
        <v>103</v>
      </c>
    </row>
    <row r="12" ht="56.75" spans="1:15">
      <c r="A12" s="53">
        <v>46222</v>
      </c>
      <c r="B12" s="52" t="s">
        <v>88</v>
      </c>
      <c r="C12" s="52" t="s">
        <v>88</v>
      </c>
      <c r="D12" s="52" t="s">
        <v>97</v>
      </c>
      <c r="E12" s="52" t="s">
        <v>18</v>
      </c>
      <c r="F12" s="52" t="s">
        <v>19</v>
      </c>
      <c r="G12" s="52" t="s">
        <v>104</v>
      </c>
      <c r="H12" s="52" t="s">
        <v>105</v>
      </c>
      <c r="I12" s="52" t="s">
        <v>106</v>
      </c>
      <c r="J12" s="52" t="s">
        <v>107</v>
      </c>
      <c r="K12" s="52" t="s">
        <v>108</v>
      </c>
      <c r="L12" s="52" t="s">
        <v>109</v>
      </c>
      <c r="M12" s="52" t="s">
        <v>26</v>
      </c>
      <c r="N12" s="52" t="s">
        <v>95</v>
      </c>
      <c r="O12" s="52" t="s">
        <v>110</v>
      </c>
    </row>
    <row r="13" ht="56.75" spans="1:15">
      <c r="A13" s="53">
        <v>46226</v>
      </c>
      <c r="B13" s="52" t="s">
        <v>88</v>
      </c>
      <c r="C13" s="52" t="s">
        <v>88</v>
      </c>
      <c r="D13" s="52" t="s">
        <v>111</v>
      </c>
      <c r="E13" s="52" t="s">
        <v>18</v>
      </c>
      <c r="F13" s="52" t="s">
        <v>33</v>
      </c>
      <c r="G13" s="52" t="s">
        <v>34</v>
      </c>
      <c r="H13" s="52" t="s">
        <v>35</v>
      </c>
      <c r="I13" s="52" t="s">
        <v>112</v>
      </c>
      <c r="J13" s="52" t="s">
        <v>113</v>
      </c>
      <c r="K13" s="52" t="s">
        <v>114</v>
      </c>
      <c r="L13" s="52" t="s">
        <v>115</v>
      </c>
      <c r="M13" s="52" t="s">
        <v>26</v>
      </c>
      <c r="N13" s="52" t="s">
        <v>32</v>
      </c>
      <c r="O13" s="52" t="s">
        <v>116</v>
      </c>
    </row>
    <row r="14" ht="42.75" spans="1:15">
      <c r="A14" s="53">
        <v>46226</v>
      </c>
      <c r="B14" s="52" t="s">
        <v>29</v>
      </c>
      <c r="C14" s="52" t="s">
        <v>30</v>
      </c>
      <c r="D14" s="52" t="s">
        <v>117</v>
      </c>
      <c r="E14" s="52" t="s">
        <v>32</v>
      </c>
      <c r="F14" s="52" t="s">
        <v>33</v>
      </c>
      <c r="G14" s="52" t="s">
        <v>118</v>
      </c>
      <c r="H14" s="52" t="s">
        <v>35</v>
      </c>
      <c r="I14" s="52" t="s">
        <v>119</v>
      </c>
      <c r="J14" s="52" t="s">
        <v>120</v>
      </c>
      <c r="K14" s="52" t="s">
        <v>121</v>
      </c>
      <c r="L14" s="52" t="s">
        <v>122</v>
      </c>
      <c r="M14" s="52" t="s">
        <v>26</v>
      </c>
      <c r="N14" s="52" t="s">
        <v>32</v>
      </c>
      <c r="O14" s="52" t="s">
        <v>123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A1" sqref="A1"/>
    </sheetView>
  </sheetViews>
  <sheetFormatPr defaultColWidth="8.60909090909091" defaultRowHeight="14" outlineLevelRow="7" outlineLevelCol="6"/>
  <cols>
    <col min="1" max="1" width="16.1363636363636" customWidth="1"/>
    <col min="2" max="2" width="18.2181818181818" customWidth="1"/>
    <col min="3" max="3" width="22.4636363636364" customWidth="1"/>
    <col min="4" max="4" width="23.6272727272727" customWidth="1"/>
    <col min="5" max="5" width="23.2363636363636" customWidth="1"/>
    <col min="6" max="6" width="27.1818181818182" customWidth="1"/>
    <col min="7" max="7" width="24.7818181818182" customWidth="1"/>
  </cols>
  <sheetData>
    <row r="1" s="50" customFormat="1" ht="28.75" spans="1:7">
      <c r="A1" s="51" t="s">
        <v>124</v>
      </c>
      <c r="B1" s="51" t="s">
        <v>125</v>
      </c>
      <c r="C1" s="51" t="s">
        <v>126</v>
      </c>
      <c r="D1" s="51" t="s">
        <v>0</v>
      </c>
      <c r="E1" s="51" t="s">
        <v>127</v>
      </c>
      <c r="F1" s="51" t="s">
        <v>11</v>
      </c>
      <c r="G1" s="51" t="s">
        <v>128</v>
      </c>
    </row>
    <row r="2" ht="70.75" spans="1:7">
      <c r="A2" s="52" t="s">
        <v>57</v>
      </c>
      <c r="B2" s="52" t="s">
        <v>129</v>
      </c>
      <c r="C2" s="52" t="s">
        <v>130</v>
      </c>
      <c r="D2" s="52" t="s">
        <v>131</v>
      </c>
      <c r="E2" s="52" t="s">
        <v>132</v>
      </c>
      <c r="F2" s="52" t="s">
        <v>25</v>
      </c>
      <c r="G2" s="52" t="s">
        <v>133</v>
      </c>
    </row>
    <row r="3" ht="56.75" spans="1:7">
      <c r="A3" s="52" t="s">
        <v>57</v>
      </c>
      <c r="B3" s="52" t="s">
        <v>134</v>
      </c>
      <c r="C3" s="52" t="s">
        <v>135</v>
      </c>
      <c r="D3" s="53">
        <v>46205</v>
      </c>
      <c r="E3" s="52" t="s">
        <v>136</v>
      </c>
      <c r="F3" s="52" t="s">
        <v>61</v>
      </c>
      <c r="G3" s="52" t="s">
        <v>137</v>
      </c>
    </row>
    <row r="4" ht="82" customHeight="1" spans="1:7">
      <c r="A4" s="52" t="s">
        <v>34</v>
      </c>
      <c r="B4" s="52" t="s">
        <v>138</v>
      </c>
      <c r="C4" s="52" t="s">
        <v>139</v>
      </c>
      <c r="D4" s="52" t="s">
        <v>131</v>
      </c>
      <c r="E4" s="52" t="s">
        <v>140</v>
      </c>
      <c r="F4" s="52" t="s">
        <v>39</v>
      </c>
      <c r="G4" s="52" t="s">
        <v>133</v>
      </c>
    </row>
    <row r="5" ht="104" customHeight="1" spans="1:7">
      <c r="A5" s="52" t="s">
        <v>34</v>
      </c>
      <c r="B5" s="52" t="s">
        <v>141</v>
      </c>
      <c r="C5" s="52" t="s">
        <v>142</v>
      </c>
      <c r="D5" s="52" t="s">
        <v>143</v>
      </c>
      <c r="E5" s="52" t="s">
        <v>144</v>
      </c>
      <c r="F5" s="52" t="s">
        <v>54</v>
      </c>
      <c r="G5" s="52" t="s">
        <v>133</v>
      </c>
    </row>
    <row r="6" ht="152" customHeight="1" spans="1:7">
      <c r="A6" s="52" t="s">
        <v>65</v>
      </c>
      <c r="B6" s="52" t="s">
        <v>145</v>
      </c>
      <c r="C6" s="52" t="s">
        <v>146</v>
      </c>
      <c r="D6" s="53">
        <v>46205</v>
      </c>
      <c r="E6" s="52" t="s">
        <v>147</v>
      </c>
      <c r="F6" s="52" t="s">
        <v>70</v>
      </c>
      <c r="G6" s="52" t="s">
        <v>133</v>
      </c>
    </row>
    <row r="7" ht="56.75" spans="1:7">
      <c r="A7" s="52" t="s">
        <v>42</v>
      </c>
      <c r="B7" s="52" t="s">
        <v>148</v>
      </c>
      <c r="C7" s="52" t="s">
        <v>149</v>
      </c>
      <c r="D7" s="53">
        <v>46204</v>
      </c>
      <c r="E7" s="52" t="s">
        <v>150</v>
      </c>
      <c r="F7" s="52" t="s">
        <v>46</v>
      </c>
      <c r="G7" s="52" t="s">
        <v>133</v>
      </c>
    </row>
    <row r="8" ht="114" customHeight="1" spans="1:7">
      <c r="A8" s="52" t="s">
        <v>151</v>
      </c>
      <c r="B8" s="52" t="s">
        <v>152</v>
      </c>
      <c r="C8" s="52" t="s">
        <v>153</v>
      </c>
      <c r="D8" s="52" t="s">
        <v>154</v>
      </c>
      <c r="E8" s="52" t="s">
        <v>155</v>
      </c>
      <c r="F8" s="52" t="s">
        <v>109</v>
      </c>
      <c r="G8" s="52" t="s">
        <v>133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workbookViewId="0">
      <selection activeCell="A1" sqref="A1:K1"/>
    </sheetView>
  </sheetViews>
  <sheetFormatPr defaultColWidth="8.60909090909091" defaultRowHeight="14"/>
  <cols>
    <col min="1" max="1" width="25.7" customWidth="1"/>
    <col min="2" max="2" width="15.5090909090909" customWidth="1"/>
    <col min="3" max="3" width="49.2545454545455" customWidth="1"/>
    <col min="4" max="4" width="30.5" customWidth="1"/>
    <col min="7" max="7" width="12.8181818181818" customWidth="1"/>
  </cols>
  <sheetData>
    <row r="1" ht="31" customHeight="1" spans="1:11">
      <c r="A1" s="33" t="s">
        <v>156</v>
      </c>
      <c r="B1" s="33"/>
      <c r="C1" s="33"/>
      <c r="D1" s="34"/>
      <c r="E1" s="34"/>
      <c r="F1" s="34"/>
      <c r="G1" s="34"/>
      <c r="H1" s="34"/>
      <c r="I1" s="34"/>
      <c r="J1" s="34"/>
      <c r="K1" s="34"/>
    </row>
    <row r="2" ht="14.75" spans="1:11">
      <c r="A2" s="35"/>
      <c r="B2" s="35"/>
      <c r="C2" s="35"/>
      <c r="D2" s="36"/>
      <c r="E2" s="36"/>
      <c r="F2" s="36"/>
      <c r="G2" s="36"/>
      <c r="H2" s="36"/>
      <c r="I2" s="36"/>
      <c r="J2" s="36"/>
      <c r="K2" s="36"/>
    </row>
    <row r="3" spans="1:11">
      <c r="A3" s="37" t="s">
        <v>157</v>
      </c>
      <c r="B3" s="38" t="s">
        <v>158</v>
      </c>
      <c r="C3" s="9"/>
      <c r="D3" s="37" t="s">
        <v>157</v>
      </c>
      <c r="E3" s="38" t="s">
        <v>158</v>
      </c>
      <c r="G3" t="s">
        <v>159</v>
      </c>
    </row>
    <row r="4" ht="409.5" spans="1:11">
      <c r="A4" s="39" t="s">
        <v>160</v>
      </c>
      <c r="B4" s="40">
        <f>SUM(B5:B12)</f>
        <v>136</v>
      </c>
      <c r="C4" s="9"/>
      <c r="D4" s="39" t="s">
        <v>161</v>
      </c>
      <c r="E4" s="40">
        <f>SUM(E5:E12)</f>
        <v>112</v>
      </c>
      <c r="G4">
        <f>B4+E4</f>
        <v>248</v>
      </c>
    </row>
    <row r="5" spans="1:11">
      <c r="A5" s="41" t="s">
        <v>95</v>
      </c>
      <c r="B5" s="40">
        <v>136</v>
      </c>
      <c r="C5" s="9"/>
      <c r="D5" s="41" t="s">
        <v>95</v>
      </c>
      <c r="E5" s="40">
        <v>111</v>
      </c>
      <c r="G5">
        <f t="shared" ref="G5:G12" si="0">B5+E5</f>
        <v>247</v>
      </c>
    </row>
    <row r="6" spans="1:11">
      <c r="A6" s="41" t="s">
        <v>162</v>
      </c>
      <c r="B6" s="40">
        <v>0</v>
      </c>
      <c r="C6" s="9"/>
      <c r="D6" s="41" t="s">
        <v>162</v>
      </c>
      <c r="E6" s="40">
        <v>0</v>
      </c>
      <c r="G6">
        <f t="shared" si="0"/>
        <v>0</v>
      </c>
    </row>
    <row r="7" spans="1:11">
      <c r="A7" s="41" t="s">
        <v>163</v>
      </c>
      <c r="B7" s="40">
        <v>0</v>
      </c>
      <c r="C7" s="9"/>
      <c r="D7" s="41" t="s">
        <v>163</v>
      </c>
      <c r="E7" s="40">
        <v>1</v>
      </c>
      <c r="G7">
        <f t="shared" si="0"/>
        <v>1</v>
      </c>
    </row>
    <row r="8" spans="1:11">
      <c r="A8" s="41" t="s">
        <v>164</v>
      </c>
      <c r="B8" s="40">
        <v>0</v>
      </c>
      <c r="C8" s="9"/>
      <c r="D8" s="41" t="s">
        <v>164</v>
      </c>
      <c r="E8" s="40">
        <v>0</v>
      </c>
      <c r="G8">
        <f t="shared" si="0"/>
        <v>0</v>
      </c>
    </row>
    <row r="9" spans="1:11">
      <c r="A9" s="41" t="s">
        <v>165</v>
      </c>
      <c r="B9" s="40">
        <v>0</v>
      </c>
      <c r="C9" s="9"/>
      <c r="D9" s="41" t="s">
        <v>165</v>
      </c>
      <c r="E9" s="40">
        <v>0</v>
      </c>
      <c r="G9">
        <f t="shared" si="0"/>
        <v>0</v>
      </c>
    </row>
    <row r="10" spans="1:11">
      <c r="A10" s="41" t="s">
        <v>166</v>
      </c>
      <c r="B10" s="40">
        <v>0</v>
      </c>
      <c r="C10" s="9"/>
      <c r="D10" s="41" t="s">
        <v>166</v>
      </c>
      <c r="E10" s="40">
        <v>0</v>
      </c>
      <c r="G10">
        <f t="shared" si="0"/>
        <v>0</v>
      </c>
    </row>
    <row r="11" spans="1:11">
      <c r="A11" s="41" t="s">
        <v>167</v>
      </c>
      <c r="B11" s="40">
        <v>0</v>
      </c>
      <c r="C11" s="9"/>
      <c r="D11" s="41" t="s">
        <v>167</v>
      </c>
      <c r="E11" s="40">
        <v>0</v>
      </c>
      <c r="G11">
        <f t="shared" si="0"/>
        <v>0</v>
      </c>
    </row>
    <row r="12" ht="14.75" spans="1:11">
      <c r="A12" s="42" t="s">
        <v>168</v>
      </c>
      <c r="B12" s="43">
        <v>0</v>
      </c>
      <c r="C12" s="9"/>
      <c r="D12" s="42" t="s">
        <v>168</v>
      </c>
      <c r="E12" s="43">
        <v>0</v>
      </c>
      <c r="G12">
        <f t="shared" si="0"/>
        <v>0</v>
      </c>
    </row>
    <row r="13" ht="28" spans="1:11">
      <c r="A13" s="9" t="s">
        <v>169</v>
      </c>
      <c r="B13" s="9" t="s">
        <v>170</v>
      </c>
      <c r="C13" s="9" t="s">
        <v>171</v>
      </c>
    </row>
    <row r="14" ht="84" spans="1:11">
      <c r="A14" s="9" t="s">
        <v>172</v>
      </c>
      <c r="B14" s="9">
        <f>G4+B13</f>
        <v>306</v>
      </c>
      <c r="C14" s="9" t="s">
        <v>173</v>
      </c>
    </row>
    <row r="15" ht="17.5" spans="1:11">
      <c r="A15" s="44" t="s">
        <v>174</v>
      </c>
      <c r="B15" s="9"/>
      <c r="C15" s="9"/>
    </row>
    <row r="16" spans="1:11">
      <c r="A16" s="9" t="s">
        <v>175</v>
      </c>
      <c r="B16" s="9" t="s">
        <v>176</v>
      </c>
      <c r="C16" s="9" t="s">
        <v>177</v>
      </c>
    </row>
    <row r="17" ht="70" spans="1:4">
      <c r="A17" s="9" t="s">
        <v>178</v>
      </c>
      <c r="B17" s="9" t="s">
        <v>179</v>
      </c>
      <c r="C17" s="9" t="s">
        <v>180</v>
      </c>
    </row>
    <row r="18" ht="56" spans="1:4">
      <c r="A18" s="9" t="s">
        <v>181</v>
      </c>
      <c r="B18" s="9" t="s">
        <v>182</v>
      </c>
      <c r="C18" s="9" t="s">
        <v>183</v>
      </c>
    </row>
    <row r="19" ht="70" spans="1:4">
      <c r="A19" s="9" t="s">
        <v>184</v>
      </c>
      <c r="B19" s="9" t="s">
        <v>185</v>
      </c>
      <c r="C19" s="9" t="s">
        <v>186</v>
      </c>
    </row>
    <row r="20" ht="28" spans="1:4">
      <c r="A20" s="9" t="s">
        <v>187</v>
      </c>
      <c r="B20" s="45" t="s">
        <v>188</v>
      </c>
      <c r="C20" s="9" t="s">
        <v>189</v>
      </c>
    </row>
    <row r="21" ht="28" spans="1:4">
      <c r="A21" s="9" t="s">
        <v>190</v>
      </c>
      <c r="B21" s="9" t="s">
        <v>191</v>
      </c>
      <c r="C21" s="9" t="s">
        <v>192</v>
      </c>
    </row>
    <row r="22" ht="42" spans="1:4">
      <c r="A22" s="9" t="s">
        <v>193</v>
      </c>
      <c r="B22" s="9" t="s">
        <v>194</v>
      </c>
      <c r="C22" s="9" t="s">
        <v>195</v>
      </c>
    </row>
    <row r="23" spans="1:4">
      <c r="A23" s="9"/>
      <c r="B23" s="9"/>
      <c r="C23" s="9"/>
    </row>
    <row r="24" ht="144" customHeight="1" spans="1:4">
      <c r="A24" s="46" t="s">
        <v>196</v>
      </c>
      <c r="B24" s="46"/>
      <c r="C24" s="46"/>
      <c r="D24" s="47"/>
    </row>
    <row r="25" spans="1:4">
      <c r="A25" s="48" t="s">
        <v>197</v>
      </c>
      <c r="B25" s="48"/>
      <c r="C25" s="48"/>
    </row>
    <row r="26" spans="1:4">
      <c r="A26" s="49"/>
      <c r="B26" s="49"/>
      <c r="C26" s="49"/>
    </row>
  </sheetData>
  <mergeCells count="3">
    <mergeCell ref="A1:K1"/>
    <mergeCell ref="A24:D24"/>
    <mergeCell ref="A25:C26"/>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workbookViewId="0">
      <selection activeCell="A1" sqref="A1"/>
    </sheetView>
  </sheetViews>
  <sheetFormatPr defaultColWidth="8.60909090909091" defaultRowHeight="14" outlineLevelCol="2"/>
  <cols>
    <col min="2" max="2" width="76.5909090909091" customWidth="1"/>
    <col min="3" max="3" width="69.7909090909091" customWidth="1"/>
  </cols>
  <sheetData>
    <row r="1" ht="14.75" spans="1:3">
      <c r="A1" s="30" t="s">
        <v>198</v>
      </c>
      <c r="B1" s="30" t="s">
        <v>199</v>
      </c>
      <c r="C1" s="30" t="s">
        <v>200</v>
      </c>
    </row>
    <row r="2" ht="28.75" spans="1:3">
      <c r="A2" s="21">
        <v>1</v>
      </c>
      <c r="B2" s="21" t="s">
        <v>201</v>
      </c>
      <c r="C2" s="21" t="s">
        <v>202</v>
      </c>
    </row>
    <row r="3" ht="14.75" spans="1:3">
      <c r="A3" s="21">
        <v>2</v>
      </c>
      <c r="B3" s="21" t="s">
        <v>203</v>
      </c>
      <c r="C3" s="21" t="s">
        <v>204</v>
      </c>
    </row>
    <row r="4" ht="28.75" spans="1:3">
      <c r="A4" s="21">
        <v>3</v>
      </c>
      <c r="B4" s="21" t="s">
        <v>205</v>
      </c>
      <c r="C4" s="21" t="s">
        <v>206</v>
      </c>
    </row>
    <row r="5" ht="28.75" spans="1:3">
      <c r="A5" s="21">
        <v>4</v>
      </c>
      <c r="B5" s="21" t="s">
        <v>207</v>
      </c>
      <c r="C5" s="21" t="s">
        <v>208</v>
      </c>
    </row>
    <row r="6" ht="14.75" spans="1:3">
      <c r="A6" s="21">
        <v>5</v>
      </c>
      <c r="B6" s="21" t="s">
        <v>209</v>
      </c>
      <c r="C6" s="21" t="s">
        <v>210</v>
      </c>
    </row>
    <row r="7" ht="14.75" spans="1:3">
      <c r="A7" s="21">
        <v>6</v>
      </c>
      <c r="B7" s="21" t="s">
        <v>211</v>
      </c>
      <c r="C7" s="21" t="s">
        <v>212</v>
      </c>
    </row>
    <row r="8" ht="28.75" spans="1:3">
      <c r="A8" s="21">
        <v>7</v>
      </c>
      <c r="B8" s="21" t="s">
        <v>213</v>
      </c>
      <c r="C8" s="21" t="s">
        <v>214</v>
      </c>
    </row>
    <row r="9" ht="29" customHeight="1" spans="1:3">
      <c r="A9" s="31">
        <v>8</v>
      </c>
      <c r="B9" s="31" t="s">
        <v>215</v>
      </c>
      <c r="C9" s="31" t="s">
        <v>216</v>
      </c>
    </row>
    <row r="10" ht="37" customHeight="1" spans="1:3">
      <c r="A10" s="32">
        <v>9</v>
      </c>
      <c r="B10" s="20" t="s">
        <v>217</v>
      </c>
      <c r="C10" s="20" t="s">
        <v>218</v>
      </c>
    </row>
    <row r="11" ht="28" customHeight="1" spans="1:3">
      <c r="A11" s="32">
        <v>10</v>
      </c>
      <c r="B11" s="20" t="s">
        <v>219</v>
      </c>
      <c r="C11" s="20" t="s">
        <v>220</v>
      </c>
    </row>
    <row r="12" ht="62" customHeight="1" spans="1:3">
      <c r="A12" s="32">
        <v>11</v>
      </c>
      <c r="B12" s="20" t="s">
        <v>221</v>
      </c>
      <c r="C12" s="20" t="s">
        <v>222</v>
      </c>
    </row>
    <row r="13" ht="24" customHeight="1" spans="1:3">
      <c r="A13" s="32">
        <v>12</v>
      </c>
      <c r="B13" s="20" t="s">
        <v>223</v>
      </c>
      <c r="C13" s="20" t="s">
        <v>224</v>
      </c>
    </row>
    <row r="14" ht="39" customHeight="1" spans="1:3">
      <c r="A14" s="32">
        <v>13</v>
      </c>
      <c r="B14" s="20" t="s">
        <v>225</v>
      </c>
      <c r="C14" s="20" t="s">
        <v>222</v>
      </c>
    </row>
    <row r="15" spans="1:3">
      <c r="A15" s="32">
        <v>14</v>
      </c>
      <c r="B15" s="32" t="s">
        <v>226</v>
      </c>
      <c r="C15" s="32" t="s">
        <v>224</v>
      </c>
    </row>
    <row r="16" ht="28" spans="1:3">
      <c r="A16" s="32">
        <v>15</v>
      </c>
      <c r="B16" s="20" t="s">
        <v>227</v>
      </c>
      <c r="C16" s="20" t="s">
        <v>228</v>
      </c>
    </row>
    <row r="17" ht="28" spans="1:3">
      <c r="A17" s="32">
        <v>16</v>
      </c>
      <c r="B17" s="20" t="s">
        <v>229</v>
      </c>
      <c r="C17" s="20" t="s">
        <v>230</v>
      </c>
    </row>
    <row r="18" ht="28" spans="1:3">
      <c r="A18" s="32">
        <v>17</v>
      </c>
      <c r="B18" s="20" t="s">
        <v>231</v>
      </c>
      <c r="C18" s="20" t="s">
        <v>232</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workbookViewId="0">
      <selection activeCell="A1" sqref="A1"/>
    </sheetView>
  </sheetViews>
  <sheetFormatPr defaultColWidth="8.60909090909091" defaultRowHeight="14"/>
  <cols>
    <col min="1" max="1" width="20.9272727272727" customWidth="1"/>
    <col min="2" max="2" width="26.4909090909091" customWidth="1"/>
    <col min="3" max="3" width="40.8363636363636" customWidth="1"/>
    <col min="4" max="4" width="35.4363636363636" customWidth="1"/>
    <col min="5" max="5" width="45.3363636363636" customWidth="1"/>
    <col min="6" max="6" width="14.7727272727273" customWidth="1"/>
    <col min="7" max="7" width="45.5545454545455" customWidth="1"/>
    <col min="8" max="8" width="25.4818181818182" customWidth="1"/>
    <col min="9" max="9" width="23.0272727272727" customWidth="1"/>
  </cols>
  <sheetData>
    <row r="1" ht="31" customHeight="1" spans="1:9">
      <c r="A1" s="9"/>
      <c r="B1" s="9"/>
      <c r="C1" s="9"/>
      <c r="D1" s="9"/>
      <c r="E1" s="9"/>
      <c r="F1" s="9"/>
      <c r="G1" s="9"/>
      <c r="H1" s="9"/>
      <c r="I1" s="9"/>
    </row>
    <row r="2" ht="53" customHeight="1" spans="1:9">
      <c r="A2" s="10" t="s">
        <v>233</v>
      </c>
      <c r="B2" s="11"/>
      <c r="C2" s="11"/>
      <c r="D2" s="11"/>
      <c r="E2" s="11"/>
      <c r="F2" s="11"/>
      <c r="G2" s="11"/>
      <c r="H2" s="11"/>
      <c r="I2" s="12"/>
    </row>
    <row r="3" s="8" customFormat="1" ht="36" customHeight="1" spans="1:9">
      <c r="A3" s="13" t="s">
        <v>234</v>
      </c>
      <c r="B3" s="13" t="s">
        <v>235</v>
      </c>
      <c r="C3" s="13" t="s">
        <v>236</v>
      </c>
      <c r="D3" s="13" t="s">
        <v>237</v>
      </c>
      <c r="E3" s="14" t="s">
        <v>238</v>
      </c>
      <c r="F3" s="14" t="s">
        <v>239</v>
      </c>
      <c r="G3" s="14" t="s">
        <v>240</v>
      </c>
      <c r="H3" s="15" t="s">
        <v>241</v>
      </c>
      <c r="I3" s="16" t="s">
        <v>177</v>
      </c>
    </row>
    <row r="4" ht="125" customHeight="1" spans="1:9">
      <c r="A4" s="17" t="s">
        <v>242</v>
      </c>
      <c r="B4" s="17" t="s">
        <v>243</v>
      </c>
      <c r="C4" s="17" t="s">
        <v>244</v>
      </c>
      <c r="D4" s="18" t="s">
        <v>245</v>
      </c>
      <c r="E4" s="19" t="s">
        <v>246</v>
      </c>
      <c r="F4" s="19" t="s">
        <v>247</v>
      </c>
      <c r="G4" s="19" t="s">
        <v>248</v>
      </c>
      <c r="H4" s="20" t="s">
        <v>249</v>
      </c>
      <c r="I4" s="20" t="s">
        <v>250</v>
      </c>
    </row>
    <row r="5" ht="93" customHeight="1" spans="1:9">
      <c r="A5" s="21" t="s">
        <v>251</v>
      </c>
      <c r="B5" s="21" t="s">
        <v>252</v>
      </c>
      <c r="C5" s="21" t="s">
        <v>253</v>
      </c>
      <c r="D5" s="22" t="s">
        <v>254</v>
      </c>
      <c r="E5" s="20" t="s">
        <v>255</v>
      </c>
      <c r="F5" s="20" t="s">
        <v>256</v>
      </c>
      <c r="G5" s="20" t="s">
        <v>248</v>
      </c>
      <c r="H5" s="20" t="s">
        <v>257</v>
      </c>
      <c r="I5" s="20" t="s">
        <v>258</v>
      </c>
    </row>
    <row r="6" ht="47" customHeight="1" spans="1:9">
      <c r="A6" s="21" t="s">
        <v>259</v>
      </c>
      <c r="B6" s="21" t="s">
        <v>260</v>
      </c>
      <c r="C6" s="21" t="s">
        <v>261</v>
      </c>
      <c r="D6" s="22" t="s">
        <v>262</v>
      </c>
      <c r="E6" s="20" t="s">
        <v>263</v>
      </c>
      <c r="F6" s="20" t="s">
        <v>264</v>
      </c>
      <c r="G6" s="20" t="s">
        <v>248</v>
      </c>
      <c r="H6" s="20" t="s">
        <v>265</v>
      </c>
      <c r="I6" s="20" t="s">
        <v>266</v>
      </c>
    </row>
    <row r="7" ht="210.75" spans="1:9">
      <c r="A7" s="21" t="s">
        <v>267</v>
      </c>
      <c r="B7" s="21" t="s">
        <v>268</v>
      </c>
      <c r="C7" s="21" t="s">
        <v>269</v>
      </c>
      <c r="D7" s="22" t="s">
        <v>270</v>
      </c>
      <c r="E7" s="20" t="s">
        <v>271</v>
      </c>
      <c r="F7" s="20" t="s">
        <v>272</v>
      </c>
      <c r="G7" s="20" t="s">
        <v>273</v>
      </c>
      <c r="H7" s="20" t="s">
        <v>274</v>
      </c>
      <c r="I7" s="20" t="s">
        <v>275</v>
      </c>
    </row>
    <row r="8" ht="56.75" spans="1:9">
      <c r="A8" s="21" t="s">
        <v>276</v>
      </c>
      <c r="B8" s="21" t="s">
        <v>277</v>
      </c>
      <c r="C8" s="21" t="s">
        <v>278</v>
      </c>
      <c r="D8" s="22" t="s">
        <v>279</v>
      </c>
      <c r="E8" s="20" t="s">
        <v>280</v>
      </c>
      <c r="F8" s="20" t="s">
        <v>281</v>
      </c>
      <c r="G8" s="20" t="s">
        <v>282</v>
      </c>
      <c r="H8" s="20" t="s">
        <v>283</v>
      </c>
      <c r="I8" s="20" t="s">
        <v>284</v>
      </c>
    </row>
    <row r="9" ht="112.75" spans="1:9">
      <c r="A9" s="21" t="s">
        <v>285</v>
      </c>
      <c r="B9" s="21" t="s">
        <v>286</v>
      </c>
      <c r="C9" s="21" t="s">
        <v>287</v>
      </c>
      <c r="D9" s="22" t="s">
        <v>288</v>
      </c>
      <c r="E9" s="20" t="s">
        <v>289</v>
      </c>
      <c r="F9" s="20" t="s">
        <v>290</v>
      </c>
      <c r="G9" s="20" t="s">
        <v>291</v>
      </c>
      <c r="H9" s="20" t="s">
        <v>292</v>
      </c>
      <c r="I9" s="20" t="s">
        <v>293</v>
      </c>
    </row>
    <row r="10" ht="308.75" spans="1:9">
      <c r="A10" s="21" t="s">
        <v>294</v>
      </c>
      <c r="B10" s="21" t="s">
        <v>295</v>
      </c>
      <c r="C10" s="21" t="s">
        <v>296</v>
      </c>
      <c r="D10" s="22" t="s">
        <v>297</v>
      </c>
      <c r="E10" s="20" t="s">
        <v>298</v>
      </c>
      <c r="F10" s="20" t="s">
        <v>299</v>
      </c>
      <c r="G10" s="20" t="s">
        <v>300</v>
      </c>
      <c r="H10" s="20" t="s">
        <v>301</v>
      </c>
      <c r="I10" s="20" t="s">
        <v>302</v>
      </c>
    </row>
    <row r="11" ht="84.75" spans="1:9">
      <c r="A11" s="21" t="s">
        <v>303</v>
      </c>
      <c r="B11" s="21" t="s">
        <v>304</v>
      </c>
      <c r="C11" s="21" t="s">
        <v>305</v>
      </c>
      <c r="D11" s="22" t="s">
        <v>306</v>
      </c>
      <c r="E11" s="20" t="s">
        <v>307</v>
      </c>
      <c r="F11" s="20" t="s">
        <v>308</v>
      </c>
      <c r="G11" s="20" t="s">
        <v>282</v>
      </c>
      <c r="H11" s="20" t="s">
        <v>309</v>
      </c>
      <c r="I11" s="20" t="s">
        <v>310</v>
      </c>
    </row>
    <row r="12" spans="1:9">
      <c r="A12" s="9"/>
      <c r="B12" s="9"/>
      <c r="C12" s="9"/>
      <c r="D12" s="9"/>
      <c r="E12" s="9"/>
      <c r="F12" s="9"/>
      <c r="G12" s="9"/>
      <c r="H12" s="9"/>
      <c r="I12" s="9"/>
    </row>
    <row r="13" spans="1:9">
      <c r="A13" s="9"/>
      <c r="B13" s="9"/>
      <c r="C13" s="9"/>
      <c r="D13" s="9"/>
      <c r="E13" s="9"/>
      <c r="F13" s="9"/>
      <c r="G13" s="9"/>
      <c r="H13" s="9"/>
      <c r="I13" s="9"/>
    </row>
    <row r="14" ht="30" customHeight="1" spans="1:9">
      <c r="A14" s="23" t="s">
        <v>311</v>
      </c>
      <c r="B14" s="23"/>
      <c r="C14" s="23"/>
      <c r="D14" s="24"/>
      <c r="E14" s="25" t="s">
        <v>312</v>
      </c>
      <c r="F14" s="9"/>
      <c r="G14" s="9"/>
      <c r="H14" s="9"/>
      <c r="I14" s="9"/>
    </row>
    <row r="15" s="8" customFormat="1" ht="28" customHeight="1" spans="1:9">
      <c r="A15" s="26" t="s">
        <v>234</v>
      </c>
      <c r="B15" s="26" t="s">
        <v>235</v>
      </c>
      <c r="C15" s="26" t="s">
        <v>236</v>
      </c>
      <c r="D15" s="27" t="s">
        <v>237</v>
      </c>
      <c r="E15" s="28"/>
      <c r="F15" s="9"/>
      <c r="G15" s="9"/>
      <c r="H15" s="9"/>
      <c r="I15" s="9"/>
    </row>
    <row r="16" ht="42.75" spans="1:9">
      <c r="A16" s="21" t="s">
        <v>313</v>
      </c>
      <c r="B16" s="21" t="s">
        <v>314</v>
      </c>
      <c r="C16" s="21" t="s">
        <v>315</v>
      </c>
      <c r="D16" s="22" t="s">
        <v>316</v>
      </c>
      <c r="E16" s="28"/>
      <c r="F16" s="9"/>
      <c r="G16" s="9"/>
      <c r="H16" s="9"/>
      <c r="I16" s="9"/>
    </row>
    <row r="17" ht="42.75" spans="1:9">
      <c r="A17" s="21" t="s">
        <v>317</v>
      </c>
      <c r="B17" s="21" t="s">
        <v>318</v>
      </c>
      <c r="C17" s="21" t="s">
        <v>319</v>
      </c>
      <c r="D17" s="22" t="s">
        <v>320</v>
      </c>
      <c r="E17" s="28"/>
      <c r="F17" s="9"/>
      <c r="G17" s="9"/>
      <c r="H17" s="9"/>
      <c r="I17" s="9"/>
    </row>
    <row r="18" ht="42.75" spans="1:9">
      <c r="A18" s="21" t="s">
        <v>321</v>
      </c>
      <c r="B18" s="21" t="s">
        <v>322</v>
      </c>
      <c r="C18" s="21" t="s">
        <v>323</v>
      </c>
      <c r="D18" s="22" t="s">
        <v>324</v>
      </c>
      <c r="E18" s="28"/>
      <c r="F18" s="9"/>
      <c r="G18" s="9"/>
      <c r="H18" s="9"/>
      <c r="I18" s="9"/>
    </row>
    <row r="19" ht="42.75" spans="1:9">
      <c r="A19" s="21" t="s">
        <v>325</v>
      </c>
      <c r="B19" s="21" t="s">
        <v>326</v>
      </c>
      <c r="C19" s="21" t="s">
        <v>327</v>
      </c>
      <c r="D19" s="22" t="s">
        <v>328</v>
      </c>
      <c r="E19" s="29"/>
      <c r="F19" s="9"/>
      <c r="G19" s="9"/>
      <c r="H19" s="9"/>
      <c r="I19" s="9"/>
    </row>
  </sheetData>
  <mergeCells count="3">
    <mergeCell ref="A2:I2"/>
    <mergeCell ref="A14:D14"/>
    <mergeCell ref="E14:E19"/>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
  <sheetViews>
    <sheetView workbookViewId="0">
      <selection activeCell="A1" sqref="A1"/>
    </sheetView>
  </sheetViews>
  <sheetFormatPr defaultColWidth="8.60909090909091" defaultRowHeight="14"/>
  <cols>
    <col min="2" max="2" width="15.6727272727273"/>
    <col min="10" max="10" width="7.56363636363636" customWidth="1"/>
    <col min="11" max="11" width="4.4" customWidth="1"/>
    <col min="12" max="12" width="13.2727272727273" customWidth="1"/>
    <col min="13" max="13" width="29.7272727272727" customWidth="1"/>
    <col min="14" max="14" width="22.5454545454545" customWidth="1"/>
    <col min="15" max="15" width="15.3636363636364" customWidth="1"/>
  </cols>
  <sheetData>
    <row r="1" ht="56" spans="1:27">
      <c r="A1" s="1" t="s">
        <v>198</v>
      </c>
      <c r="B1" s="1" t="s">
        <v>0</v>
      </c>
      <c r="C1" s="1" t="s">
        <v>1</v>
      </c>
      <c r="D1" s="1" t="s">
        <v>2</v>
      </c>
      <c r="E1" s="1" t="s">
        <v>3</v>
      </c>
      <c r="F1" s="1" t="s">
        <v>4</v>
      </c>
      <c r="G1" s="2" t="s">
        <v>329</v>
      </c>
      <c r="H1" s="1" t="s">
        <v>6</v>
      </c>
      <c r="I1" s="1" t="s">
        <v>7</v>
      </c>
      <c r="J1" s="1" t="s">
        <v>330</v>
      </c>
      <c r="K1" s="1" t="s">
        <v>331</v>
      </c>
      <c r="L1" s="1" t="s">
        <v>8</v>
      </c>
      <c r="M1" s="1" t="s">
        <v>9</v>
      </c>
      <c r="N1" s="1" t="s">
        <v>10</v>
      </c>
      <c r="O1" s="1" t="s">
        <v>11</v>
      </c>
      <c r="P1" s="1" t="s">
        <v>12</v>
      </c>
      <c r="Q1" s="1" t="s">
        <v>13</v>
      </c>
      <c r="R1" s="1" t="s">
        <v>14</v>
      </c>
      <c r="S1" s="1" t="s">
        <v>332</v>
      </c>
      <c r="T1" s="1" t="s">
        <v>333</v>
      </c>
      <c r="U1" s="1" t="s">
        <v>334</v>
      </c>
      <c r="V1" s="1" t="s">
        <v>335</v>
      </c>
      <c r="W1" s="1" t="s">
        <v>336</v>
      </c>
      <c r="X1" s="1" t="s">
        <v>337</v>
      </c>
      <c r="Y1" s="1" t="s">
        <v>338</v>
      </c>
      <c r="Z1" s="1" t="s">
        <v>339</v>
      </c>
      <c r="AA1" s="3"/>
    </row>
    <row r="2" ht="66" spans="1:27">
      <c r="A2" s="4">
        <v>1</v>
      </c>
      <c r="B2" s="5">
        <v>46205</v>
      </c>
      <c r="C2" s="4" t="s">
        <v>340</v>
      </c>
      <c r="D2" s="4" t="s">
        <v>341</v>
      </c>
      <c r="E2" s="4" t="s">
        <v>342</v>
      </c>
      <c r="F2" s="4" t="s">
        <v>32</v>
      </c>
      <c r="G2" s="6" t="s">
        <v>19</v>
      </c>
      <c r="H2" s="4" t="s">
        <v>343</v>
      </c>
      <c r="I2" s="4" t="s">
        <v>35</v>
      </c>
      <c r="J2" s="4" t="s">
        <v>344</v>
      </c>
      <c r="K2" s="4"/>
      <c r="L2" s="4" t="s">
        <v>345</v>
      </c>
      <c r="M2" s="4" t="s">
        <v>346</v>
      </c>
      <c r="N2" s="4" t="s">
        <v>347</v>
      </c>
      <c r="O2" s="7" t="s">
        <v>182</v>
      </c>
      <c r="P2" s="4" t="s">
        <v>348</v>
      </c>
      <c r="Q2" s="4" t="s">
        <v>27</v>
      </c>
      <c r="R2" s="4" t="s">
        <v>181</v>
      </c>
      <c r="S2" s="4"/>
      <c r="T2" s="4"/>
      <c r="U2" s="4"/>
      <c r="V2" s="4" t="s">
        <v>133</v>
      </c>
      <c r="W2" s="4" t="s">
        <v>133</v>
      </c>
      <c r="X2" s="4" t="s">
        <v>349</v>
      </c>
      <c r="Y2" s="4"/>
      <c r="Z2" s="4" t="s">
        <v>133</v>
      </c>
      <c r="AA2" s="3"/>
    </row>
    <row r="3" ht="84" spans="1:27">
      <c r="A3" s="4">
        <v>2</v>
      </c>
      <c r="B3" s="5">
        <v>46205</v>
      </c>
      <c r="C3" s="4" t="s">
        <v>340</v>
      </c>
      <c r="D3" s="4" t="s">
        <v>49</v>
      </c>
      <c r="E3" s="4" t="s">
        <v>350</v>
      </c>
      <c r="F3" s="4" t="s">
        <v>18</v>
      </c>
      <c r="G3" s="6" t="s">
        <v>19</v>
      </c>
      <c r="H3" s="4" t="s">
        <v>351</v>
      </c>
      <c r="I3" s="4" t="s">
        <v>352</v>
      </c>
      <c r="J3" s="4" t="s">
        <v>344</v>
      </c>
      <c r="K3" s="4"/>
      <c r="L3" s="4" t="s">
        <v>353</v>
      </c>
      <c r="M3" s="4" t="s">
        <v>354</v>
      </c>
      <c r="N3" s="4" t="s">
        <v>355</v>
      </c>
      <c r="O3" s="7" t="s">
        <v>356</v>
      </c>
      <c r="P3" s="4" t="s">
        <v>348</v>
      </c>
      <c r="Q3" s="4" t="s">
        <v>27</v>
      </c>
      <c r="R3" s="4" t="s">
        <v>187</v>
      </c>
      <c r="S3" s="4"/>
      <c r="T3" s="4"/>
      <c r="U3" s="4"/>
      <c r="V3" s="4" t="s">
        <v>133</v>
      </c>
      <c r="W3" s="4" t="s">
        <v>133</v>
      </c>
      <c r="X3" s="4" t="s">
        <v>357</v>
      </c>
      <c r="Y3" s="4"/>
      <c r="Z3" s="4" t="s">
        <v>133</v>
      </c>
      <c r="AA3" s="3"/>
    </row>
    <row r="4" ht="82.5" spans="1:27">
      <c r="A4" s="4">
        <v>3</v>
      </c>
      <c r="B4" s="5">
        <v>46206</v>
      </c>
      <c r="C4" s="4" t="s">
        <v>340</v>
      </c>
      <c r="D4" s="4" t="s">
        <v>358</v>
      </c>
      <c r="E4" s="4" t="s">
        <v>359</v>
      </c>
      <c r="F4" s="4" t="s">
        <v>32</v>
      </c>
      <c r="G4" s="6" t="s">
        <v>19</v>
      </c>
      <c r="H4" s="4" t="s">
        <v>360</v>
      </c>
      <c r="I4" s="4" t="s">
        <v>361</v>
      </c>
      <c r="J4" s="4" t="s">
        <v>344</v>
      </c>
      <c r="K4" s="4"/>
      <c r="L4" s="4" t="s">
        <v>362</v>
      </c>
      <c r="M4" s="4" t="s">
        <v>363</v>
      </c>
      <c r="N4" s="4" t="s">
        <v>364</v>
      </c>
      <c r="O4" s="7" t="s">
        <v>185</v>
      </c>
      <c r="P4" s="4" t="s">
        <v>348</v>
      </c>
      <c r="Q4" s="4" t="s">
        <v>27</v>
      </c>
      <c r="R4" s="4" t="s">
        <v>184</v>
      </c>
      <c r="S4" s="4"/>
      <c r="T4" s="4"/>
      <c r="U4" s="4"/>
      <c r="V4" s="4" t="s">
        <v>133</v>
      </c>
      <c r="W4" s="4" t="s">
        <v>133</v>
      </c>
      <c r="X4" s="4" t="s">
        <v>365</v>
      </c>
      <c r="Y4" s="4"/>
      <c r="Z4" s="4" t="s">
        <v>133</v>
      </c>
      <c r="AA4" s="3"/>
    </row>
    <row r="5" ht="75" spans="1:27">
      <c r="A5" s="4">
        <v>4</v>
      </c>
      <c r="B5" s="5">
        <v>46206</v>
      </c>
      <c r="C5" s="4" t="s">
        <v>340</v>
      </c>
      <c r="D5" s="4" t="s">
        <v>366</v>
      </c>
      <c r="E5" s="4" t="s">
        <v>367</v>
      </c>
      <c r="F5" s="4" t="s">
        <v>32</v>
      </c>
      <c r="G5" s="6" t="s">
        <v>19</v>
      </c>
      <c r="H5" s="4" t="s">
        <v>343</v>
      </c>
      <c r="I5" s="4" t="s">
        <v>35</v>
      </c>
      <c r="J5" s="4" t="s">
        <v>344</v>
      </c>
      <c r="K5" s="4"/>
      <c r="L5" s="4" t="s">
        <v>368</v>
      </c>
      <c r="M5" s="4" t="s">
        <v>369</v>
      </c>
      <c r="N5" s="4" t="s">
        <v>370</v>
      </c>
      <c r="O5" s="7" t="s">
        <v>371</v>
      </c>
      <c r="P5" s="4" t="s">
        <v>348</v>
      </c>
      <c r="Q5" s="4" t="s">
        <v>27</v>
      </c>
      <c r="R5" s="4" t="s">
        <v>181</v>
      </c>
      <c r="S5" s="4"/>
      <c r="T5" s="4"/>
      <c r="U5" s="4"/>
      <c r="V5" s="4" t="s">
        <v>133</v>
      </c>
      <c r="W5" s="4" t="s">
        <v>133</v>
      </c>
      <c r="X5" s="4" t="s">
        <v>372</v>
      </c>
      <c r="Y5" s="4"/>
      <c r="Z5" s="4" t="s">
        <v>133</v>
      </c>
      <c r="AA5" s="3"/>
    </row>
    <row r="6" ht="82.5" spans="1:27">
      <c r="A6" s="4">
        <v>5</v>
      </c>
      <c r="B6" s="5">
        <v>46206</v>
      </c>
      <c r="C6" s="4" t="s">
        <v>340</v>
      </c>
      <c r="D6" s="4" t="s">
        <v>72</v>
      </c>
      <c r="E6" s="4" t="s">
        <v>16</v>
      </c>
      <c r="F6" s="4" t="s">
        <v>18</v>
      </c>
      <c r="G6" s="6" t="s">
        <v>19</v>
      </c>
      <c r="H6" s="4" t="s">
        <v>343</v>
      </c>
      <c r="I6" s="4" t="s">
        <v>35</v>
      </c>
      <c r="J6" s="4" t="s">
        <v>344</v>
      </c>
      <c r="K6" s="4"/>
      <c r="L6" s="4" t="s">
        <v>373</v>
      </c>
      <c r="M6" s="4" t="s">
        <v>374</v>
      </c>
      <c r="N6" s="4" t="s">
        <v>375</v>
      </c>
      <c r="O6" s="7" t="s">
        <v>376</v>
      </c>
      <c r="P6" s="4" t="s">
        <v>348</v>
      </c>
      <c r="Q6" s="4" t="s">
        <v>377</v>
      </c>
      <c r="R6" s="4" t="s">
        <v>181</v>
      </c>
      <c r="S6" s="4"/>
      <c r="T6" s="4"/>
      <c r="U6" s="4"/>
      <c r="V6" s="4" t="s">
        <v>133</v>
      </c>
      <c r="W6" s="4" t="s">
        <v>133</v>
      </c>
      <c r="X6" s="4" t="s">
        <v>378</v>
      </c>
      <c r="Y6" s="4"/>
      <c r="Z6" s="4" t="s">
        <v>133</v>
      </c>
      <c r="AA6" s="3"/>
    </row>
    <row r="7" ht="117" spans="1:27">
      <c r="A7" s="4">
        <v>6</v>
      </c>
      <c r="B7" s="5">
        <v>46206</v>
      </c>
      <c r="C7" s="4" t="s">
        <v>340</v>
      </c>
      <c r="D7" s="4" t="s">
        <v>379</v>
      </c>
      <c r="E7" s="4" t="s">
        <v>380</v>
      </c>
      <c r="F7" s="4" t="s">
        <v>32</v>
      </c>
      <c r="G7" s="6" t="s">
        <v>19</v>
      </c>
      <c r="H7" s="6" t="s">
        <v>381</v>
      </c>
      <c r="I7" s="4" t="s">
        <v>382</v>
      </c>
      <c r="J7" s="4" t="s">
        <v>344</v>
      </c>
      <c r="K7" s="4"/>
      <c r="L7" s="4" t="s">
        <v>383</v>
      </c>
      <c r="M7" s="4" t="s">
        <v>384</v>
      </c>
      <c r="N7" s="4" t="s">
        <v>385</v>
      </c>
      <c r="O7" s="7" t="s">
        <v>386</v>
      </c>
      <c r="P7" s="4" t="s">
        <v>348</v>
      </c>
      <c r="Q7" s="4" t="s">
        <v>27</v>
      </c>
      <c r="R7" s="4" t="s">
        <v>184</v>
      </c>
      <c r="S7" s="4"/>
      <c r="T7" s="4"/>
      <c r="U7" s="4"/>
      <c r="V7" s="4" t="s">
        <v>133</v>
      </c>
      <c r="W7" s="4" t="s">
        <v>133</v>
      </c>
      <c r="X7" s="4" t="s">
        <v>387</v>
      </c>
      <c r="Y7" s="4"/>
      <c r="Z7" s="4" t="s">
        <v>133</v>
      </c>
      <c r="AA7" s="3"/>
    </row>
    <row r="8" ht="42" spans="1:27">
      <c r="A8" s="4">
        <v>7</v>
      </c>
      <c r="B8" s="5">
        <v>46208</v>
      </c>
      <c r="C8" s="4" t="s">
        <v>340</v>
      </c>
      <c r="D8" s="4" t="s">
        <v>358</v>
      </c>
      <c r="E8" s="4" t="s">
        <v>388</v>
      </c>
      <c r="F8" s="4" t="s">
        <v>32</v>
      </c>
      <c r="G8" s="6" t="s">
        <v>19</v>
      </c>
      <c r="H8" s="4" t="s">
        <v>389</v>
      </c>
      <c r="I8" s="4" t="s">
        <v>361</v>
      </c>
      <c r="J8" s="4" t="s">
        <v>344</v>
      </c>
      <c r="K8" s="4"/>
      <c r="L8" s="4" t="s">
        <v>390</v>
      </c>
      <c r="M8" s="4" t="s">
        <v>391</v>
      </c>
      <c r="N8" s="4" t="s">
        <v>392</v>
      </c>
      <c r="O8" s="7" t="s">
        <v>393</v>
      </c>
      <c r="P8" s="4" t="s">
        <v>348</v>
      </c>
      <c r="Q8" s="4" t="s">
        <v>27</v>
      </c>
      <c r="R8" s="4" t="s">
        <v>178</v>
      </c>
      <c r="S8" s="4"/>
      <c r="T8" s="4"/>
      <c r="U8" s="4"/>
      <c r="V8" s="4" t="s">
        <v>133</v>
      </c>
      <c r="W8" s="4" t="s">
        <v>133</v>
      </c>
      <c r="X8" s="4" t="s">
        <v>394</v>
      </c>
      <c r="Y8" s="4"/>
      <c r="Z8" s="4" t="s">
        <v>133</v>
      </c>
      <c r="AA8" s="3"/>
    </row>
    <row r="9" ht="16.5" spans="1:27">
      <c r="A9" s="4">
        <v>8</v>
      </c>
      <c r="B9" s="5"/>
      <c r="C9" s="4"/>
      <c r="D9" s="4"/>
      <c r="E9" s="4"/>
      <c r="F9" s="4"/>
      <c r="G9" s="6"/>
      <c r="H9" s="4"/>
      <c r="I9" s="4"/>
      <c r="J9" s="4"/>
      <c r="K9" s="4"/>
      <c r="L9" s="4"/>
      <c r="M9" s="4"/>
      <c r="N9" s="4"/>
      <c r="O9" s="7"/>
      <c r="P9" s="4"/>
      <c r="Q9" s="4"/>
      <c r="R9" s="4"/>
      <c r="S9" s="4"/>
      <c r="T9" s="4"/>
      <c r="U9" s="4"/>
      <c r="V9" s="4"/>
      <c r="W9" s="4"/>
      <c r="X9" s="4"/>
      <c r="Y9" s="4"/>
      <c r="Z9" s="4"/>
      <c r="AA9" s="3"/>
    </row>
    <row r="10" ht="16.5" spans="1:27">
      <c r="A10" s="4">
        <v>9</v>
      </c>
      <c r="B10" s="5"/>
      <c r="C10" s="4"/>
      <c r="D10" s="4"/>
      <c r="E10" s="4"/>
      <c r="F10" s="4"/>
      <c r="G10" s="6"/>
      <c r="H10" s="4"/>
      <c r="I10" s="4"/>
      <c r="J10" s="4"/>
      <c r="K10" s="4"/>
      <c r="L10" s="4"/>
      <c r="M10" s="4"/>
      <c r="N10" s="4"/>
      <c r="O10" s="7"/>
      <c r="P10" s="4"/>
      <c r="Q10" s="4"/>
      <c r="R10" s="4"/>
      <c r="S10" s="4"/>
      <c r="T10" s="4"/>
      <c r="U10" s="4"/>
      <c r="V10" s="4"/>
      <c r="W10" s="4"/>
      <c r="X10" s="4"/>
      <c r="Y10" s="4"/>
      <c r="Z10" s="4"/>
      <c r="AA10" s="3"/>
    </row>
    <row r="11" ht="75" spans="1:27">
      <c r="A11" s="4">
        <v>10</v>
      </c>
      <c r="B11" s="5">
        <v>46213</v>
      </c>
      <c r="C11" s="4" t="s">
        <v>340</v>
      </c>
      <c r="D11" s="4" t="s">
        <v>358</v>
      </c>
      <c r="E11" s="4" t="s">
        <v>388</v>
      </c>
      <c r="F11" s="4" t="s">
        <v>32</v>
      </c>
      <c r="G11" s="6" t="s">
        <v>19</v>
      </c>
      <c r="H11" s="4" t="s">
        <v>389</v>
      </c>
      <c r="I11" s="4" t="s">
        <v>361</v>
      </c>
      <c r="J11" s="4" t="s">
        <v>344</v>
      </c>
      <c r="K11" s="4"/>
      <c r="L11" s="4" t="s">
        <v>395</v>
      </c>
      <c r="M11" s="4" t="s">
        <v>396</v>
      </c>
      <c r="N11" s="4" t="s">
        <v>397</v>
      </c>
      <c r="O11" s="7" t="s">
        <v>393</v>
      </c>
      <c r="P11" s="4" t="s">
        <v>348</v>
      </c>
      <c r="Q11" s="4" t="s">
        <v>27</v>
      </c>
      <c r="R11" s="4" t="s">
        <v>178</v>
      </c>
      <c r="S11" s="4"/>
      <c r="T11" s="4"/>
      <c r="U11" s="4"/>
      <c r="V11" s="4" t="s">
        <v>133</v>
      </c>
      <c r="W11" s="4" t="s">
        <v>133</v>
      </c>
      <c r="X11" s="4" t="s">
        <v>394</v>
      </c>
      <c r="Y11" s="4"/>
      <c r="Z11" s="4" t="s">
        <v>133</v>
      </c>
      <c r="AA11" s="3"/>
    </row>
    <row r="12" ht="70" spans="1:27">
      <c r="A12" s="4">
        <v>11</v>
      </c>
      <c r="B12" s="5">
        <v>46221</v>
      </c>
      <c r="C12" s="4" t="s">
        <v>340</v>
      </c>
      <c r="D12" s="4" t="s">
        <v>72</v>
      </c>
      <c r="E12" s="4" t="s">
        <v>398</v>
      </c>
      <c r="F12" s="4" t="s">
        <v>399</v>
      </c>
      <c r="G12" s="6" t="s">
        <v>19</v>
      </c>
      <c r="H12" s="4" t="s">
        <v>400</v>
      </c>
      <c r="I12" s="4" t="s">
        <v>382</v>
      </c>
      <c r="J12" s="4" t="s">
        <v>344</v>
      </c>
      <c r="K12" s="4"/>
      <c r="L12" s="4" t="s">
        <v>401</v>
      </c>
      <c r="M12" s="4" t="s">
        <v>402</v>
      </c>
      <c r="N12" s="4" t="s">
        <v>403</v>
      </c>
      <c r="O12" s="7" t="s">
        <v>188</v>
      </c>
      <c r="P12" s="4" t="s">
        <v>348</v>
      </c>
      <c r="Q12" s="4" t="s">
        <v>95</v>
      </c>
      <c r="R12" s="4" t="s">
        <v>187</v>
      </c>
      <c r="S12" s="4"/>
      <c r="T12" s="4"/>
      <c r="U12" s="4"/>
      <c r="V12" s="4" t="s">
        <v>133</v>
      </c>
      <c r="W12" s="4" t="s">
        <v>133</v>
      </c>
      <c r="X12" s="4" t="s">
        <v>404</v>
      </c>
      <c r="Y12" s="4"/>
      <c r="Z12" s="4" t="s">
        <v>405</v>
      </c>
      <c r="AA12" s="3"/>
    </row>
    <row r="13" ht="77.5" spans="1:27">
      <c r="A13" s="4">
        <v>12</v>
      </c>
      <c r="B13" s="5">
        <v>46221</v>
      </c>
      <c r="C13" s="4" t="s">
        <v>340</v>
      </c>
      <c r="D13" s="4" t="s">
        <v>15</v>
      </c>
      <c r="E13" s="4" t="s">
        <v>406</v>
      </c>
      <c r="F13" s="4" t="s">
        <v>32</v>
      </c>
      <c r="G13" s="6" t="s">
        <v>19</v>
      </c>
      <c r="H13" s="4" t="s">
        <v>407</v>
      </c>
      <c r="I13" s="4" t="s">
        <v>352</v>
      </c>
      <c r="J13" s="4" t="s">
        <v>344</v>
      </c>
      <c r="K13" s="4"/>
      <c r="L13" s="4" t="s">
        <v>408</v>
      </c>
      <c r="M13" s="4" t="s">
        <v>409</v>
      </c>
      <c r="N13" s="4" t="s">
        <v>410</v>
      </c>
      <c r="O13" s="7" t="s">
        <v>194</v>
      </c>
      <c r="P13" s="4" t="s">
        <v>348</v>
      </c>
      <c r="Q13" s="4" t="s">
        <v>27</v>
      </c>
      <c r="R13" s="4" t="s">
        <v>193</v>
      </c>
      <c r="S13" s="4"/>
      <c r="T13" s="4"/>
      <c r="U13" s="4"/>
      <c r="V13" s="4" t="s">
        <v>133</v>
      </c>
      <c r="W13" s="4" t="s">
        <v>133</v>
      </c>
      <c r="X13" s="4" t="s">
        <v>411</v>
      </c>
      <c r="Y13" s="4"/>
      <c r="Z13" s="4" t="s">
        <v>133</v>
      </c>
      <c r="AA13" s="3"/>
    </row>
    <row r="14" ht="58.5" spans="1:27">
      <c r="A14" s="4">
        <v>13</v>
      </c>
      <c r="B14" s="5">
        <v>46222</v>
      </c>
      <c r="C14" s="4" t="s">
        <v>340</v>
      </c>
      <c r="D14" s="4" t="s">
        <v>366</v>
      </c>
      <c r="E14" s="4" t="s">
        <v>388</v>
      </c>
      <c r="F14" s="4" t="s">
        <v>18</v>
      </c>
      <c r="G14" s="6" t="s">
        <v>19</v>
      </c>
      <c r="H14" s="4" t="s">
        <v>400</v>
      </c>
      <c r="I14" s="4" t="s">
        <v>382</v>
      </c>
      <c r="J14" s="4" t="s">
        <v>344</v>
      </c>
      <c r="K14" s="4"/>
      <c r="L14" s="4" t="s">
        <v>106</v>
      </c>
      <c r="M14" s="4" t="s">
        <v>412</v>
      </c>
      <c r="N14" s="4" t="s">
        <v>413</v>
      </c>
      <c r="O14" s="7" t="s">
        <v>414</v>
      </c>
      <c r="P14" s="4" t="s">
        <v>348</v>
      </c>
      <c r="Q14" s="4" t="s">
        <v>377</v>
      </c>
      <c r="R14" s="4" t="s">
        <v>187</v>
      </c>
      <c r="S14" s="4"/>
      <c r="T14" s="4"/>
      <c r="U14" s="4"/>
      <c r="V14" s="4" t="s">
        <v>133</v>
      </c>
      <c r="W14" s="4" t="s">
        <v>133</v>
      </c>
      <c r="X14" s="4" t="s">
        <v>415</v>
      </c>
      <c r="Y14" s="4"/>
      <c r="Z14" s="4" t="s">
        <v>133</v>
      </c>
      <c r="AA14" s="3"/>
    </row>
    <row r="15" ht="56" spans="1:27">
      <c r="A15" s="4">
        <v>14</v>
      </c>
      <c r="B15" s="5">
        <v>46223</v>
      </c>
      <c r="C15" s="4" t="s">
        <v>340</v>
      </c>
      <c r="D15" s="4" t="s">
        <v>341</v>
      </c>
      <c r="E15" s="4" t="s">
        <v>416</v>
      </c>
      <c r="F15" s="4" t="s">
        <v>32</v>
      </c>
      <c r="G15" s="6" t="s">
        <v>19</v>
      </c>
      <c r="H15" s="4" t="s">
        <v>417</v>
      </c>
      <c r="I15" s="4" t="s">
        <v>352</v>
      </c>
      <c r="J15" s="4" t="s">
        <v>344</v>
      </c>
      <c r="K15" s="4"/>
      <c r="L15" s="4" t="s">
        <v>418</v>
      </c>
      <c r="M15" s="4" t="s">
        <v>419</v>
      </c>
      <c r="N15" s="4" t="s">
        <v>420</v>
      </c>
      <c r="O15" s="7" t="s">
        <v>421</v>
      </c>
      <c r="P15" s="4" t="s">
        <v>348</v>
      </c>
      <c r="Q15" s="4" t="s">
        <v>27</v>
      </c>
      <c r="R15" s="4" t="s">
        <v>178</v>
      </c>
      <c r="S15" s="4"/>
      <c r="T15" s="4"/>
      <c r="U15" s="4"/>
      <c r="V15" s="4" t="s">
        <v>133</v>
      </c>
      <c r="W15" s="4" t="s">
        <v>133</v>
      </c>
      <c r="X15" s="4" t="s">
        <v>411</v>
      </c>
      <c r="Y15" s="4"/>
      <c r="Z15" s="4" t="s">
        <v>133</v>
      </c>
      <c r="AA15" s="3"/>
    </row>
    <row r="16" ht="72.5" spans="1:27">
      <c r="A16" s="4">
        <v>15</v>
      </c>
      <c r="B16" s="5">
        <v>46223</v>
      </c>
      <c r="C16" s="4" t="s">
        <v>340</v>
      </c>
      <c r="D16" s="4" t="s">
        <v>422</v>
      </c>
      <c r="E16" s="4" t="s">
        <v>423</v>
      </c>
      <c r="F16" s="4" t="s">
        <v>32</v>
      </c>
      <c r="G16" s="6" t="s">
        <v>19</v>
      </c>
      <c r="H16" s="4" t="s">
        <v>343</v>
      </c>
      <c r="I16" s="4" t="s">
        <v>35</v>
      </c>
      <c r="J16" s="4" t="s">
        <v>344</v>
      </c>
      <c r="K16" s="4"/>
      <c r="L16" s="4" t="s">
        <v>424</v>
      </c>
      <c r="M16" s="4" t="s">
        <v>425</v>
      </c>
      <c r="N16" s="4" t="s">
        <v>426</v>
      </c>
      <c r="O16" s="7" t="s">
        <v>427</v>
      </c>
      <c r="P16" s="4" t="s">
        <v>348</v>
      </c>
      <c r="Q16" s="4" t="s">
        <v>27</v>
      </c>
      <c r="R16" s="4" t="s">
        <v>178</v>
      </c>
      <c r="S16" s="4"/>
      <c r="T16" s="4"/>
      <c r="U16" s="4"/>
      <c r="V16" s="4" t="s">
        <v>133</v>
      </c>
      <c r="W16" s="4" t="s">
        <v>133</v>
      </c>
      <c r="X16" s="4" t="s">
        <v>428</v>
      </c>
      <c r="Y16" s="4"/>
      <c r="Z16" s="4" t="s">
        <v>133</v>
      </c>
      <c r="AA16" s="3"/>
    </row>
    <row r="17" ht="16.5" spans="1:27">
      <c r="A17" s="4">
        <v>20</v>
      </c>
      <c r="B17" s="5"/>
      <c r="C17" s="4"/>
      <c r="D17" s="4"/>
      <c r="E17" s="4"/>
      <c r="F17" s="4"/>
      <c r="G17" s="6"/>
      <c r="H17" s="4"/>
      <c r="I17" s="4"/>
      <c r="J17" s="4"/>
      <c r="K17" s="4"/>
      <c r="L17" s="4"/>
      <c r="M17" s="4"/>
      <c r="N17" s="4"/>
      <c r="O17" s="7"/>
      <c r="P17" s="4"/>
      <c r="Q17" s="4"/>
      <c r="R17" s="4"/>
      <c r="S17" s="4"/>
      <c r="T17" s="4"/>
      <c r="U17" s="4"/>
      <c r="V17" s="4"/>
      <c r="W17" s="4"/>
      <c r="X17" s="4"/>
      <c r="Y17" s="4"/>
      <c r="Z17" s="4"/>
      <c r="AA17" s="3"/>
    </row>
    <row r="18" ht="84" spans="1:27">
      <c r="A18" s="4">
        <v>16</v>
      </c>
      <c r="B18" s="5">
        <v>46225</v>
      </c>
      <c r="C18" s="4" t="s">
        <v>340</v>
      </c>
      <c r="D18" s="4" t="s">
        <v>366</v>
      </c>
      <c r="E18" s="4" t="s">
        <v>429</v>
      </c>
      <c r="F18" s="4" t="s">
        <v>32</v>
      </c>
      <c r="G18" s="6" t="s">
        <v>19</v>
      </c>
      <c r="H18" s="4" t="s">
        <v>343</v>
      </c>
      <c r="I18" s="4" t="s">
        <v>35</v>
      </c>
      <c r="J18" s="4" t="s">
        <v>344</v>
      </c>
      <c r="K18" s="4"/>
      <c r="L18" s="4" t="s">
        <v>430</v>
      </c>
      <c r="M18" s="4" t="s">
        <v>431</v>
      </c>
      <c r="N18" s="4" t="s">
        <v>432</v>
      </c>
      <c r="O18" s="7" t="s">
        <v>414</v>
      </c>
      <c r="P18" s="4" t="s">
        <v>348</v>
      </c>
      <c r="Q18" s="4" t="s">
        <v>27</v>
      </c>
      <c r="R18" s="4" t="s">
        <v>178</v>
      </c>
      <c r="S18" s="4"/>
      <c r="T18" s="4"/>
      <c r="U18" s="4"/>
      <c r="V18" s="4" t="s">
        <v>133</v>
      </c>
      <c r="W18" s="4" t="s">
        <v>133</v>
      </c>
      <c r="X18" s="4" t="s">
        <v>433</v>
      </c>
      <c r="Y18" s="4"/>
      <c r="Z18" s="4" t="s">
        <v>133</v>
      </c>
      <c r="AA18" s="3"/>
    </row>
    <row r="19" ht="70" spans="1:27">
      <c r="A19" s="4">
        <v>17</v>
      </c>
      <c r="B19" s="5">
        <v>46226</v>
      </c>
      <c r="C19" s="4" t="s">
        <v>340</v>
      </c>
      <c r="D19" s="4" t="s">
        <v>434</v>
      </c>
      <c r="E19" s="4" t="s">
        <v>434</v>
      </c>
      <c r="F19" s="4" t="s">
        <v>18</v>
      </c>
      <c r="G19" s="6" t="s">
        <v>19</v>
      </c>
      <c r="H19" s="4" t="s">
        <v>343</v>
      </c>
      <c r="I19" s="4" t="s">
        <v>35</v>
      </c>
      <c r="J19" s="4" t="s">
        <v>344</v>
      </c>
      <c r="K19" s="4"/>
      <c r="L19" s="4" t="s">
        <v>435</v>
      </c>
      <c r="M19" s="4" t="s">
        <v>436</v>
      </c>
      <c r="N19" s="4" t="s">
        <v>437</v>
      </c>
      <c r="O19" s="7" t="s">
        <v>438</v>
      </c>
      <c r="P19" s="4" t="s">
        <v>348</v>
      </c>
      <c r="Q19" s="4" t="s">
        <v>377</v>
      </c>
      <c r="R19" s="4" t="s">
        <v>178</v>
      </c>
      <c r="S19" s="4"/>
      <c r="T19" s="4"/>
      <c r="U19" s="4"/>
      <c r="V19" s="4" t="s">
        <v>133</v>
      </c>
      <c r="W19" s="4" t="s">
        <v>133</v>
      </c>
      <c r="X19" s="4" t="s">
        <v>18</v>
      </c>
      <c r="Y19" s="4"/>
      <c r="Z19" s="4" t="s">
        <v>133</v>
      </c>
      <c r="AA19" s="3"/>
    </row>
    <row r="20" ht="16.5" spans="1:27">
      <c r="A20" s="4"/>
      <c r="B20" s="5"/>
      <c r="C20" s="4"/>
      <c r="D20" s="4"/>
      <c r="E20" s="4"/>
      <c r="F20" s="4"/>
      <c r="G20" s="6"/>
      <c r="H20" s="4"/>
      <c r="I20" s="4"/>
      <c r="J20" s="4"/>
      <c r="K20" s="4"/>
      <c r="L20" s="4"/>
      <c r="M20" s="4"/>
      <c r="N20" s="4"/>
      <c r="O20" s="7"/>
      <c r="P20" s="4"/>
      <c r="Q20" s="4"/>
      <c r="R20" s="4"/>
      <c r="S20" s="4"/>
      <c r="T20" s="4"/>
      <c r="U20" s="4"/>
      <c r="V20" s="4"/>
      <c r="W20" s="4"/>
      <c r="X20" s="4"/>
      <c r="Y20" s="4"/>
      <c r="Z20" s="4"/>
      <c r="AA20" s="3"/>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7"/>
  <sheetViews>
    <sheetView workbookViewId="0">
      <selection activeCell="A1" sqref="A1"/>
    </sheetView>
  </sheetViews>
  <sheetFormatPr defaultColWidth="8.60909090909091" defaultRowHeight="14" outlineLevelRow="6"/>
  <cols>
    <col min="12" max="12" width="23.4818181818182" customWidth="1"/>
    <col min="13" max="13" width="29.8818181818182" customWidth="1"/>
    <col min="14" max="14" width="18.1363636363636" customWidth="1"/>
    <col min="15" max="15" width="22.7818181818182" customWidth="1"/>
  </cols>
  <sheetData>
    <row r="1" ht="42" spans="1:27">
      <c r="A1" s="1" t="s">
        <v>198</v>
      </c>
      <c r="B1" s="1" t="s">
        <v>0</v>
      </c>
      <c r="C1" s="1" t="s">
        <v>1</v>
      </c>
      <c r="D1" s="1" t="s">
        <v>2</v>
      </c>
      <c r="E1" s="1" t="s">
        <v>3</v>
      </c>
      <c r="F1" s="1" t="s">
        <v>4</v>
      </c>
      <c r="G1" s="2" t="s">
        <v>329</v>
      </c>
      <c r="H1" s="1" t="s">
        <v>6</v>
      </c>
      <c r="I1" s="1" t="s">
        <v>7</v>
      </c>
      <c r="J1" s="1" t="s">
        <v>330</v>
      </c>
      <c r="K1" s="1" t="s">
        <v>331</v>
      </c>
      <c r="L1" s="1" t="s">
        <v>8</v>
      </c>
      <c r="M1" s="1" t="s">
        <v>9</v>
      </c>
      <c r="N1" s="1" t="s">
        <v>10</v>
      </c>
      <c r="O1" s="1" t="s">
        <v>11</v>
      </c>
      <c r="P1" s="1" t="s">
        <v>12</v>
      </c>
      <c r="Q1" s="1" t="s">
        <v>13</v>
      </c>
      <c r="R1" s="1" t="s">
        <v>14</v>
      </c>
      <c r="S1" s="1" t="s">
        <v>332</v>
      </c>
      <c r="T1" s="1" t="s">
        <v>333</v>
      </c>
      <c r="U1" s="1" t="s">
        <v>334</v>
      </c>
      <c r="V1" s="1" t="s">
        <v>335</v>
      </c>
      <c r="W1" s="1" t="s">
        <v>336</v>
      </c>
      <c r="X1" s="1" t="s">
        <v>337</v>
      </c>
      <c r="Y1" s="1" t="s">
        <v>338</v>
      </c>
      <c r="Z1" s="1" t="s">
        <v>339</v>
      </c>
      <c r="AA1" s="3"/>
    </row>
    <row r="2" ht="49.5" spans="1:27">
      <c r="A2" s="4">
        <v>1</v>
      </c>
      <c r="B2" s="5">
        <v>46209</v>
      </c>
      <c r="C2" s="4" t="s">
        <v>340</v>
      </c>
      <c r="D2" s="4" t="s">
        <v>439</v>
      </c>
      <c r="E2" s="4" t="s">
        <v>440</v>
      </c>
      <c r="F2" s="4" t="s">
        <v>32</v>
      </c>
      <c r="G2" s="6" t="s">
        <v>33</v>
      </c>
      <c r="H2" s="4" t="s">
        <v>441</v>
      </c>
      <c r="I2" s="4" t="s">
        <v>35</v>
      </c>
      <c r="J2" s="4" t="s">
        <v>344</v>
      </c>
      <c r="K2" s="4"/>
      <c r="L2" s="4" t="s">
        <v>442</v>
      </c>
      <c r="M2" s="4" t="s">
        <v>443</v>
      </c>
      <c r="N2" s="4" t="s">
        <v>444</v>
      </c>
      <c r="O2" s="7" t="s">
        <v>445</v>
      </c>
      <c r="P2" s="4" t="s">
        <v>348</v>
      </c>
      <c r="Q2" s="4" t="s">
        <v>27</v>
      </c>
      <c r="R2" s="4" t="s">
        <v>181</v>
      </c>
      <c r="S2" s="4"/>
      <c r="T2" s="4"/>
      <c r="U2" s="4"/>
      <c r="V2" s="4" t="s">
        <v>133</v>
      </c>
      <c r="W2" s="4" t="s">
        <v>133</v>
      </c>
      <c r="X2" s="4" t="s">
        <v>446</v>
      </c>
      <c r="Y2" s="4"/>
      <c r="Z2" s="4" t="s">
        <v>133</v>
      </c>
      <c r="AA2" s="3"/>
    </row>
    <row r="3" ht="67" customHeight="1" spans="1:27">
      <c r="A3" s="4">
        <v>2</v>
      </c>
      <c r="B3" s="5">
        <v>46210</v>
      </c>
      <c r="C3" s="4" t="s">
        <v>340</v>
      </c>
      <c r="D3" s="4" t="s">
        <v>447</v>
      </c>
      <c r="E3" s="4" t="s">
        <v>440</v>
      </c>
      <c r="F3" s="4" t="s">
        <v>18</v>
      </c>
      <c r="G3" s="6" t="s">
        <v>33</v>
      </c>
      <c r="H3" s="4" t="s">
        <v>441</v>
      </c>
      <c r="I3" s="4" t="s">
        <v>35</v>
      </c>
      <c r="J3" s="4" t="s">
        <v>344</v>
      </c>
      <c r="K3" s="4"/>
      <c r="L3" s="4" t="s">
        <v>448</v>
      </c>
      <c r="M3" s="4" t="s">
        <v>449</v>
      </c>
      <c r="N3" s="4" t="s">
        <v>450</v>
      </c>
      <c r="O3" s="7" t="s">
        <v>451</v>
      </c>
      <c r="P3" s="4" t="s">
        <v>348</v>
      </c>
      <c r="Q3" s="4" t="s">
        <v>377</v>
      </c>
      <c r="R3" s="4" t="s">
        <v>452</v>
      </c>
      <c r="S3" s="4"/>
      <c r="T3" s="4"/>
      <c r="U3" s="4"/>
      <c r="V3" s="4" t="s">
        <v>133</v>
      </c>
      <c r="W3" s="4" t="s">
        <v>133</v>
      </c>
      <c r="X3" s="4" t="s">
        <v>411</v>
      </c>
      <c r="Y3" s="4"/>
      <c r="Z3" s="4" t="s">
        <v>133</v>
      </c>
      <c r="AA3" s="3"/>
    </row>
    <row r="4" ht="115" customHeight="1" spans="1:27">
      <c r="A4" s="4">
        <v>3</v>
      </c>
      <c r="B4" s="5">
        <v>46218</v>
      </c>
      <c r="C4" s="4" t="s">
        <v>340</v>
      </c>
      <c r="D4" s="4" t="s">
        <v>453</v>
      </c>
      <c r="E4" s="4" t="s">
        <v>440</v>
      </c>
      <c r="F4" s="4" t="s">
        <v>32</v>
      </c>
      <c r="G4" s="6" t="s">
        <v>33</v>
      </c>
      <c r="H4" s="4" t="s">
        <v>454</v>
      </c>
      <c r="I4" s="4" t="s">
        <v>361</v>
      </c>
      <c r="J4" s="4" t="s">
        <v>344</v>
      </c>
      <c r="K4" s="4"/>
      <c r="L4" s="4" t="s">
        <v>455</v>
      </c>
      <c r="M4" s="4" t="s">
        <v>456</v>
      </c>
      <c r="N4" s="4" t="s">
        <v>457</v>
      </c>
      <c r="O4" s="7" t="s">
        <v>458</v>
      </c>
      <c r="P4" s="4" t="s">
        <v>348</v>
      </c>
      <c r="Q4" s="4" t="s">
        <v>27</v>
      </c>
      <c r="R4" s="4" t="s">
        <v>178</v>
      </c>
      <c r="S4" s="4"/>
      <c r="T4" s="4"/>
      <c r="U4" s="4"/>
      <c r="V4" s="4" t="s">
        <v>133</v>
      </c>
      <c r="W4" s="4" t="s">
        <v>133</v>
      </c>
      <c r="X4" s="4" t="s">
        <v>411</v>
      </c>
      <c r="Y4" s="4"/>
      <c r="Z4" s="4" t="s">
        <v>133</v>
      </c>
      <c r="AA4" s="3"/>
    </row>
    <row r="5" ht="58.5" spans="1:27">
      <c r="A5" s="4">
        <v>4</v>
      </c>
      <c r="B5" s="5">
        <v>46219</v>
      </c>
      <c r="C5" s="4" t="s">
        <v>340</v>
      </c>
      <c r="D5" s="4" t="s">
        <v>459</v>
      </c>
      <c r="E5" s="4" t="s">
        <v>460</v>
      </c>
      <c r="F5" s="4" t="s">
        <v>32</v>
      </c>
      <c r="G5" s="6" t="s">
        <v>33</v>
      </c>
      <c r="H5" s="4" t="s">
        <v>441</v>
      </c>
      <c r="I5" s="4" t="s">
        <v>35</v>
      </c>
      <c r="J5" s="4" t="s">
        <v>344</v>
      </c>
      <c r="K5" s="4"/>
      <c r="L5" s="4" t="s">
        <v>461</v>
      </c>
      <c r="M5" s="4" t="s">
        <v>462</v>
      </c>
      <c r="N5" s="4" t="s">
        <v>463</v>
      </c>
      <c r="O5" s="7" t="s">
        <v>191</v>
      </c>
      <c r="P5" s="4" t="s">
        <v>348</v>
      </c>
      <c r="Q5" s="4" t="s">
        <v>27</v>
      </c>
      <c r="R5" s="4" t="s">
        <v>190</v>
      </c>
      <c r="S5" s="4"/>
      <c r="T5" s="4"/>
      <c r="U5" s="4"/>
      <c r="V5" s="4" t="s">
        <v>133</v>
      </c>
      <c r="W5" s="4" t="s">
        <v>133</v>
      </c>
      <c r="X5" s="4" t="s">
        <v>411</v>
      </c>
      <c r="Y5" s="4"/>
      <c r="Z5" s="4" t="s">
        <v>133</v>
      </c>
      <c r="AA5" s="3"/>
    </row>
    <row r="6" ht="130" customHeight="1" spans="1:27">
      <c r="A6" s="4">
        <v>5</v>
      </c>
      <c r="B6" s="5">
        <v>46224</v>
      </c>
      <c r="C6" s="4" t="s">
        <v>340</v>
      </c>
      <c r="D6" s="4" t="s">
        <v>464</v>
      </c>
      <c r="E6" s="4" t="s">
        <v>464</v>
      </c>
      <c r="F6" s="4" t="s">
        <v>32</v>
      </c>
      <c r="G6" s="6" t="s">
        <v>33</v>
      </c>
      <c r="H6" s="4" t="s">
        <v>441</v>
      </c>
      <c r="I6" s="4" t="s">
        <v>35</v>
      </c>
      <c r="J6" s="4" t="s">
        <v>344</v>
      </c>
      <c r="K6" s="4"/>
      <c r="L6" s="4" t="s">
        <v>465</v>
      </c>
      <c r="M6" s="4" t="s">
        <v>466</v>
      </c>
      <c r="N6" s="4" t="s">
        <v>467</v>
      </c>
      <c r="O6" s="7" t="s">
        <v>468</v>
      </c>
      <c r="P6" s="4" t="s">
        <v>348</v>
      </c>
      <c r="Q6" s="4" t="s">
        <v>27</v>
      </c>
      <c r="R6" s="4" t="s">
        <v>178</v>
      </c>
      <c r="S6" s="4"/>
      <c r="T6" s="4"/>
      <c r="U6" s="4"/>
      <c r="V6" s="4" t="s">
        <v>133</v>
      </c>
      <c r="W6" s="4" t="s">
        <v>133</v>
      </c>
      <c r="X6" s="4" t="s">
        <v>411</v>
      </c>
      <c r="Y6" s="4"/>
      <c r="Z6" s="4" t="s">
        <v>133</v>
      </c>
      <c r="AA6" s="3"/>
    </row>
    <row r="7" ht="50" customHeight="1" spans="1:27">
      <c r="A7" s="4">
        <v>6</v>
      </c>
      <c r="B7" s="5">
        <v>46233</v>
      </c>
      <c r="C7" s="4" t="s">
        <v>340</v>
      </c>
      <c r="D7" s="4" t="s">
        <v>464</v>
      </c>
      <c r="E7" s="4" t="s">
        <v>464</v>
      </c>
      <c r="F7" s="4" t="s">
        <v>18</v>
      </c>
      <c r="G7" s="6" t="s">
        <v>33</v>
      </c>
      <c r="H7" s="4" t="s">
        <v>441</v>
      </c>
      <c r="I7" s="4" t="s">
        <v>35</v>
      </c>
      <c r="J7" s="4" t="s">
        <v>344</v>
      </c>
      <c r="K7" s="4"/>
      <c r="L7" s="4" t="s">
        <v>469</v>
      </c>
      <c r="M7" s="4" t="s">
        <v>470</v>
      </c>
      <c r="N7" s="4" t="s">
        <v>471</v>
      </c>
      <c r="O7" s="7" t="s">
        <v>472</v>
      </c>
      <c r="P7" s="4" t="s">
        <v>348</v>
      </c>
      <c r="Q7" s="4" t="s">
        <v>377</v>
      </c>
      <c r="R7" s="4" t="s">
        <v>178</v>
      </c>
      <c r="S7" s="4"/>
      <c r="T7" s="4"/>
      <c r="U7" s="4"/>
      <c r="V7" s="4" t="s">
        <v>133</v>
      </c>
      <c r="W7" s="4" t="s">
        <v>133</v>
      </c>
      <c r="X7" s="4" t="s">
        <v>473</v>
      </c>
      <c r="Y7" s="4"/>
      <c r="Z7" s="4" t="s">
        <v>133</v>
      </c>
      <c r="AA7"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有效舆情明细表</vt:lpstr>
      <vt:lpstr>官方舆论汇总</vt:lpstr>
      <vt:lpstr>公众意见汇总</vt:lpstr>
      <vt:lpstr>排除记录</vt:lpstr>
      <vt:lpstr>人工补查入口及结果</vt:lpstr>
      <vt:lpstr>扁平化数据（青海）</vt:lpstr>
      <vt:lpstr>扁平化数据（西藏）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2026-08-11T06:02:49Z</dcterms:created>
  <dcterms:modified xsi:type="dcterms:W3CDTF">2026-08-11T06:02:53Z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2169E60358FF49E28681F6431FADD6DB_13</vt:lpwstr>
  </property>
  <property fmtid="{D5CDD505-2E9C-101B-9397-08002B2CF9AE}" pid="3" name="KSOProductBuildVer">
    <vt:lpwstr>2052-12.1.0.28043</vt:lpwstr>
  </property>
  <property fmtid="{D5CDD505-2E9C-101B-9397-08002B2CF9AE}" pid="4" name="CalculationRule">
    <vt:i4>0</vt:i4>
  </property>
</Properties>
</file>