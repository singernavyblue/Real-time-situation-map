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提交说明" sheetId="1" r:id="rId1"/>
    <sheet name="第一部分_有效舆情明细" sheetId="2" r:id="rId2"/>
    <sheet name="第二部分_官方实施信息" sheetId="3" r:id="rId3"/>
    <sheet name="第三部分_公众意见汇总" sheetId="4" r:id="rId4"/>
    <sheet name="第四部分_排除记录" sheetId="5" r:id="rId5"/>
    <sheet name="第五部分_视频号与人工补查" sheetId="6" r:id="rId6"/>
    <sheet name="第六部分_检索日志" sheetId="7" r:id="rId7"/>
    <sheet name="第七部分_扁平化数据" sheetId="8" r:id="rId8"/>
    <sheet name="第八部分_监测来源清单" sheetId="9" r:id="rId9"/>
    <sheet name="第九部分_8月7日复核汇总"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<sst xmlns="http://schemas.openxmlformats.org/spreadsheetml/2006/main" count="3874" uniqueCount="900">
  <si>
    <t>新疆区州网页与视频号舆情监测结果（最终合并版）</t>
  </si>
  <si>
    <t>1</t>
  </si>
  <si>
    <t>任务范围：新疆维吾尔自治区、伊犁州、博州、昌吉州、巴州、克州的公开网页及指定微信视频号/公众号；自治县由第9号负责人完成。</t>
  </si>
  <si>
    <t>监测固定时间范围：2026-07-01 00:00—2026-08-05 23:59（北京时间）；已于2026-08-07完成补充复核并合并。</t>
  </si>
  <si>
    <t>指标</t>
  </si>
  <si>
    <t>数量/结论</t>
  </si>
  <si>
    <t>复核结论</t>
  </si>
  <si>
    <t>监测来源数</t>
  </si>
  <si>
    <t>31项监测来源</t>
  </si>
  <si>
    <t>按第八部分监测来源清单计：15个网站、1个平台、14个微信公众号/视频号、1个微信视频号</t>
  </si>
  <si>
    <t>查看信息数</t>
  </si>
  <si>
    <t>约735条以上</t>
  </si>
  <si>
    <t>沿用学生人工累计口径；现有工作簿未提供足以逐条反推735的完整查看量台账</t>
  </si>
  <si>
    <t>民族议题相关内容数</t>
  </si>
  <si>
    <t>按内容数统计；包含视频号137条评论汇总展开计数</t>
  </si>
  <si>
    <t>其中：与本法及实施明确相关</t>
  </si>
  <si>
    <t>民族议题相关201条中排除1条B类间接关联条目（高校实践队调研非遗，正文未直接提及本法）</t>
  </si>
  <si>
    <t>官方实施信息</t>
  </si>
  <si>
    <t>按第二部分“官方实施信息”去重条目统计</t>
  </si>
  <si>
    <t>媒体报道/解读</t>
  </si>
  <si>
    <t>沿用原媒体报道/解读去重口径</t>
  </si>
  <si>
    <t>可计入公众/个人观点</t>
  </si>
  <si>
    <t>按第三部分公众意见汇总统计</t>
  </si>
  <si>
    <t>非支持态度（担忧/质疑/批评/投诉等）</t>
  </si>
  <si>
    <t>可确认的非支持态度为B站“感觉有点激进，希望司法解释……”1条担忧影响；原始母视频具体URL/截图仍需补证</t>
  </si>
  <si>
    <t>少数民族语言有效内容</t>
  </si>
  <si>
    <t>1条中维双语视频＋1条维吾尔文评论（后者待语言复核）</t>
  </si>
  <si>
    <t>序号</t>
  </si>
  <si>
    <t>发布日期</t>
  </si>
  <si>
    <t>采集来源</t>
  </si>
  <si>
    <t>平台或网站</t>
  </si>
  <si>
    <t>账号或栏目名称</t>
  </si>
  <si>
    <t>来源类型</t>
  </si>
  <si>
    <t>涉及地区</t>
  </si>
  <si>
    <t>行政层级</t>
  </si>
  <si>
    <t>原始语言</t>
  </si>
  <si>
    <t>中文翻译</t>
  </si>
  <si>
    <t>标题或话题</t>
  </si>
  <si>
    <t>原文证据摘录</t>
  </si>
  <si>
    <t>客观摘要</t>
  </si>
  <si>
    <t>原始链接</t>
  </si>
  <si>
    <t>关联度</t>
  </si>
  <si>
    <t>意见类型</t>
  </si>
  <si>
    <t>具体议题</t>
  </si>
  <si>
    <t>点赞量</t>
  </si>
  <si>
    <t>评论量</t>
  </si>
  <si>
    <t>转发量</t>
  </si>
  <si>
    <t>是否重复</t>
  </si>
  <si>
    <t>是否待核实</t>
  </si>
  <si>
    <t>人工复核说明</t>
  </si>
  <si>
    <t>其他转载平台</t>
  </si>
  <si>
    <t>是否计入公众统计</t>
  </si>
  <si>
    <t>2026-07-04</t>
  </si>
  <si>
    <t>网页公开检索</t>
  </si>
  <si>
    <t>新疆日报电子版</t>
  </si>
  <si>
    <t>A03要闻</t>
  </si>
  <si>
    <t>新疆维吾尔自治区</t>
  </si>
  <si>
    <t>自治区</t>
  </si>
  <si>
    <t>中文</t>
  </si>
  <si>
    <t>新时代新疆干部大讲堂民族团结进步促进法专题辅导讲座举行</t>
  </si>
  <si>
    <t>把学习宣传贯彻民族团结进步促进法作为一项重大政治任务。</t>
  </si>
  <si>
    <t>7月3日自治区举办专题辅导讲座。</t>
  </si>
  <si>
    <t>https://xjrb.ts.cn/xjrb/20260704/259878.html</t>
  </si>
  <si>
    <t>A</t>
  </si>
  <si>
    <t>官方政策信息</t>
  </si>
  <si>
    <t>干部培训、普法宣传、组织实施</t>
  </si>
  <si>
    <t>否</t>
  </si>
  <si>
    <t>已核验标题、日期、正文和原始页面。</t>
  </si>
  <si>
    <t>人民网新疆频道等有转载</t>
  </si>
  <si>
    <t>2</t>
  </si>
  <si>
    <t>2026-07-07</t>
  </si>
  <si>
    <t>A05理论学习</t>
  </si>
  <si>
    <t>媒体报道</t>
  </si>
  <si>
    <t>夯实中华民族共同体建设的法治根基</t>
  </si>
  <si>
    <t>民族团结进步促进法自7月1日起正式施行。</t>
  </si>
  <si>
    <t>理论文章从法治框架、分类宣传和基层落实等角度分析法律实施。</t>
  </si>
  <si>
    <t>https://xjrb.ts.cn/xjrb/20260707/260002.html</t>
  </si>
  <si>
    <t>中性信息</t>
  </si>
  <si>
    <t>政策解读、分众普法、基层落实</t>
  </si>
  <si>
    <t>已核验原文页面；属于媒体理论解读，不计作公众支持。</t>
  </si>
  <si>
    <t>3</t>
  </si>
  <si>
    <t>从五个一把握民族团结进步促进法</t>
  </si>
  <si>
    <t>切实做好民族团结进步促进法的贯彻实施。</t>
  </si>
  <si>
    <t>文章以五个一为框架梳理法律。</t>
  </si>
  <si>
    <t>https://xjrb.ts.cn/xjrb/20260707/260003.html</t>
  </si>
  <si>
    <t>法律解读、贯彻实施</t>
  </si>
  <si>
    <t>已核验标题、日期和正文。</t>
  </si>
  <si>
    <t>4</t>
  </si>
  <si>
    <t>2026-07-17</t>
  </si>
  <si>
    <t>A01要闻</t>
  </si>
  <si>
    <t>深入学习宣传贯彻实施民族团结进步促进法 为建设社会主义现代化新疆凝聚强大力量</t>
  </si>
  <si>
    <t>抓好民族团结进步促进法学习宣传培训，加强组织实施和督促落实。</t>
  </si>
  <si>
    <t>7月16日自治区主要领导到自治区民委调研并召开座谈会。</t>
  </si>
  <si>
    <t>https://xjrb.ts.cn/xjrb/20260717/260427.html</t>
  </si>
  <si>
    <t>自治区部署、学习培训、督促落实</t>
  </si>
  <si>
    <t>已核验原始电子报页面。</t>
  </si>
  <si>
    <t>新疆政府部门网站有转载</t>
  </si>
  <si>
    <t>5</t>
  </si>
  <si>
    <t>2026-07-24</t>
  </si>
  <si>
    <t>天山网—新疆日报</t>
  </si>
  <si>
    <t>自治区人民政府常务会议举办法治专题讲座</t>
  </si>
  <si>
    <t>学习《中华人民共和国民族团结进步促进法》。</t>
  </si>
  <si>
    <t>7月23日自治区人民政府常务会议举办法治专题讲座。</t>
  </si>
  <si>
    <t>https://xjrb.ts.cn/xjrb/20260724/260693.html</t>
  </si>
  <si>
    <t>政府学法、基层宣讲、法治政府</t>
  </si>
  <si>
    <t>已替换为天山网—新疆日报原始页面。</t>
  </si>
  <si>
    <t>新疆政府系统转载页：https://kdjkq.xinjiang.gov.cn/ktdsz/zzq/202607/21290f05bb964448a345073f0ea5d717.shtml</t>
  </si>
  <si>
    <t>6</t>
  </si>
  <si>
    <t>2026-07-31</t>
  </si>
  <si>
    <t>A02要闻</t>
  </si>
  <si>
    <t>自治区人大常委会召开学习贯彻实施民族团结进步促进法座谈会</t>
  </si>
  <si>
    <t>全面有效推动法律高质量实施。</t>
  </si>
  <si>
    <t>7月29日自治区人大常委会召开座谈会，部署法规衔接配套。</t>
  </si>
  <si>
    <t>https://xjrb.ts.cn/xjrb/20260731/261020.html</t>
  </si>
  <si>
    <t>地方配套法规、人大监督、实施问题</t>
  </si>
  <si>
    <t>新疆农业农村厅转载页：https://nynct.xinjiang.gov.cn/xjnynct/c113572/202607/34786d2d8b814340b6ca61469bbfaa40.shtml</t>
  </si>
  <si>
    <t>7</t>
  </si>
  <si>
    <t>学习宣传贯彻民族团结进步促进法 百名人大代表宣讲骨干专题培训班开班</t>
  </si>
  <si>
    <t>100名自治区各级人大代表参加学习培训。</t>
  </si>
  <si>
    <t>7月31日自治区人大常委会举办为期3天的专题培训。</t>
  </si>
  <si>
    <t>https://xjrb.ts.cn/xjrb/20260801/261058.html</t>
  </si>
  <si>
    <t>人大代表培训、基层宣讲、倾听民声</t>
  </si>
  <si>
    <t>天山网页稿时间为2026-07-31 23:52:04，新疆日报版面日期为2026-08-01。</t>
  </si>
  <si>
    <t>原转载页：https://www.alsk.gov.cn/alsk/c129994/202608/b144db5093284446ac714b1cf0bba943.shtml</t>
  </si>
  <si>
    <t>8</t>
  </si>
  <si>
    <t>2026-07-06</t>
  </si>
  <si>
    <t>伊犁哈萨克自治州人民政府</t>
  </si>
  <si>
    <t>重点领域信息公开</t>
  </si>
  <si>
    <t>伊犁哈萨克自治州</t>
  </si>
  <si>
    <t>自治州</t>
  </si>
  <si>
    <t>长图丨一图读懂《中华人民共和国民族团结进步促进法》</t>
  </si>
  <si>
    <t>页面标题直接注明一图读懂该法。</t>
  </si>
  <si>
    <t>伊犁州政府网站转载伊犁零距离长图。</t>
  </si>
  <si>
    <t>https://www.xjyl.gov.cn/xjylz/c112831/zdlyxxgk_list_2.shtml</t>
  </si>
  <si>
    <t>图解政策、政务新媒体传播</t>
  </si>
  <si>
    <t>已在伊犁州政府公开列表核验标题和日期。</t>
  </si>
  <si>
    <t>伊犁零距离</t>
  </si>
  <si>
    <t>9</t>
  </si>
  <si>
    <t>2026-07-25</t>
  </si>
  <si>
    <t>伊犁州人大网</t>
  </si>
  <si>
    <t>本地新闻</t>
  </si>
  <si>
    <t>伊犁州人大常委会举办《中华人民共和国民族团结进步促进法》专题宣讲会</t>
  </si>
  <si>
    <t>网站首页明确列出该专题宣讲会及发布日期2026-07-25。</t>
  </si>
  <si>
    <t>伊犁州人大常委会组织专题宣讲。</t>
  </si>
  <si>
    <t>https://rd.xjyl.gov.cn/html/web/rendayaowen/bendixinwen/2080935983133560834.html?t=4</t>
  </si>
  <si>
    <t>人大宣讲、地方贯彻</t>
  </si>
  <si>
    <t>已复核伊犁州人大官网详情页。</t>
  </si>
  <si>
    <t>10</t>
  </si>
  <si>
    <t>2026-08-01</t>
  </si>
  <si>
    <t>腾讯新闻（博州发布账号）</t>
  </si>
  <si>
    <t>博州发布</t>
  </si>
  <si>
    <t>博尔塔拉蒙古自治州</t>
  </si>
  <si>
    <t>博州第二十一期铸牢中华民族共同体意识大讲堂开讲</t>
  </si>
  <si>
    <t>以学习贯彻《中华人民共和国民族团结进步促进法》推进中华民族共同体建设为主题。</t>
  </si>
  <si>
    <t>7月31日博州开展专题大讲堂，全州近700人参加。</t>
  </si>
  <si>
    <t>https://news.qq.com/rain/a/20260801A0960200</t>
  </si>
  <si>
    <t>专题讲座、视频会议、条文解读</t>
  </si>
  <si>
    <t>已核验账号、发布时间、正文和参与规模。</t>
  </si>
  <si>
    <t>博尔塔拉新闻网、中新网新疆</t>
  </si>
  <si>
    <t>11</t>
  </si>
  <si>
    <t>个人原创观点</t>
  </si>
  <si>
    <t>马兰花谈法律对基层统战工作的作用</t>
  </si>
  <si>
    <t>该法的颁布实施，为基层统战工作提供了坚实的法治遵循。</t>
  </si>
  <si>
    <t>博乐市委统战部干部马兰花表示支持。</t>
  </si>
  <si>
    <t>支持认可</t>
  </si>
  <si>
    <t>基层统战、学法用法、服务群众</t>
  </si>
  <si>
    <t>为媒体报道中的实名引语；不推断其民族、政治立场等个人属性。</t>
  </si>
  <si>
    <t>是</t>
  </si>
  <si>
    <t>12</t>
  </si>
  <si>
    <t>夏依达·帕尔哈提谈青年普法</t>
  </si>
  <si>
    <t>带头学习法律、宣传法律……为民族团结进步事业贡献青春力量。</t>
  </si>
  <si>
    <t>博州团委干部夏依达·帕尔哈提表示支持。</t>
  </si>
  <si>
    <t>青年普法、青少年教育</t>
  </si>
  <si>
    <t>为媒体报道中的实名引语。</t>
  </si>
  <si>
    <t>13</t>
  </si>
  <si>
    <t>2026-07-03</t>
  </si>
  <si>
    <t>昌吉日报电子版</t>
  </si>
  <si>
    <t>理论版</t>
  </si>
  <si>
    <t>昌吉回族自治州</t>
  </si>
  <si>
    <t>以法治之力铸牢中华民族共同体意识</t>
  </si>
  <si>
    <t>贯彻实施民族团结进步促进法……</t>
  </si>
  <si>
    <t>昌吉日报刊发理论文章。</t>
  </si>
  <si>
    <t>https://pcepaper.cjxww.cn/html/2026-07/03/content_1158_355540.htm</t>
  </si>
  <si>
    <t>政策解读、依法治理民族事务</t>
  </si>
  <si>
    <t>已核验电子报原始页面和日期。</t>
  </si>
  <si>
    <t>14</t>
  </si>
  <si>
    <t>2026-07-05</t>
  </si>
  <si>
    <t>新疆统一战线</t>
  </si>
  <si>
    <t>昌吉州党委统战部供稿</t>
  </si>
  <si>
    <t>昌吉州：以法为基聚合力 以宣润心促团结</t>
  </si>
  <si>
    <t>6月23日至7月1日……深入24个村（社区）开展巡回宣讲。</t>
  </si>
  <si>
    <t>昌吉州构建分层分类普法体系，24场、覆盖3000余人次。</t>
  </si>
  <si>
    <t>https://www.xjtzb.gov.cn/static/content/tzdt/2026-07-06/1524830701252517888.html</t>
  </si>
  <si>
    <t>基层宣讲、干部学习、普法覆盖</t>
  </si>
  <si>
    <t>已核验正文；页面显示日期为7月5日，URL生成日期为7月6日。</t>
  </si>
  <si>
    <t>昌吉州党委统战部</t>
  </si>
  <si>
    <t>15</t>
  </si>
  <si>
    <t>2026-07-10</t>
  </si>
  <si>
    <t>深刻把握民族团结进步促进法的内在逻辑</t>
  </si>
  <si>
    <t>宣传好、实施好这部法律，切实把制度优势转化为治理效能。</t>
  </si>
  <si>
    <t>理论文章从历史、理论和实践逻辑分析法律。</t>
  </si>
  <si>
    <t>https://pcepaper.cjxww.cn/html/2026-07/10/content_1158_357122.htm</t>
  </si>
  <si>
    <t>法律阐释、治理效能</t>
  </si>
  <si>
    <t>已核验电子报页面。</t>
  </si>
  <si>
    <t>16</t>
  </si>
  <si>
    <t>巴音郭楞蒙古自治州人民政府</t>
  </si>
  <si>
    <t>今日巴州</t>
  </si>
  <si>
    <t>巴音郭楞蒙古自治州</t>
  </si>
  <si>
    <t>自治州党委常委会召开会议</t>
  </si>
  <si>
    <t>抓好民族团结进步促进法学习宣传贯彻。</t>
  </si>
  <si>
    <t>巴州党委常委会部署法律学习宣传贯彻。</t>
  </si>
  <si>
    <t>https://www.xjbz.gov.cn/xjbz/jrbz/202607/6be59ac3612b4c4eba3db9f02375a6b1.shtml</t>
  </si>
  <si>
    <t>党委部署、学习宣传贯彻</t>
  </si>
  <si>
    <t>已核验巴州政府原始页面。</t>
  </si>
  <si>
    <t>巴音郭楞日报</t>
  </si>
  <si>
    <t>17</t>
  </si>
  <si>
    <t>2026-07-01</t>
  </si>
  <si>
    <t>央广网（青海卫视稿）</t>
  </si>
  <si>
    <t>媒体活动报道</t>
  </si>
  <si>
    <t>团结路上一家人大型全媒体活动7月1日正式启幕</t>
  </si>
  <si>
    <t>新疆巴音郭楞融媒体中心共同开展……大型全媒体活动。</t>
  </si>
  <si>
    <t>巴州融媒体中心参与8省区10家主流媒体联合全媒体报道。</t>
  </si>
  <si>
    <t>https://www.cnr.cn/qhfw/zgqh/20260701/t20260701_527685403.shtml</t>
  </si>
  <si>
    <t>视频与全媒体传播、媒体责任</t>
  </si>
  <si>
    <t>已核验活动时间和法律关联。</t>
  </si>
  <si>
    <t>中国日报、中国传媒大学新闻网等</t>
  </si>
  <si>
    <t>18</t>
  </si>
  <si>
    <t>克孜勒苏柯尔克孜自治州人民政府</t>
  </si>
  <si>
    <t>政府会议</t>
  </si>
  <si>
    <t>克孜勒苏柯尔克孜自治州</t>
  </si>
  <si>
    <t>自治州政府召开常务会议</t>
  </si>
  <si>
    <t>抓好民族团结进步促进法贯彻实施。</t>
  </si>
  <si>
    <t>7月29日克州政府常务会议部署该法贯彻实施。</t>
  </si>
  <si>
    <t>https://www.xjkz.gov.cn/xjkz/c101706/202607/c954268617744c23a93fd42562250ec7.shtml</t>
  </si>
  <si>
    <t>政府部署、群众诉求、合法权益</t>
  </si>
  <si>
    <t>已核验发布机构、日期和正文。</t>
  </si>
  <si>
    <t>克孜勒苏日报</t>
  </si>
  <si>
    <t>19</t>
  </si>
  <si>
    <t>A05要闻</t>
  </si>
  <si>
    <t>全国（天山网刊载）</t>
  </si>
  <si>
    <t>全国</t>
  </si>
  <si>
    <t>为民族团结进步事业行稳致远提供坚实法治保障</t>
  </si>
  <si>
    <t>自7月1日起施行。</t>
  </si>
  <si>
    <t>围绕法律施行背景、制度意义、重点内容作系统报道。</t>
  </si>
  <si>
    <t>https://xjrb.ts.cn/xjrb/20260701/259787.html</t>
  </si>
  <si>
    <t>法律施行、政策解读、配套实施</t>
  </si>
  <si>
    <t>天山网专项复核新增。</t>
  </si>
  <si>
    <t>20</t>
  </si>
  <si>
    <t>2026-07-14</t>
  </si>
  <si>
    <t>阿克苏地区、兵团第一师阿拉尔市</t>
  </si>
  <si>
    <t>地市/兵团师市</t>
  </si>
  <si>
    <t>切实推动各项重点工作提质增效</t>
  </si>
  <si>
    <t>做好《中华人民共和国民族团结进步促进法》学习宣传工作。</t>
  </si>
  <si>
    <t>自治区领导在阿克苏地区和阿拉尔市调研时部署该法学习宣传。</t>
  </si>
  <si>
    <t>https://xjrb.ts.cn/xjrb/20260714/260273.html</t>
  </si>
  <si>
    <t>地方调研、学习宣传</t>
  </si>
  <si>
    <t>正文明确部署该法学习宣传。</t>
  </si>
  <si>
    <t>21</t>
  </si>
  <si>
    <t>2026-07-18</t>
  </si>
  <si>
    <t>牢固树立和践行正确政绩观 推进事关长治久安的根本性基础性长远性工作</t>
  </si>
  <si>
    <t>全面贯彻落实民族团结进步促进法。</t>
  </si>
  <si>
    <t>自治区党委理论学习中心组会议明确要求全面贯彻落实该法。</t>
  </si>
  <si>
    <t>https://xjrb.ts.cn/xjrb/20260718/260478.html</t>
  </si>
  <si>
    <t>党委学习、贯彻落实、共同体建设</t>
  </si>
  <si>
    <t>正文存在明确实施要求。</t>
  </si>
  <si>
    <t>22</t>
  </si>
  <si>
    <t>2026-07-23</t>
  </si>
  <si>
    <t>和田地区</t>
  </si>
  <si>
    <t>地区</t>
  </si>
  <si>
    <t>有形有感有效铸牢中华民族共同体意识</t>
  </si>
  <si>
    <t>要全面贯彻落实民族团结进步促进法。</t>
  </si>
  <si>
    <t>自治区领导在和田调研时部署贯彻该法。</t>
  </si>
  <si>
    <t>https://xjrb.ts.cn/xjrb/20260723/260647.html</t>
  </si>
  <si>
    <t>和田调研、文化润疆、语言文字</t>
  </si>
  <si>
    <t>正文明确提出贯彻实施。</t>
  </si>
  <si>
    <t>23</t>
  </si>
  <si>
    <t>2026-07-28</t>
  </si>
  <si>
    <t>锚定五大战略定位 发挥代表作用助力高质量发展</t>
  </si>
  <si>
    <t>以民族团结进步促进法施行为契机……</t>
  </si>
  <si>
    <t>自治区人大代表座谈会提出开展万名代表进万家主题实践。</t>
  </si>
  <si>
    <t>https://xjrb.ts.cn/xjrb/20260728/app_260870.html</t>
  </si>
  <si>
    <t>人大代表履职、基层普法</t>
  </si>
  <si>
    <t>正文包含明确法律实施举措。</t>
  </si>
  <si>
    <t>24</t>
  </si>
  <si>
    <t>新疆维吾尔自治区及兵团</t>
  </si>
  <si>
    <t>自治区/兵团</t>
  </si>
  <si>
    <t>第十一批中央单位援疆工作总结表彰大会举行</t>
  </si>
  <si>
    <t>全面贯彻民族团结进步促进法。</t>
  </si>
  <si>
    <t>援疆干部人才会议将贯彻该法列入工作要求。</t>
  </si>
  <si>
    <t>https://xjrb.ts.cn/xjrb/20260728/260862.html</t>
  </si>
  <si>
    <t>对口援疆、文化润疆、贯彻实施</t>
  </si>
  <si>
    <t>正文明确提出贯彻要求。</t>
  </si>
  <si>
    <t>25</t>
  </si>
  <si>
    <t>微信客户端人工发现</t>
  </si>
  <si>
    <t>微信公众号</t>
  </si>
  <si>
    <t>官方人士公开观点</t>
  </si>
  <si>
    <t>全国人大常委会法工委宪法室负责同志谈法律通过的时机与意义</t>
  </si>
  <si>
    <t>民族团结进步促进法在十五五开局之年表决通过，时机重要、意义重大。</t>
  </si>
  <si>
    <t>官方人士认为该法通过具有重要时机和制度意义。</t>
  </si>
  <si>
    <t>https://mp.weixin.qq.com/s/Qjmm-jdOOW11MjsMDQcKQA</t>
  </si>
  <si>
    <t>立法时机、制度意义</t>
  </si>
  <si>
    <t>观点原话已在新华网/人大公开同稿中核验。</t>
  </si>
  <si>
    <t>https://www.bjrd.gov.cn/xwzx/fzlt/202607/t20260701_4741196.html</t>
  </si>
  <si>
    <t>26</t>
  </si>
  <si>
    <t>个人公开观点</t>
  </si>
  <si>
    <t>艾克热木·艾尔肯谈法律施行的法治保障作用</t>
  </si>
  <si>
    <t>法律的施行必将为推进中华民族共同体建设提供更加坚实的法治保障和广阔发展空间。</t>
  </si>
  <si>
    <t>北京邮电大学教师艾克热木·艾尔肯认为该法施行具有重要保障作用。</t>
  </si>
  <si>
    <t>中华民族共同体建设、法治保障</t>
  </si>
  <si>
    <t>原话已由新华网公开同稿核验。</t>
  </si>
  <si>
    <t>https://app.xinhuanet.com/news/article.html?articleId=2026063040e57026107340c0a26a00322c7e19ba</t>
  </si>
  <si>
    <t>27</t>
  </si>
  <si>
    <t>专家公开观点</t>
  </si>
  <si>
    <t>严庆谈把法律制度优势转化为治理效能</t>
  </si>
  <si>
    <t>以法律实施为契机，将制度优势、法律优势转化为行动指向、治理效能。</t>
  </si>
  <si>
    <t>中央民族大学教授严庆认为应以法律实施为契机落实各项任务。</t>
  </si>
  <si>
    <t>民族事务治理法治化、交往交流交融</t>
  </si>
  <si>
    <t>28</t>
  </si>
  <si>
    <t>网页原始页复核</t>
  </si>
  <si>
    <t>人大代表公开观点</t>
  </si>
  <si>
    <t>徐军谈在自然资源管理中落实民族团结进步要求</t>
  </si>
  <si>
    <t>把民族团结进步要求贯穿自然资源管理全过程，善于运用法治方式推进民族团结工作。</t>
  </si>
  <si>
    <t>伊犁州人大代表徐军表示支持。</t>
  </si>
  <si>
    <t>自然资源管理、法治方式</t>
  </si>
  <si>
    <t>已重新打开伊犁州人大原始详情页核验。</t>
  </si>
  <si>
    <t>伊犁零距离微信同稿：https://mp.weixin.qq.com/s/gg0u5pWZqgri5UySQKcAIw</t>
  </si>
  <si>
    <t>29</t>
  </si>
  <si>
    <t>微信视频号人工核验</t>
  </si>
  <si>
    <t>微信视频号</t>
  </si>
  <si>
    <t>新疆日报维吾尔文</t>
  </si>
  <si>
    <t>中文＋维吾尔文</t>
  </si>
  <si>
    <t>视频画面自带中文对照</t>
  </si>
  <si>
    <t>《中华人民共和国民族团结进步促进法》2026年7月1日起正式施行</t>
  </si>
  <si>
    <t>视频画面以中文和维吾尔文介绍该法正式施行。</t>
  </si>
  <si>
    <t>双语宣传视频，人工核验可见点赞944、转发990、评论139。</t>
  </si>
  <si>
    <t>https://weixin.qq.com/sph/AwzENlIwWa</t>
  </si>
  <si>
    <t>维吾尔文普法、法律施行</t>
  </si>
  <si>
    <t>944</t>
  </si>
  <si>
    <t>139</t>
  </si>
  <si>
    <t>990</t>
  </si>
  <si>
    <t>2026-08-07人工打开视频号原始视频核验。</t>
  </si>
  <si>
    <t>30</t>
  </si>
  <si>
    <t>2026-07-09</t>
  </si>
  <si>
    <t>微信视频号评论区</t>
  </si>
  <si>
    <t>用户评论/留言</t>
  </si>
  <si>
    <t>用户就维吾尔语教学提出咨询</t>
  </si>
  <si>
    <t>什么时候恢复维吾尔语教学</t>
  </si>
  <si>
    <t>用户在维吾尔文宣传视频评论区询问维吾尔语教学恢复时间。</t>
  </si>
  <si>
    <t>B</t>
  </si>
  <si>
    <t>咨询疑问</t>
  </si>
  <si>
    <t>维吾尔语教学、语言教育</t>
  </si>
  <si>
    <t>2026-08-07人工复核时页面显示29天前，记录为2026-07-09。</t>
  </si>
  <si>
    <t>31</t>
  </si>
  <si>
    <t>维吾尔文</t>
  </si>
  <si>
    <t>真正为全体人民着想的道路上会开出鲜花，并将永远繁荣发展。（机器翻译初译，待维吾尔语人员复核）</t>
  </si>
  <si>
    <t>维吾尔文用户评论</t>
  </si>
  <si>
    <t>ھەقىقىي ئومۇمىي خەلقنى ئويلاپ ماڭغان يوللاردىن گۈل ئۈنىدۇ. ھەم مەڭگۈ روناق تاپىدۇ.</t>
  </si>
  <si>
    <t>用户以维吾尔文发表评论；机器翻译显示为正向赞许表达，但最终态度仍待维吾尔语人员复核。</t>
  </si>
  <si>
    <t>待维吾尔语人员复核</t>
  </si>
  <si>
    <t>公众态度、维吾尔文评论</t>
  </si>
  <si>
    <t>已保存维吾尔文原文；中文译文仅作机器翻译辅助，最终态度待维吾尔语人员复核。</t>
  </si>
  <si>
    <t>无</t>
  </si>
  <si>
    <t>32</t>
  </si>
  <si>
    <t>2026-07-06起</t>
  </si>
  <si>
    <t>用户评论/留言汇总</t>
  </si>
  <si>
    <t>中文/表情</t>
  </si>
  <si>
    <t>评论区支持性互动汇总</t>
  </si>
  <si>
    <t>主要为👍、❤️、🌹等正向表情及祝福性表达。</t>
  </si>
  <si>
    <t>人工浏览139条评论，137条为支持性/正向互动。</t>
  </si>
  <si>
    <t>正向互动、表情评论</t>
  </si>
  <si>
    <t>137</t>
  </si>
  <si>
    <t>按原始评论数统计，不去重。</t>
  </si>
  <si>
    <t>33</t>
  </si>
  <si>
    <t>2026-08-04</t>
  </si>
  <si>
    <t>转载</t>
  </si>
  <si>
    <t>和田市人民政府</t>
  </si>
  <si>
    <t>自治区要闻</t>
  </si>
  <si>
    <t>新疆全区</t>
  </si>
  <si>
    <t>7月31日自治区人大常委会举办专题培训班，100名各级代表参加。</t>
  </si>
  <si>
    <t>自治区人大首次就一部法律举办人大代表专题培训班。</t>
  </si>
  <si>
    <t>https://www.hts.gov.cn/...</t>
  </si>
  <si>
    <t>学习培训与宣传覆盖</t>
  </si>
  <si>
    <t>34</t>
  </si>
  <si>
    <t>2026-07-19</t>
  </si>
  <si>
    <t>原始网页</t>
  </si>
  <si>
    <t>中国新闻网</t>
  </si>
  <si>
    <t>哈密市教育局/文旅局/伊吾县委统战部</t>
  </si>
  <si>
    <t>哈密市</t>
  </si>
  <si>
    <t>地级市</t>
  </si>
  <si>
    <t>法润哈密石榴红！多部门深学细悟《民族团结进步促进法》</t>
  </si>
  <si>
    <t>哈密市教育系统234场宣教，研学70场，宣讲76场；伊吾县54场巡回宣讲。</t>
  </si>
  <si>
    <t>哈密市多层次推进法律宣传。</t>
  </si>
  <si>
    <t>http://www.xj.chinanews.com.cn/...</t>
  </si>
  <si>
    <t>基层普法与群众参与；学习培训与宣传覆盖</t>
  </si>
  <si>
    <t>35</t>
  </si>
  <si>
    <t>新疆人大</t>
  </si>
  <si>
    <t>乌鲁木齐市人大常委会机关党委</t>
  </si>
  <si>
    <t>乌鲁木齐市</t>
  </si>
  <si>
    <t>乌鲁木齐市人大常委会举办专题讲座深入学习《民族团结进步促进法》</t>
  </si>
  <si>
    <t>7月28日邀请新疆师范大学教授做专题讲座。</t>
  </si>
  <si>
    <t>市人大开展专题讲座。</t>
  </si>
  <si>
    <t>https://www.xjpcsc.gov.cn/...</t>
  </si>
  <si>
    <t>36</t>
  </si>
  <si>
    <t>2026-07-16</t>
  </si>
  <si>
    <t>乌什县人大常委会</t>
  </si>
  <si>
    <t>乌什县</t>
  </si>
  <si>
    <t>县</t>
  </si>
  <si>
    <t>以法治赋能民族工作 以实干践行人大使命</t>
  </si>
  <si>
    <t>7月14日特邀塔里木大学法学院专家授课。</t>
  </si>
  <si>
    <t>乌什县人大组织专题学习。</t>
  </si>
  <si>
    <t>37</t>
  </si>
  <si>
    <t>昌吉州民委/司法局</t>
  </si>
  <si>
    <t>昌吉州</t>
  </si>
  <si>
    <t>昌吉州开展专题直播访谈</t>
  </si>
  <si>
    <t>7月17日联合新疆广播电视台推出「法治进行时」直播。</t>
  </si>
  <si>
    <t>昌吉州通过直播访谈开展普法宣传。</t>
  </si>
  <si>
    <t>学习培训与宣传覆盖；基层普法与群众参与</t>
  </si>
  <si>
    <t>38</t>
  </si>
  <si>
    <t>2026-08-03</t>
  </si>
  <si>
    <t>人民代表网</t>
  </si>
  <si>
    <t>伊宁好地方客户端</t>
  </si>
  <si>
    <t>伊宁市胡地亚于孜镇</t>
  </si>
  <si>
    <t>镇</t>
  </si>
  <si>
    <t>基层实践搭上立法直通车</t>
  </si>
  <si>
    <t>群众建议被采纳写入该法第28条。</t>
  </si>
  <si>
    <t>基层立法联系点案例。</t>
  </si>
  <si>
    <t>https://www.rmdbw.cn/...</t>
  </si>
  <si>
    <t>基层普法与群众参与；立法与公众参与</t>
  </si>
  <si>
    <t>来源为人民代表网，非原始首发</t>
  </si>
  <si>
    <t>39</t>
  </si>
  <si>
    <t>新疆司法厅</t>
  </si>
  <si>
    <t>自治区人大常委会</t>
  </si>
  <si>
    <t>自治区人大常委会召开学习贯彻实施座谈会</t>
  </si>
  <si>
    <t>7月29日要求加快制定地方性法规。</t>
  </si>
  <si>
    <t>自治区人大座谈会部署法规衔接配套。</t>
  </si>
  <si>
    <t>http://sft.xinjiang.gov.cn/...</t>
  </si>
  <si>
    <t>地方法规衔接与执行机制</t>
  </si>
  <si>
    <t>40</t>
  </si>
  <si>
    <t>石榴云-新疆日报</t>
  </si>
  <si>
    <t>自治区人大代表</t>
  </si>
  <si>
    <t>个人观点（媒体引语）</t>
  </si>
  <si>
    <t>和田县</t>
  </si>
  <si>
    <t>阿不都艾海提·吉力力代表发言</t>
  </si>
  <si>
    <t>代表表示将立足三尺讲台，把铸牢中华民族共同体意识融入育人全过程。</t>
  </si>
  <si>
    <t>人大代表表态。</t>
  </si>
  <si>
    <t>公开具名引语</t>
  </si>
  <si>
    <t>41</t>
  </si>
  <si>
    <t>市人大代表</t>
  </si>
  <si>
    <t>市人大代表周围发言</t>
  </si>
  <si>
    <t>代表表示将当好普法宣传员深入选区宣讲。</t>
  </si>
  <si>
    <t>42</t>
  </si>
  <si>
    <t>2026-07-30</t>
  </si>
  <si>
    <t>木垒零距离</t>
  </si>
  <si>
    <t>木垒县发展和改革委员会</t>
  </si>
  <si>
    <t>木垒县</t>
  </si>
  <si>
    <t>法治引领民族团结，实干赋能高质量发展</t>
  </si>
  <si>
    <t>木垒县发改委组织全体干部职工开展该法专题集中学习。</t>
  </si>
  <si>
    <t>木垒县发改委组织干部专题学习。</t>
  </si>
  <si>
    <t>木垒零距离 2026-07-30</t>
  </si>
  <si>
    <t>43</t>
  </si>
  <si>
    <t>丝路同心圆</t>
  </si>
  <si>
    <t>昌吉州/木垒县</t>
  </si>
  <si>
    <t>自治州/县</t>
  </si>
  <si>
    <t>「同心庭州」宣讲团深入24个村社区开展巡回宣讲，覆盖3000余人次。</t>
  </si>
  <si>
    <t>昌吉州组织巡回宣讲覆盖木垒等县。</t>
  </si>
  <si>
    <t>木垒零距离 2026-07-06</t>
  </si>
  <si>
    <t>基层普法与群众参与</t>
  </si>
  <si>
    <t>44</t>
  </si>
  <si>
    <t>石榴云/新疆日报</t>
  </si>
  <si>
    <t>陈小江艾尔肯·吐尼亚孜在自治区民委调研座谈</t>
  </si>
  <si>
    <t>7月16日自治区主要领导调研民委，部署该法贯彻实施。</t>
  </si>
  <si>
    <t>自治区主要领导调研民委。</t>
  </si>
  <si>
    <t>木垒零距离 2026-07-17</t>
  </si>
  <si>
    <t>45</t>
  </si>
  <si>
    <t>塔什库尔干塔吉克发布</t>
  </si>
  <si>
    <t>法治塔什库尔干</t>
  </si>
  <si>
    <t>塔什库尔干县</t>
  </si>
  <si>
    <t>法治赋能民族团结、共建平安和谐乡村</t>
  </si>
  <si>
    <t>8月3日塔县司法局在班迪尔乡开展国旗下普法宣讲。</t>
  </si>
  <si>
    <t>塔县司法局开展国旗下普法。</t>
  </si>
  <si>
    <t>塔什库尔干塔吉克发布 2026-08-04</t>
  </si>
  <si>
    <t>46</t>
  </si>
  <si>
    <t>深学细悟民族团结法规 普法厚植共同体意识</t>
  </si>
  <si>
    <t>塔县司法局在塔什库尔干乡开展普法宣传，覆盖300余人次。</t>
  </si>
  <si>
    <t>塔县司法局开展乡镇普法。</t>
  </si>
  <si>
    <t>塔什库尔干塔吉克发布 2026-07-30</t>
  </si>
  <si>
    <t>47</t>
  </si>
  <si>
    <t>2026-07-21</t>
  </si>
  <si>
    <t>巴里坤哈萨克发布</t>
  </si>
  <si>
    <t>哈密统战之声</t>
  </si>
  <si>
    <t>巴里坤县</t>
  </si>
  <si>
    <t>法治春风拂草原 团结花开别样红</t>
  </si>
  <si>
    <t>巴里坤县系统部署14项具体任务，累计开展80余场专题学习。</t>
  </si>
  <si>
    <t>巴里坤县部署14项任务推进法律实施。</t>
  </si>
  <si>
    <t>巴里坤哈萨克发布 2026-07-21</t>
  </si>
  <si>
    <t>48</t>
  </si>
  <si>
    <t>察布查尔县零距离</t>
  </si>
  <si>
    <t>伊犁州</t>
  </si>
  <si>
    <t>民族团结进步促进法何以激活伊犁河谷团结新动能？</t>
  </si>
  <si>
    <t>伊犁州通过精准普法、清单压责等举措推动法律落地。</t>
  </si>
  <si>
    <t>伊犁州推进该法落地。</t>
  </si>
  <si>
    <t>察布查尔县零距离 2026-07-03</t>
  </si>
  <si>
    <t>法律施行与总体解读</t>
  </si>
  <si>
    <t>49</t>
  </si>
  <si>
    <t>CUPK工商马院</t>
  </si>
  <si>
    <t>察布查尔县</t>
  </si>
  <si>
    <t>行走的思政课：寻脉锡伯绣韵，织就民族团结锦绣</t>
  </si>
  <si>
    <t>高校实践队赴察布查尔县调研锡伯族刺绣与非遗传承。</t>
  </si>
  <si>
    <t>高校实践队调研非遗与民族团结。</t>
  </si>
  <si>
    <t>察布查尔县零距离 2026-07-28</t>
  </si>
  <si>
    <t>文化交流与非遗保护</t>
  </si>
  <si>
    <t>正文未直接提及该法，属间接关联</t>
  </si>
  <si>
    <t>50</t>
  </si>
  <si>
    <t>焉耆回族发布</t>
  </si>
  <si>
    <t>巴州统一战线</t>
  </si>
  <si>
    <t>焉耆县</t>
  </si>
  <si>
    <t>焉耆县开展《中华人民共和国民族团结进步促进法》集体宣传教育</t>
  </si>
  <si>
    <t>8月3日焉耆县利用升国旗开展专题宣讲，覆盖9个乡镇3500余人次。</t>
  </si>
  <si>
    <t>焉耆县开展国旗下普法。</t>
  </si>
  <si>
    <t>焉耆回族发布 2026-08-03</t>
  </si>
  <si>
    <t>51</t>
  </si>
  <si>
    <t>和布克赛尔蒙古发布</t>
  </si>
  <si>
    <t>和丰统战</t>
  </si>
  <si>
    <t>和布克赛尔县</t>
  </si>
  <si>
    <t>和布克赛尔县巴音敖瓦乡金泉社区开展入户宣讲活动</t>
  </si>
  <si>
    <t>社区组织宣讲员志愿者开展入户走访宣讲。</t>
  </si>
  <si>
    <t>和布克赛尔县社区开展入户宣讲。</t>
  </si>
  <si>
    <t>和布克赛尔蒙古发布 2026-07-31</t>
  </si>
  <si>
    <t>52</t>
  </si>
  <si>
    <t>法润和布克赛尔</t>
  </si>
  <si>
    <t>法治大篷车开进松海湾 双语普法情暖牧区</t>
  </si>
  <si>
    <t>7月11日县司法局联合高校学子走进牧区双语普法。</t>
  </si>
  <si>
    <t>县司法局联合高校走进牧区普法。</t>
  </si>
  <si>
    <t>和布克赛尔蒙古发布 2026-07-14</t>
  </si>
  <si>
    <t>53</t>
  </si>
  <si>
    <t>知乎</t>
  </si>
  <si>
    <t>南海西侯</t>
  </si>
  <si>
    <t>用户评论</t>
  </si>
  <si>
    <t>非地方行政</t>
  </si>
  <si>
    <t>评论回复：我满族人，反对埋没满语。</t>
  </si>
  <si>
    <t>用户表达对满语传承的关切。</t>
  </si>
  <si>
    <t>知乎 2026-08-03</t>
  </si>
  <si>
    <t>咨询/诉求</t>
  </si>
  <si>
    <t>少数民族语言保护</t>
  </si>
  <si>
    <t>已复核：用户表达对满语传承的关切，属语言权利诉求，非对法律的直接批评；态度分类无误。复核人：编号九负责人；复核时间：2026-08-06</t>
  </si>
  <si>
    <t>54</t>
  </si>
  <si>
    <t>知乎用户</t>
  </si>
  <si>
    <t>评论回复：没人阻止你说满语，你不愿意说怪谁？</t>
  </si>
  <si>
    <t>用户回应他人关于满语的评论。</t>
  </si>
  <si>
    <t>用户回应他人观点。</t>
  </si>
  <si>
    <t>观点对立</t>
  </si>
  <si>
    <t>已复核：用户回应他人观点，属观点对立，非对法律的批评；态度分类无误。复核人：编号九负责人；复核时间：2026-08-06</t>
  </si>
  <si>
    <t>55</t>
  </si>
  <si>
    <t>微博</t>
  </si>
  <si>
    <t>梦入虚林</t>
  </si>
  <si>
    <t>新华社博文评论区：怎么执行呢，处罚力度是多少</t>
  </si>
  <si>
    <t>用户就法律执行提出疑问。</t>
  </si>
  <si>
    <t>微博 2026-07-03</t>
  </si>
  <si>
    <t>法律实施与执行</t>
  </si>
  <si>
    <t>已复核：用户就法律执行提出疑问，属咨询类，非批评；态度分类无误。复核人：编号九负责人；复核时间：2026-08-06</t>
  </si>
  <si>
    <t>56</t>
  </si>
  <si>
    <t>2026-07-02</t>
  </si>
  <si>
    <t>B站</t>
  </si>
  <si>
    <t>QH-R</t>
  </si>
  <si>
    <t>评论区：大家一定要团结，有了这部法律那群搅浑水就没地方逃</t>
  </si>
  <si>
    <t>用户表示支持。</t>
  </si>
  <si>
    <t>B站 2026-07-02</t>
  </si>
  <si>
    <t>法律施行与总体评价</t>
  </si>
  <si>
    <t>57</t>
  </si>
  <si>
    <t>评论区：这种要实在看着烦在b站上举报就行</t>
  </si>
  <si>
    <t>用户建议举报不良内容。</t>
  </si>
  <si>
    <t>B站 2026-07-04</t>
  </si>
  <si>
    <t>网络平台责任</t>
  </si>
  <si>
    <t>58</t>
  </si>
  <si>
    <t>评论区：不错</t>
  </si>
  <si>
    <t>用户简短表态。</t>
  </si>
  <si>
    <t>59</t>
  </si>
  <si>
    <t>千冰百丈</t>
  </si>
  <si>
    <t>评论区：敌人越是反对，越是说明我们做对了</t>
  </si>
  <si>
    <t>用户表态支持。</t>
  </si>
  <si>
    <t>B站 2026-07-03</t>
  </si>
  <si>
    <t>国际舆论与回应</t>
  </si>
  <si>
    <t>60</t>
  </si>
  <si>
    <t>TGT_Leader</t>
  </si>
  <si>
    <t>评论区：中国人不受影响，只有炒民族议题希望中国分裂的不可名状之物会受影响</t>
  </si>
  <si>
    <t>用户分析法律影响范围。</t>
  </si>
  <si>
    <t>B站 2026-07-01</t>
  </si>
  <si>
    <t>法律适用范围</t>
  </si>
  <si>
    <t>61</t>
  </si>
  <si>
    <t>-土豆吞噬者-</t>
  </si>
  <si>
    <t>评论区：早该这么干了，国内应该加倍罚</t>
  </si>
  <si>
    <t>用户表态支持并建议加强处罚。</t>
  </si>
  <si>
    <t>法律责任与处罚</t>
  </si>
  <si>
    <t>62</t>
  </si>
  <si>
    <t>凯凯大神的</t>
  </si>
  <si>
    <t>评论区：先把矮大紧、在长城敲鬼子太鼓的还有那些专门挑动社会矛盾的假砖家们给办啰</t>
  </si>
  <si>
    <t>用户建议处理特定对象。</t>
  </si>
  <si>
    <t>具体执法对象</t>
  </si>
  <si>
    <t>63</t>
  </si>
  <si>
    <t>2026-07-13</t>
  </si>
  <si>
    <t>谁谓我无忧我忧谁人知</t>
  </si>
  <si>
    <t>评论区：特朗普说了不该说的话，可以逮捕？</t>
  </si>
  <si>
    <t>用户就域外适用提出疑问。</t>
  </si>
  <si>
    <t>B站 2026-07-13</t>
  </si>
  <si>
    <t>第63条域外适用</t>
  </si>
  <si>
    <t>已复核：用户就第63条域外适用提出疑问，属咨询类；态度分类无误。复核人：编号九负责人；复核时间：2026-08-06</t>
  </si>
  <si>
    <t>64</t>
  </si>
  <si>
    <t>2026-07-12</t>
  </si>
  <si>
    <t>咸鱼弟弟dd</t>
  </si>
  <si>
    <t>评论区：从描述来看感觉有点激进，希望后面的司法解释能够做得好，尽量瞄准正确的对象</t>
  </si>
  <si>
    <t>从描述来看感觉有点激进，希望后面的司法解释能够做得好，尽量瞄准正确的对象</t>
  </si>
  <si>
    <t>用户对法律执行和后续司法解释表达担忧，希望执法对象界定更准确。</t>
  </si>
  <si>
    <t>母视频具体链接待补（原文件仅留存“B站 2026-07-12”）</t>
  </si>
  <si>
    <t>担忧影响</t>
  </si>
  <si>
    <t>已根据原评论文本复核：该评论明确针对本法执行及后续司法解释表达担忧，应恢复计入公众统计。当前文件未保留母视频具体URL和截图，需补证。</t>
  </si>
  <si>
    <t>65</t>
  </si>
  <si>
    <t>2026-08-02</t>
  </si>
  <si>
    <t>小红书</t>
  </si>
  <si>
    <t>momo</t>
  </si>
  <si>
    <t>贵州</t>
  </si>
  <si>
    <t>省</t>
  </si>
  <si>
    <t>评论区：要警惕近年来伊斯兰教在国内的野蛮生长</t>
  </si>
  <si>
    <t>要警惕近年来伊斯兰教在国内的野蛮生长</t>
  </si>
  <si>
    <t>用户批评对象为宗教极端化现象，并非直接批评本法；保留为其他/中性公众观点。</t>
  </si>
  <si>
    <t>母帖具体链接待补（原文件仅留存“小红书 2026-08-02”）</t>
  </si>
  <si>
    <t>宗教与民族团结</t>
  </si>
  <si>
    <t>已复核：批评对象为宗教极端化现象，非直接批评本法；不再归为明确批评，恢复为中性信息。当前文件未留存母帖具体URL和截图，需补证。</t>
  </si>
  <si>
    <t>发布部门/栏目</t>
  </si>
  <si>
    <t>文件或活动名称</t>
  </si>
  <si>
    <t>主要实施内容</t>
  </si>
  <si>
    <t>是否包含意见征集、群众留言或公开答复</t>
  </si>
  <si>
    <t>7月3日自治区举办专题辅导讲座</t>
  </si>
  <si>
    <t>未发现公开意见征集</t>
  </si>
  <si>
    <t>深入学习宣传贯彻实施民族团结进步促进法</t>
  </si>
  <si>
    <t>7月23日自治区人民政府常务会议专题学习该法。</t>
  </si>
  <si>
    <t>7月29日自治区人大常委会专题座谈，部署法规衔接配套。</t>
  </si>
  <si>
    <t>百名人大代表宣讲骨干专题培训班开班</t>
  </si>
  <si>
    <t>伊犁州人大常委会举办专题宣讲会</t>
  </si>
  <si>
    <t>阿克苏地区/兵团第一师</t>
  </si>
  <si>
    <t>自治区领导调研时明确部署该法学习宣传工作。</t>
  </si>
  <si>
    <t>牢固树立和践行正确政绩观</t>
  </si>
  <si>
    <t>自治区党委理论学习中心组明确要求全面贯彻落实该法。</t>
  </si>
  <si>
    <t>自治区领导在和田调研时部署全面贯彻落实该法。</t>
  </si>
  <si>
    <t>会议将全面贯彻该法列入工作要求。</t>
  </si>
  <si>
    <t>新疆日报维吾尔文视频号</t>
  </si>
  <si>
    <t>《中华人民共和国民族团结进步促进法》7月1日起正式施行</t>
  </si>
  <si>
    <t>中文＋维吾尔文双语宣传视频。</t>
  </si>
  <si>
    <t>评论区已人工复核：137条支持性互动、1条咨询疑问、1条维吾尔文评论待语言复核</t>
  </si>
  <si>
    <t>统计项</t>
  </si>
  <si>
    <t>数量</t>
  </si>
  <si>
    <t>有效公众/个人观点及评论总数</t>
  </si>
  <si>
    <t>明确批评</t>
  </si>
  <si>
    <t>投诉维权</t>
  </si>
  <si>
    <t>实施问题</t>
  </si>
  <si>
    <t>公平争议</t>
  </si>
  <si>
    <t>中性/观点对立</t>
  </si>
  <si>
    <t>样本说明</t>
  </si>
  <si>
    <t>公众意见按明细“是否计入公众统计=是”统计；视频号序号32为137条支持性互动汇总，按137条计。B站担忧评论已恢复；小红书评论改为中性信息。</t>
  </si>
  <si>
    <t>主要关注问题（按出现频次）</t>
  </si>
  <si>
    <t/>
  </si>
  <si>
    <t>问题</t>
  </si>
  <si>
    <t>出现次数</t>
  </si>
  <si>
    <t>支持法律施行与总体评价</t>
  </si>
  <si>
    <t>法律执行/适用咨询与诉求</t>
  </si>
  <si>
    <t>说明</t>
  </si>
  <si>
    <t>共160条：支持152、咨询疑问3、咨询/诉求1、担忧1、中性/观点对立2、维吾尔语待复核1。</t>
  </si>
  <si>
    <t>发布日期/状态</t>
  </si>
  <si>
    <t>标题或线索</t>
  </si>
  <si>
    <t>排除原因</t>
  </si>
  <si>
    <t>2026-06-29</t>
  </si>
  <si>
    <t>新疆民委</t>
  </si>
  <si>
    <t>新疆推出学习宣传贯彻民族团结进步促进法16项举措</t>
  </si>
  <si>
    <t>https://mwzjswj.xinjiang.gov.cn/xjmzw/zcjd/nav_list.shtml</t>
  </si>
  <si>
    <t>发布时间不在范围内</t>
  </si>
  <si>
    <t>作为实施背景参考</t>
  </si>
  <si>
    <t>新疆农业农村厅</t>
  </si>
  <si>
    <t>深入贯彻实施民族团结进步促进法</t>
  </si>
  <si>
    <t>https://nynct.xinjiang.gov.cn/xjnynct/c113580/202606/7869f9d4120b418c8e0824c528253063.shtml</t>
  </si>
  <si>
    <t>文章与任务高度相关但不在固定时间范围内</t>
  </si>
  <si>
    <t>2026-06-04</t>
  </si>
  <si>
    <t>克州政府网</t>
  </si>
  <si>
    <t>铸牢共同体 共绘同心圆（克州）</t>
  </si>
  <si>
    <t>https://www.xjkz.gov.cn/xjkz/c123414/202606/2133a1095ca64c82a72633a0a35699de.shtml</t>
  </si>
  <si>
    <t>虽明确提及法律生效日期但不计入有效结果</t>
  </si>
  <si>
    <t>搜狐号</t>
  </si>
  <si>
    <t>巴州：多点发力推动民族团结进步促进法落地生根</t>
  </si>
  <si>
    <t>https://www.sohu.com/a/1054221229_121443915</t>
  </si>
  <si>
    <t>只有二手转述</t>
  </si>
  <si>
    <t>未找到稳定原始发布页</t>
  </si>
  <si>
    <t>伊犁州政府网</t>
  </si>
  <si>
    <t>伊犁州主题巡展启幕</t>
  </si>
  <si>
    <t>https://www.xjyl.gov.cn/xjylz/c112850/202607/896275b8678947f0a590e2a51ddd53d5.shtml</t>
  </si>
  <si>
    <t>仅为一般民族团结宣传</t>
  </si>
  <si>
    <t>未明确与该法实施建立联系</t>
  </si>
  <si>
    <t>2026-07-27</t>
  </si>
  <si>
    <t>中国日报</t>
  </si>
  <si>
    <t>八省区主流媒体共议中华民族共同体故事创新传播</t>
  </si>
  <si>
    <t>https://cn.chinadaily.com.cn/a/202607/27/WS6a6723aaa310d709c2fbffbd.html</t>
  </si>
  <si>
    <t>内容重复</t>
  </si>
  <si>
    <t>与7月1日全媒体活动内容重复</t>
  </si>
  <si>
    <t>网络用户悠然评论</t>
  </si>
  <si>
    <t>你好伊犁[棒][棒]</t>
  </si>
  <si>
    <t>未表达具体观点</t>
  </si>
  <si>
    <t>仅为泛化互动，不计入有效相关信息</t>
  </si>
  <si>
    <t>张永江发言（报道叙述）</t>
  </si>
  <si>
    <t>非直接引语</t>
  </si>
  <si>
    <t>该表述是报道者对宣讲效果的叙述，非本人直接引语</t>
  </si>
  <si>
    <t>momo评论</t>
  </si>
  <si>
    <t>用户表达对宗教极端化的批评</t>
  </si>
  <si>
    <t>已撤销排除，恢复有效明细</t>
  </si>
  <si>
    <t>批评对象为宗教极端化现象，非对本法本身的明确批评；已改为“中性信息”并恢复计入公众统计。母帖具体URL/截图仍需补证。</t>
  </si>
  <si>
    <t>咸鱼弟弟dd评论</t>
  </si>
  <si>
    <t>用户表达对法律执行的关切</t>
  </si>
  <si>
    <t>该评论直接表达对本法执行及司法解释的担忧；已恢复为“担忧影响”并计入公众统计。母视频具体URL/截图仍需补证。</t>
  </si>
  <si>
    <t>平台或账号</t>
  </si>
  <si>
    <t>入口类型</t>
  </si>
  <si>
    <t>无法自动完整获取的原因</t>
  </si>
  <si>
    <t>建议人工搜索关键词</t>
  </si>
  <si>
    <t>重点查看位置</t>
  </si>
  <si>
    <t>当前网页检索情况</t>
  </si>
  <si>
    <t>人工核验时间</t>
  </si>
  <si>
    <t>人工核验结果</t>
  </si>
  <si>
    <t>新疆政府网</t>
  </si>
  <si>
    <t>微信视频号/公众号</t>
  </si>
  <si>
    <t>客户端内容、评论和部分历史视频无法由公开搜索完整抓取</t>
  </si>
  <si>
    <t>民族团结进步促进法；民族团结法；7月1日施行</t>
  </si>
  <si>
    <t>视频标题、发布时间、字幕/口播、评论区、转发语、认证主体</t>
  </si>
  <si>
    <t>网页检索已发现专题讲座</t>
  </si>
  <si>
    <t>2026-08-05</t>
  </si>
  <si>
    <t>已人工核验，发现2条直接相关文章</t>
  </si>
  <si>
    <t>新疆发布</t>
  </si>
  <si>
    <t>视频号页面依赖微信登录，评论不公开索引</t>
  </si>
  <si>
    <t>民族团结进步促进法；专题讲座；贯彻实施</t>
  </si>
  <si>
    <t>视频字幕、评论区、直播回放</t>
  </si>
  <si>
    <t>未取得原始链接</t>
  </si>
  <si>
    <t>新疆日报</t>
  </si>
  <si>
    <t>微信生态历史内容和精选留言不完整公开</t>
  </si>
  <si>
    <t>民族团结进步促进法；五个一；法治根基</t>
  </si>
  <si>
    <t>精选留言、视频字幕、发布日期</t>
  </si>
  <si>
    <t>网页端已核验多篇文章</t>
  </si>
  <si>
    <t>已人工核验，发现1条直接相关文章</t>
  </si>
  <si>
    <t>石榴云</t>
  </si>
  <si>
    <t>客户端内容及互动数据受限</t>
  </si>
  <si>
    <t>民族团结进步促进法；新疆干部大讲堂</t>
  </si>
  <si>
    <t>评论区、短视频口播、转发观点</t>
  </si>
  <si>
    <t>网页端可核验新闻稿</t>
  </si>
  <si>
    <t>伊犁政府网</t>
  </si>
  <si>
    <t>视频号内容无法稳定被搜索引擎收录</t>
  </si>
  <si>
    <t>民族团结进步促进法；伊犁；一图读懂</t>
  </si>
  <si>
    <t>历史视频、评论、原始发布时间</t>
  </si>
  <si>
    <t>州政府网页已发现图解稿</t>
  </si>
  <si>
    <t>公众号留言和视频号评论需微信内查看</t>
  </si>
  <si>
    <t>民族团结进步促进法；专题宣讲会</t>
  </si>
  <si>
    <t>精选留言、视频字幕、转发语</t>
  </si>
  <si>
    <t>网页端发现图解稿线索</t>
  </si>
  <si>
    <t>已人工核验，发现3条直接相关文章</t>
  </si>
  <si>
    <t>博州政府网</t>
  </si>
  <si>
    <t>客户端历史内容和评论受限</t>
  </si>
  <si>
    <t>民族团结进步促进法；博州大讲堂</t>
  </si>
  <si>
    <t>视频会议片段、评论、互动量</t>
  </si>
  <si>
    <t>网页未发现更多原始结果</t>
  </si>
  <si>
    <t>腾讯新闻可见图文，但视频号评论仍不可见</t>
  </si>
  <si>
    <t>民族团结进步促进法；第二十一期大讲堂</t>
  </si>
  <si>
    <t>视频、评论区、转发观点</t>
  </si>
  <si>
    <t>已核验腾讯新闻账号图文及两条实名观点</t>
  </si>
  <si>
    <t>昌吉日报</t>
  </si>
  <si>
    <t>公众号和视频号互动不完整公开</t>
  </si>
  <si>
    <t>民族团结进步促进法；昌吉；法治之力</t>
  </si>
  <si>
    <t>评论、精选留言、短视频字幕</t>
  </si>
  <si>
    <t>网页端已核验两篇理论稿</t>
  </si>
  <si>
    <t>已人工核验，发现0条</t>
  </si>
  <si>
    <t>i昌吉</t>
  </si>
  <si>
    <t>视频号需客户端搜索</t>
  </si>
  <si>
    <t>民族团结进步促进法；巡回宣讲；同心庭州</t>
  </si>
  <si>
    <t>视频发布时间、字幕、评论区</t>
  </si>
  <si>
    <t>公开网页未取得稳定链接</t>
  </si>
  <si>
    <t>微信客户端受限，评论区不可公开核验</t>
  </si>
  <si>
    <t>民族团结进步促进法；巴州；学习宣传贯彻</t>
  </si>
  <si>
    <t>视频字幕、评论、转发语</t>
  </si>
  <si>
    <t>巴州政府网页已核验会议稿</t>
  </si>
  <si>
    <t>巴州文旅之声</t>
  </si>
  <si>
    <t>客户端内容受限且搜索引擎覆盖较弱</t>
  </si>
  <si>
    <t>民族团结进步促进法；团结路上一家人</t>
  </si>
  <si>
    <t>视频作品、评论、语言版本</t>
  </si>
  <si>
    <t>确认巴州融媒体参与全媒体活动</t>
  </si>
  <si>
    <t>克州零距离</t>
  </si>
  <si>
    <t>视频号与公众号留言需客户端人工检查</t>
  </si>
  <si>
    <t>民族团结进步促进法；克州；贯彻实施</t>
  </si>
  <si>
    <t>视频字幕、评论、直播回放</t>
  </si>
  <si>
    <t>克州政府网页已核验会议稿</t>
  </si>
  <si>
    <t>克州政务服务</t>
  </si>
  <si>
    <t>平台登录及历史内容检索受限</t>
  </si>
  <si>
    <t>民族团结进步促进法；群众诉求；12345</t>
  </si>
  <si>
    <t>评论、咨询留言、政府回应</t>
  </si>
  <si>
    <t>未检索到可核验的视频号页面</t>
  </si>
  <si>
    <t>视频号评论区及少数民族语言内容需客户端人工查看</t>
  </si>
  <si>
    <t>民族团结进步促进法；维吾尔文；7月1日施行</t>
  </si>
  <si>
    <t>视频原文、维吾尔文字幕、评论区、互动量</t>
  </si>
  <si>
    <t>已取得可分享原始视频链接</t>
  </si>
  <si>
    <t>2026-08-07</t>
  </si>
  <si>
    <t>发现1条中文＋维吾尔文直接相关视频；人工浏览139条评论：137条支持性/正向互动、1条咨询疑问、1条维吾尔文评论待语言复核</t>
  </si>
  <si>
    <t>已检查平台/网站</t>
  </si>
  <si>
    <t>入口</t>
  </si>
  <si>
    <t>实际使用关键词</t>
  </si>
  <si>
    <t>检查结果</t>
  </si>
  <si>
    <t>限制或备注</t>
  </si>
  <si>
    <t>新疆维吾尔自治区人民政府</t>
  </si>
  <si>
    <t>https://www.xinjiang.gov.cn/</t>
  </si>
  <si>
    <t>找到自治区政府常务会议专题讲座等线索</t>
  </si>
  <si>
    <t>官网部分同题页面搜索索引不稳定，采用政府系统转载页交叉核验</t>
  </si>
  <si>
    <t>天山网/新疆日报</t>
  </si>
  <si>
    <t>https://www.ts.cn/；https://xjrb.ts.cn/</t>
  </si>
  <si>
    <t>法律全称＋新疆＋学习/实施/解读</t>
  </si>
  <si>
    <t>专项复核确认13篇中文有效独立文章，其中7篇已在原主表，新增6篇。</t>
  </si>
  <si>
    <t>已去除同版目录误命中、续版重复；以天山网/新疆日报原始链接优先。</t>
  </si>
  <si>
    <t>https://www.xjyl.gov.cn/</t>
  </si>
  <si>
    <t>法律全称＋伊犁；一图读懂</t>
  </si>
  <si>
    <t>找到7月6日图解稿</t>
  </si>
  <si>
    <t>详情图链接建议微信或官网内再次保存</t>
  </si>
  <si>
    <t>https://rd.xjyl.gov.cn/</t>
  </si>
  <si>
    <t>法律全称＋专题宣讲会</t>
  </si>
  <si>
    <t>找到7月25日专题宣讲会</t>
  </si>
  <si>
    <t>首页可见，详情链接搜索索引不稳定</t>
  </si>
  <si>
    <t>博州政府网/博尔塔拉新闻网</t>
  </si>
  <si>
    <t>https://www.xjboz.gov.cn/；https://www.boznews.cn/</t>
  </si>
  <si>
    <t>法律全称＋博州；大讲堂</t>
  </si>
  <si>
    <t>找到7月31日大讲堂，8月1—4日多平台发布</t>
  </si>
  <si>
    <t>博州发布腾讯新闻稿包含两条实名观点</t>
  </si>
  <si>
    <t>昌吉州政府网/昌吉日报</t>
  </si>
  <si>
    <t>https://www.cj.gov.cn/；https://pcepaper.cjxww.cn/</t>
  </si>
  <si>
    <t>法律全称＋昌吉＋宣传/实施</t>
  </si>
  <si>
    <t>核验3条有效信息</t>
  </si>
  <si>
    <t>电子报与统战部门网页可打开</t>
  </si>
  <si>
    <t>巴州政府网</t>
  </si>
  <si>
    <t>https://www.xjbz.gov.cn/</t>
  </si>
  <si>
    <t>法律全称＋巴州＋学习宣传贯彻</t>
  </si>
  <si>
    <t>核验党委常委会部署；另发现全媒体活动</t>
  </si>
  <si>
    <t>多点发力原始页尚需人工核验</t>
  </si>
  <si>
    <t>https://www.xjkz.gov.cn/</t>
  </si>
  <si>
    <t>法律全称＋克州＋贯彻实施</t>
  </si>
  <si>
    <t>核验7月31日政府常务会议</t>
  </si>
  <si>
    <t>6月内容按时间范围排除</t>
  </si>
  <si>
    <t>微信视频号及公众号</t>
  </si>
  <si>
    <t>微信客户端</t>
  </si>
  <si>
    <t>账号名＋法律全称/简称</t>
  </si>
  <si>
    <t>公开搜索只能取得少量腾讯新闻或网页转载</t>
  </si>
  <si>
    <t>评论、精选留言、口播字幕和历史视频需人工补查</t>
  </si>
  <si>
    <t>平台/网站/账号</t>
  </si>
  <si>
    <t>类型</t>
  </si>
  <si>
    <t>用途</t>
  </si>
  <si>
    <t>网站</t>
  </si>
  <si>
    <t>主动检索</t>
  </si>
  <si>
    <t>天山网</t>
  </si>
  <si>
    <t>https://www.ts.cn/</t>
  </si>
  <si>
    <t>主动检索/原稿核验</t>
  </si>
  <si>
    <t>https://xjrb.ts.cn/</t>
  </si>
  <si>
    <t>主动检索/原始页复核</t>
  </si>
  <si>
    <t>https://www.xjboz.gov.cn/</t>
  </si>
  <si>
    <t>博尔塔拉新闻网</t>
  </si>
  <si>
    <t>https://www.boznews.cn/</t>
  </si>
  <si>
    <t>昌吉州政府网</t>
  </si>
  <si>
    <t>https://www.cj.gov.cn/</t>
  </si>
  <si>
    <t>https://pcepaper.cjxww.cn/</t>
  </si>
  <si>
    <t>转载/交叉核验</t>
  </si>
  <si>
    <t>https://nynct.xinjiang.gov.cn/</t>
  </si>
  <si>
    <t>阿拉山口市人民政府网</t>
  </si>
  <si>
    <t>https://www.alsk.gov.cn/</t>
  </si>
  <si>
    <t>腾讯新闻</t>
  </si>
  <si>
    <t>平台</t>
  </si>
  <si>
    <t>博州发布稿件核验</t>
  </si>
  <si>
    <t>https://news.qq.com/</t>
  </si>
  <si>
    <t>昌吉稿件核验</t>
  </si>
  <si>
    <t>https://www.xjtzb.gov.cn/</t>
  </si>
  <si>
    <t>央广网</t>
  </si>
  <si>
    <t>巴州全媒体活动核验</t>
  </si>
  <si>
    <t>https://www.cnr.cn/</t>
  </si>
  <si>
    <t>微信公众号/视频号</t>
  </si>
  <si>
    <t>人工检索</t>
  </si>
  <si>
    <t>人工检索/留言复核</t>
  </si>
  <si>
    <t>少数民族语言视频及评论区人工复核</t>
  </si>
  <si>
    <t>复核事项</t>
  </si>
  <si>
    <t>复核结果</t>
  </si>
  <si>
    <t>统计/判断口径</t>
  </si>
  <si>
    <t>结论</t>
  </si>
  <si>
    <t>1.监测来源数</t>
  </si>
  <si>
    <t>按第八部分监测来源清单实际条目统计</t>
  </si>
  <si>
    <t>已完成</t>
  </si>
  <si>
    <t>2.查看信息数</t>
  </si>
  <si>
    <t>学生人工累计口径；现有表内仅明确部分查看量，无法由明细完整反推735</t>
  </si>
  <si>
    <t>保留原人工统计并标注口径</t>
  </si>
  <si>
    <t>3a.与民族议题相关内容</t>
  </si>
  <si>
    <t>按内容数统计；恢复2条不应删除的公众意见</t>
  </si>
  <si>
    <t>3b.与本法及实施明确相关</t>
  </si>
  <si>
    <t>民族议题相关201条中排除1条B类间接关联条目（高校实践队调研非遗）</t>
  </si>
  <si>
    <t>4.非支持态度复核</t>
  </si>
  <si>
    <t>已恢复B站担忧评论；小红书评论改为中性信息，不计明确批评</t>
  </si>
  <si>
    <t>1条可确认担忧影响</t>
  </si>
  <si>
    <t>5.少数民族语言有效内容</t>
  </si>
  <si>
    <t>已确认2条少数民族语言相关有效内容：1条中文＋维吾尔文官方视频、1条维吾尔文用户评论。后者机器翻译仅作辅助，态度待维吾尔语人员复核。</t>
  </si>
  <si>
    <t>少数民族语言有效内容2条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</si>
</sst>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font>
    <font>
      <b/>
      <sz val="11"/>
      <name val="Calibri"/>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pplyFont="1">
      <alignment vertical="center"/>
    </xf>
    <xf numFmtId="0" fontId="1" fillId="2" borderId="1" xfId="0" applyNumberFormat="1" applyFont="1" applyFill="1" applyBorder="1" applyAlignment="1">
      <alignment horizontal="center" vertical="center" wrapText="1"/>
    </xf>
    <xf numFmtId="0" fontId="1" fillId="0" borderId="1" xfId="0" applyNumberFormat="1" applyFont="1" applyFill="1" applyBorder="1" applyAlignment="1">
      <alignment vertical="center" wrapText="1"/>
    </xf>
    <xf numFmtId="0" fontId="0" fillId="0" borderId="1" xfId="0" applyNumberFormat="1" applyFont="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Font="1" applyBorder="1" applyAlignment="1">
      <alignment vertical="center" wrapText="1"/>
    </xf>
    <xf numFmtId="0" fontId="0" fillId="0" borderId="0"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selection activeCell="A1" sqref="A1"/>
    </sheetView>
  </sheetViews>
  <sheetFormatPr defaultColWidth="9" defaultRowHeight="14" outlineLevelCol="2"/>
  <cols>
    <col min="1" max="1" width="30" customWidth="1"/>
    <col min="2" max="2" width="60" customWidth="1"/>
    <col min="3" max="3" width="40" customWidth="1"/>
  </cols>
  <sheetData>
    <row r="1" ht="30" customHeight="1" spans="1:3">
      <c r="A1" s="2" t="s">
        <v>0</v>
      </c>
      <c r="B1" s="2" t="s">
        <v>1</v>
      </c>
      <c r="C1" s="2" t="s">
        <v>1</v>
      </c>
    </row>
    <row r="2" ht="22" customHeight="1" spans="1:3">
      <c r="A2" s="3" t="s">
        <v>2</v>
      </c>
      <c r="B2" s="3" t="s">
        <v>1</v>
      </c>
      <c r="C2" s="3" t="s">
        <v>1</v>
      </c>
    </row>
    <row r="3" ht="22" customHeight="1" spans="1:3">
      <c r="A3" s="3" t="s">
        <v>3</v>
      </c>
      <c r="B3" s="3" t="s">
        <v>1</v>
      </c>
      <c r="C3" s="3" t="s">
        <v>1</v>
      </c>
    </row>
    <row r="4" ht="22" customHeight="1" spans="1:3">
      <c r="A4" s="3" t="s">
        <v>1</v>
      </c>
      <c r="B4" s="3" t="s">
        <v>1</v>
      </c>
      <c r="C4" s="3" t="s">
        <v>1</v>
      </c>
    </row>
    <row r="5" ht="22" customHeight="1" spans="1:3">
      <c r="A5" s="2" t="s">
        <v>4</v>
      </c>
      <c r="B5" s="2" t="s">
        <v>5</v>
      </c>
      <c r="C5" s="2" t="s">
        <v>6</v>
      </c>
    </row>
    <row r="6" ht="22" customHeight="1" spans="1:3">
      <c r="A6" s="3" t="s">
        <v>7</v>
      </c>
      <c r="B6" s="3" t="s">
        <v>8</v>
      </c>
      <c r="C6" s="3" t="s">
        <v>9</v>
      </c>
    </row>
    <row r="7" ht="22" customHeight="1" spans="1:3">
      <c r="A7" s="3" t="s">
        <v>10</v>
      </c>
      <c r="B7" s="3" t="s">
        <v>11</v>
      </c>
      <c r="C7" s="3" t="s">
        <v>12</v>
      </c>
    </row>
    <row r="8" ht="22" customHeight="1" spans="1:3">
      <c r="A8" s="3" t="s">
        <v>13</v>
      </c>
      <c r="B8" s="3">
        <v>201</v>
      </c>
      <c r="C8" s="3" t="s">
        <v>14</v>
      </c>
    </row>
    <row r="9" ht="22" customHeight="1" spans="1:3">
      <c r="A9" s="3" t="s">
        <v>15</v>
      </c>
      <c r="B9" s="3">
        <v>200</v>
      </c>
      <c r="C9" s="3" t="s">
        <v>16</v>
      </c>
    </row>
    <row r="10" ht="22" customHeight="1" spans="1:3">
      <c r="A10" s="3" t="s">
        <v>17</v>
      </c>
      <c r="B10" s="3">
        <v>16</v>
      </c>
      <c r="C10" s="3" t="s">
        <v>18</v>
      </c>
    </row>
    <row r="11" ht="22" customHeight="1" spans="1:3">
      <c r="A11" s="3" t="s">
        <v>19</v>
      </c>
      <c r="B11" s="3">
        <v>7</v>
      </c>
      <c r="C11" s="3" t="s">
        <v>20</v>
      </c>
    </row>
    <row r="12" ht="22" customHeight="1" spans="1:3">
      <c r="A12" s="3" t="s">
        <v>21</v>
      </c>
      <c r="B12" s="3">
        <f>第三部分_公众意见汇总!B2</f>
        <v>160</v>
      </c>
      <c r="C12" s="3" t="s">
        <v>22</v>
      </c>
    </row>
    <row r="13" ht="22" customHeight="1" spans="1:3">
      <c r="A13" s="3" t="s">
        <v>23</v>
      </c>
      <c r="B13" s="3">
        <v>1</v>
      </c>
      <c r="C13" s="3" t="s">
        <v>24</v>
      </c>
    </row>
    <row r="14" ht="22" customHeight="1" spans="1:3">
      <c r="A14" s="3" t="s">
        <v>25</v>
      </c>
      <c r="B14" s="3">
        <v>2</v>
      </c>
      <c r="C14" s="3" t="s">
        <v>26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6"/>
  <sheetViews>
    <sheetView workbookViewId="0">
      <selection activeCell="A1" sqref="A1"/>
    </sheetView>
  </sheetViews>
  <sheetFormatPr defaultColWidth="9" defaultRowHeight="14"/>
  <cols>
    <col min="1" max="1" width="6" customWidth="1"/>
    <col min="2" max="2" width="18" customWidth="1"/>
    <col min="3" max="3" width="20" customWidth="1"/>
    <col min="4" max="4" width="18" customWidth="1"/>
    <col min="5" max="5" width="22" customWidth="1"/>
    <col min="6" max="6" width="16" customWidth="1"/>
    <col min="7" max="7" width="14" customWidth="1"/>
    <col min="8" max="8" width="12" customWidth="1"/>
    <col min="9" max="9" width="10" customWidth="1"/>
    <col min="10" max="10" width="30" customWidth="1"/>
    <col min="11" max="11" width="50" customWidth="1"/>
    <col min="12" max="12" width="60" customWidth="1"/>
    <col min="13" max="14" width="40" customWidth="1"/>
    <col min="15" max="15" width="8" customWidth="1"/>
    <col min="16" max="16" width="16" customWidth="1"/>
    <col min="17" max="17" width="30" customWidth="1"/>
    <col min="18" max="20" width="8" customWidth="1"/>
    <col min="21" max="21" width="10" customWidth="1"/>
    <col min="22" max="22" width="12" customWidth="1"/>
    <col min="23" max="23" width="40" customWidth="1"/>
    <col min="24" max="24" width="30" customWidth="1"/>
    <col min="25" max="25" width="18" customWidth="1"/>
  </cols>
  <sheetData>
    <row r="1" ht="30" customHeight="1" spans="1:25">
      <c r="A1" s="4" t="s">
        <v>27</v>
      </c>
      <c r="B1" s="4" t="s">
        <v>28</v>
      </c>
      <c r="C1" s="4" t="s">
        <v>29</v>
      </c>
      <c r="D1" s="4" t="s">
        <v>30</v>
      </c>
      <c r="E1" s="4" t="s">
        <v>31</v>
      </c>
      <c r="F1" s="4" t="s">
        <v>32</v>
      </c>
      <c r="G1" s="4" t="s">
        <v>33</v>
      </c>
      <c r="H1" s="4" t="s">
        <v>34</v>
      </c>
      <c r="I1" s="4" t="s">
        <v>35</v>
      </c>
      <c r="J1" s="4" t="s">
        <v>36</v>
      </c>
      <c r="K1" s="4" t="s">
        <v>37</v>
      </c>
      <c r="L1" s="4" t="s">
        <v>38</v>
      </c>
      <c r="M1" s="4" t="s">
        <v>39</v>
      </c>
      <c r="N1" s="4" t="s">
        <v>40</v>
      </c>
      <c r="O1" s="4" t="s">
        <v>41</v>
      </c>
      <c r="P1" s="4" t="s">
        <v>42</v>
      </c>
      <c r="Q1" s="4" t="s">
        <v>43</v>
      </c>
      <c r="R1" s="4" t="s">
        <v>44</v>
      </c>
      <c r="S1" s="4" t="s">
        <v>45</v>
      </c>
      <c r="T1" s="4" t="s">
        <v>46</v>
      </c>
      <c r="U1" s="4" t="s">
        <v>47</v>
      </c>
      <c r="V1" s="4" t="s">
        <v>48</v>
      </c>
      <c r="W1" s="4" t="s">
        <v>49</v>
      </c>
      <c r="X1" s="4" t="s">
        <v>50</v>
      </c>
      <c r="Y1" s="4" t="s">
        <v>51</v>
      </c>
    </row>
    <row r="2" ht="25" customHeight="1" spans="1:25">
      <c r="A2" s="5" t="s">
        <v>1</v>
      </c>
      <c r="B2" s="5" t="s">
        <v>52</v>
      </c>
      <c r="C2" s="5" t="s">
        <v>53</v>
      </c>
      <c r="D2" s="5" t="s">
        <v>54</v>
      </c>
      <c r="E2" s="5" t="s">
        <v>55</v>
      </c>
      <c r="F2" s="5" t="s">
        <v>17</v>
      </c>
      <c r="G2" s="5" t="s">
        <v>56</v>
      </c>
      <c r="H2" s="5" t="s">
        <v>57</v>
      </c>
      <c r="I2" s="5" t="s">
        <v>58</v>
      </c>
      <c r="J2" s="5" t="s">
        <v>1</v>
      </c>
      <c r="K2" s="5" t="s">
        <v>59</v>
      </c>
      <c r="L2" s="5" t="s">
        <v>60</v>
      </c>
      <c r="M2" s="5" t="s">
        <v>61</v>
      </c>
      <c r="N2" s="5" t="s">
        <v>62</v>
      </c>
      <c r="O2" s="5" t="s">
        <v>63</v>
      </c>
      <c r="P2" s="5" t="s">
        <v>64</v>
      </c>
      <c r="Q2" s="5" t="s">
        <v>65</v>
      </c>
      <c r="R2" s="5" t="s">
        <v>1</v>
      </c>
      <c r="S2" s="5" t="s">
        <v>1</v>
      </c>
      <c r="T2" s="5" t="s">
        <v>1</v>
      </c>
      <c r="U2" s="5" t="s">
        <v>66</v>
      </c>
      <c r="V2" s="5" t="s">
        <v>66</v>
      </c>
      <c r="W2" s="5" t="s">
        <v>67</v>
      </c>
      <c r="X2" s="5" t="s">
        <v>68</v>
      </c>
      <c r="Y2" s="5" t="s">
        <v>66</v>
      </c>
    </row>
    <row r="3" ht="25" customHeight="1" spans="1:25">
      <c r="A3" s="5" t="s">
        <v>69</v>
      </c>
      <c r="B3" s="5" t="s">
        <v>70</v>
      </c>
      <c r="C3" s="5" t="s">
        <v>53</v>
      </c>
      <c r="D3" s="5" t="s">
        <v>54</v>
      </c>
      <c r="E3" s="5" t="s">
        <v>71</v>
      </c>
      <c r="F3" s="5" t="s">
        <v>72</v>
      </c>
      <c r="G3" s="5" t="s">
        <v>56</v>
      </c>
      <c r="H3" s="5" t="s">
        <v>57</v>
      </c>
      <c r="I3" s="5" t="s">
        <v>58</v>
      </c>
      <c r="J3" s="5" t="s">
        <v>1</v>
      </c>
      <c r="K3" s="5" t="s">
        <v>73</v>
      </c>
      <c r="L3" s="5" t="s">
        <v>74</v>
      </c>
      <c r="M3" s="5" t="s">
        <v>75</v>
      </c>
      <c r="N3" s="5" t="s">
        <v>76</v>
      </c>
      <c r="O3" s="5" t="s">
        <v>63</v>
      </c>
      <c r="P3" s="5" t="s">
        <v>77</v>
      </c>
      <c r="Q3" s="5" t="s">
        <v>78</v>
      </c>
      <c r="R3" s="5" t="s">
        <v>1</v>
      </c>
      <c r="S3" s="5" t="s">
        <v>1</v>
      </c>
      <c r="T3" s="5" t="s">
        <v>1</v>
      </c>
      <c r="U3" s="5" t="s">
        <v>66</v>
      </c>
      <c r="V3" s="5" t="s">
        <v>66</v>
      </c>
      <c r="W3" s="5" t="s">
        <v>79</v>
      </c>
      <c r="X3" s="5" t="s">
        <v>1</v>
      </c>
      <c r="Y3" s="5" t="s">
        <v>66</v>
      </c>
    </row>
    <row r="4" ht="25" customHeight="1" spans="1:25">
      <c r="A4" s="5" t="s">
        <v>80</v>
      </c>
      <c r="B4" s="5" t="s">
        <v>70</v>
      </c>
      <c r="C4" s="5" t="s">
        <v>53</v>
      </c>
      <c r="D4" s="5" t="s">
        <v>54</v>
      </c>
      <c r="E4" s="5" t="s">
        <v>71</v>
      </c>
      <c r="F4" s="5" t="s">
        <v>72</v>
      </c>
      <c r="G4" s="5" t="s">
        <v>56</v>
      </c>
      <c r="H4" s="5" t="s">
        <v>57</v>
      </c>
      <c r="I4" s="5" t="s">
        <v>58</v>
      </c>
      <c r="J4" s="5" t="s">
        <v>1</v>
      </c>
      <c r="K4" s="5" t="s">
        <v>81</v>
      </c>
      <c r="L4" s="5" t="s">
        <v>82</v>
      </c>
      <c r="M4" s="5" t="s">
        <v>83</v>
      </c>
      <c r="N4" s="5" t="s">
        <v>84</v>
      </c>
      <c r="O4" s="5" t="s">
        <v>63</v>
      </c>
      <c r="P4" s="5" t="s">
        <v>77</v>
      </c>
      <c r="Q4" s="5" t="s">
        <v>85</v>
      </c>
      <c r="R4" s="5" t="s">
        <v>1</v>
      </c>
      <c r="S4" s="5" t="s">
        <v>1</v>
      </c>
      <c r="T4" s="5" t="s">
        <v>1</v>
      </c>
      <c r="U4" s="5" t="s">
        <v>66</v>
      </c>
      <c r="V4" s="5" t="s">
        <v>66</v>
      </c>
      <c r="W4" s="5" t="s">
        <v>86</v>
      </c>
      <c r="X4" s="5" t="s">
        <v>1</v>
      </c>
      <c r="Y4" s="5" t="s">
        <v>66</v>
      </c>
    </row>
    <row r="5" ht="25" customHeight="1" spans="1:25">
      <c r="A5" s="5" t="s">
        <v>87</v>
      </c>
      <c r="B5" s="5" t="s">
        <v>88</v>
      </c>
      <c r="C5" s="5" t="s">
        <v>53</v>
      </c>
      <c r="D5" s="5" t="s">
        <v>54</v>
      </c>
      <c r="E5" s="5" t="s">
        <v>89</v>
      </c>
      <c r="F5" s="5" t="s">
        <v>17</v>
      </c>
      <c r="G5" s="5" t="s">
        <v>56</v>
      </c>
      <c r="H5" s="5" t="s">
        <v>57</v>
      </c>
      <c r="I5" s="5" t="s">
        <v>58</v>
      </c>
      <c r="J5" s="5" t="s">
        <v>1</v>
      </c>
      <c r="K5" s="5" t="s">
        <v>90</v>
      </c>
      <c r="L5" s="5" t="s">
        <v>91</v>
      </c>
      <c r="M5" s="5" t="s">
        <v>92</v>
      </c>
      <c r="N5" s="5" t="s">
        <v>93</v>
      </c>
      <c r="O5" s="5" t="s">
        <v>63</v>
      </c>
      <c r="P5" s="5" t="s">
        <v>64</v>
      </c>
      <c r="Q5" s="5" t="s">
        <v>94</v>
      </c>
      <c r="R5" s="5" t="s">
        <v>1</v>
      </c>
      <c r="S5" s="5" t="s">
        <v>1</v>
      </c>
      <c r="T5" s="5" t="s">
        <v>1</v>
      </c>
      <c r="U5" s="5" t="s">
        <v>66</v>
      </c>
      <c r="V5" s="5" t="s">
        <v>66</v>
      </c>
      <c r="W5" s="5" t="s">
        <v>95</v>
      </c>
      <c r="X5" s="5" t="s">
        <v>96</v>
      </c>
      <c r="Y5" s="5" t="s">
        <v>66</v>
      </c>
    </row>
    <row r="6" ht="25" customHeight="1" spans="1:25">
      <c r="A6" s="5" t="s">
        <v>97</v>
      </c>
      <c r="B6" s="5" t="s">
        <v>98</v>
      </c>
      <c r="C6" s="5" t="s">
        <v>53</v>
      </c>
      <c r="D6" s="5" t="s">
        <v>99</v>
      </c>
      <c r="E6" s="5" t="s">
        <v>89</v>
      </c>
      <c r="F6" s="5" t="s">
        <v>17</v>
      </c>
      <c r="G6" s="5" t="s">
        <v>56</v>
      </c>
      <c r="H6" s="5" t="s">
        <v>57</v>
      </c>
      <c r="I6" s="5" t="s">
        <v>58</v>
      </c>
      <c r="J6" s="5" t="s">
        <v>1</v>
      </c>
      <c r="K6" s="5" t="s">
        <v>100</v>
      </c>
      <c r="L6" s="5" t="s">
        <v>101</v>
      </c>
      <c r="M6" s="5" t="s">
        <v>102</v>
      </c>
      <c r="N6" s="5" t="s">
        <v>103</v>
      </c>
      <c r="O6" s="5" t="s">
        <v>63</v>
      </c>
      <c r="P6" s="5" t="s">
        <v>64</v>
      </c>
      <c r="Q6" s="5" t="s">
        <v>104</v>
      </c>
      <c r="R6" s="5" t="s">
        <v>1</v>
      </c>
      <c r="S6" s="5" t="s">
        <v>1</v>
      </c>
      <c r="T6" s="5" t="s">
        <v>1</v>
      </c>
      <c r="U6" s="5" t="s">
        <v>66</v>
      </c>
      <c r="V6" s="5" t="s">
        <v>66</v>
      </c>
      <c r="W6" s="5" t="s">
        <v>105</v>
      </c>
      <c r="X6" s="5" t="s">
        <v>106</v>
      </c>
      <c r="Y6" s="5" t="s">
        <v>66</v>
      </c>
    </row>
    <row r="7" ht="25" customHeight="1" spans="1:25">
      <c r="A7" s="5" t="s">
        <v>107</v>
      </c>
      <c r="B7" s="5" t="s">
        <v>108</v>
      </c>
      <c r="C7" s="5" t="s">
        <v>53</v>
      </c>
      <c r="D7" s="5" t="s">
        <v>99</v>
      </c>
      <c r="E7" s="5" t="s">
        <v>109</v>
      </c>
      <c r="F7" s="5" t="s">
        <v>17</v>
      </c>
      <c r="G7" s="5" t="s">
        <v>56</v>
      </c>
      <c r="H7" s="5" t="s">
        <v>57</v>
      </c>
      <c r="I7" s="5" t="s">
        <v>58</v>
      </c>
      <c r="J7" s="5" t="s">
        <v>1</v>
      </c>
      <c r="K7" s="5" t="s">
        <v>110</v>
      </c>
      <c r="L7" s="5" t="s">
        <v>111</v>
      </c>
      <c r="M7" s="5" t="s">
        <v>112</v>
      </c>
      <c r="N7" s="5" t="s">
        <v>113</v>
      </c>
      <c r="O7" s="5" t="s">
        <v>63</v>
      </c>
      <c r="P7" s="5" t="s">
        <v>64</v>
      </c>
      <c r="Q7" s="5" t="s">
        <v>114</v>
      </c>
      <c r="R7" s="5" t="s">
        <v>1</v>
      </c>
      <c r="S7" s="5" t="s">
        <v>1</v>
      </c>
      <c r="T7" s="5" t="s">
        <v>1</v>
      </c>
      <c r="U7" s="5" t="s">
        <v>66</v>
      </c>
      <c r="V7" s="5" t="s">
        <v>66</v>
      </c>
      <c r="W7" s="5" t="s">
        <v>105</v>
      </c>
      <c r="X7" s="5" t="s">
        <v>115</v>
      </c>
      <c r="Y7" s="5" t="s">
        <v>66</v>
      </c>
    </row>
    <row r="8" ht="25" customHeight="1" spans="1:25">
      <c r="A8" s="5" t="s">
        <v>116</v>
      </c>
      <c r="B8" s="5" t="s">
        <v>108</v>
      </c>
      <c r="C8" s="5" t="s">
        <v>53</v>
      </c>
      <c r="D8" s="5" t="s">
        <v>99</v>
      </c>
      <c r="E8" s="5" t="s">
        <v>109</v>
      </c>
      <c r="F8" s="5" t="s">
        <v>17</v>
      </c>
      <c r="G8" s="5" t="s">
        <v>56</v>
      </c>
      <c r="H8" s="5" t="s">
        <v>57</v>
      </c>
      <c r="I8" s="5" t="s">
        <v>58</v>
      </c>
      <c r="J8" s="5" t="s">
        <v>1</v>
      </c>
      <c r="K8" s="5" t="s">
        <v>117</v>
      </c>
      <c r="L8" s="5" t="s">
        <v>118</v>
      </c>
      <c r="M8" s="5" t="s">
        <v>119</v>
      </c>
      <c r="N8" s="5" t="s">
        <v>120</v>
      </c>
      <c r="O8" s="5" t="s">
        <v>63</v>
      </c>
      <c r="P8" s="5" t="s">
        <v>64</v>
      </c>
      <c r="Q8" s="5" t="s">
        <v>121</v>
      </c>
      <c r="R8" s="5" t="s">
        <v>1</v>
      </c>
      <c r="S8" s="5" t="s">
        <v>1</v>
      </c>
      <c r="T8" s="5" t="s">
        <v>1</v>
      </c>
      <c r="U8" s="5" t="s">
        <v>66</v>
      </c>
      <c r="V8" s="5" t="s">
        <v>66</v>
      </c>
      <c r="W8" s="5" t="s">
        <v>122</v>
      </c>
      <c r="X8" s="5" t="s">
        <v>123</v>
      </c>
      <c r="Y8" s="5" t="s">
        <v>66</v>
      </c>
    </row>
    <row r="9" ht="25" customHeight="1" spans="1:25">
      <c r="A9" s="5" t="s">
        <v>124</v>
      </c>
      <c r="B9" s="5" t="s">
        <v>125</v>
      </c>
      <c r="C9" s="5" t="s">
        <v>53</v>
      </c>
      <c r="D9" s="5" t="s">
        <v>126</v>
      </c>
      <c r="E9" s="5" t="s">
        <v>127</v>
      </c>
      <c r="F9" s="5" t="s">
        <v>72</v>
      </c>
      <c r="G9" s="5" t="s">
        <v>128</v>
      </c>
      <c r="H9" s="5" t="s">
        <v>129</v>
      </c>
      <c r="I9" s="5" t="s">
        <v>58</v>
      </c>
      <c r="J9" s="5" t="s">
        <v>1</v>
      </c>
      <c r="K9" s="5" t="s">
        <v>130</v>
      </c>
      <c r="L9" s="5" t="s">
        <v>131</v>
      </c>
      <c r="M9" s="5" t="s">
        <v>132</v>
      </c>
      <c r="N9" s="5" t="s">
        <v>133</v>
      </c>
      <c r="O9" s="5" t="s">
        <v>63</v>
      </c>
      <c r="P9" s="5" t="s">
        <v>77</v>
      </c>
      <c r="Q9" s="5" t="s">
        <v>134</v>
      </c>
      <c r="R9" s="5" t="s">
        <v>1</v>
      </c>
      <c r="S9" s="5" t="s">
        <v>1</v>
      </c>
      <c r="T9" s="5" t="s">
        <v>1</v>
      </c>
      <c r="U9" s="5" t="s">
        <v>66</v>
      </c>
      <c r="V9" s="5" t="s">
        <v>66</v>
      </c>
      <c r="W9" s="5" t="s">
        <v>135</v>
      </c>
      <c r="X9" s="5" t="s">
        <v>136</v>
      </c>
      <c r="Y9" s="5" t="s">
        <v>66</v>
      </c>
    </row>
    <row r="10" ht="25" customHeight="1" spans="1:25">
      <c r="A10" s="5" t="s">
        <v>137</v>
      </c>
      <c r="B10" s="5" t="s">
        <v>138</v>
      </c>
      <c r="C10" s="5" t="s">
        <v>53</v>
      </c>
      <c r="D10" s="5" t="s">
        <v>139</v>
      </c>
      <c r="E10" s="5" t="s">
        <v>140</v>
      </c>
      <c r="F10" s="5" t="s">
        <v>17</v>
      </c>
      <c r="G10" s="5" t="s">
        <v>128</v>
      </c>
      <c r="H10" s="5" t="s">
        <v>129</v>
      </c>
      <c r="I10" s="5" t="s">
        <v>58</v>
      </c>
      <c r="J10" s="5" t="s">
        <v>1</v>
      </c>
      <c r="K10" s="5" t="s">
        <v>141</v>
      </c>
      <c r="L10" s="5" t="s">
        <v>142</v>
      </c>
      <c r="M10" s="5" t="s">
        <v>143</v>
      </c>
      <c r="N10" s="5" t="s">
        <v>144</v>
      </c>
      <c r="O10" s="5" t="s">
        <v>63</v>
      </c>
      <c r="P10" s="5" t="s">
        <v>64</v>
      </c>
      <c r="Q10" s="5" t="s">
        <v>145</v>
      </c>
      <c r="R10" s="5" t="s">
        <v>1</v>
      </c>
      <c r="S10" s="5" t="s">
        <v>1</v>
      </c>
      <c r="T10" s="5" t="s">
        <v>1</v>
      </c>
      <c r="U10" s="5" t="s">
        <v>66</v>
      </c>
      <c r="V10" s="5" t="s">
        <v>66</v>
      </c>
      <c r="W10" s="5" t="s">
        <v>146</v>
      </c>
      <c r="X10" s="5" t="s">
        <v>1</v>
      </c>
      <c r="Y10" s="5" t="s">
        <v>66</v>
      </c>
    </row>
    <row r="11" ht="25" customHeight="1" spans="1:25">
      <c r="A11" s="5" t="s">
        <v>147</v>
      </c>
      <c r="B11" s="5" t="s">
        <v>148</v>
      </c>
      <c r="C11" s="5" t="s">
        <v>53</v>
      </c>
      <c r="D11" s="5" t="s">
        <v>149</v>
      </c>
      <c r="E11" s="5" t="s">
        <v>150</v>
      </c>
      <c r="F11" s="5" t="s">
        <v>17</v>
      </c>
      <c r="G11" s="5" t="s">
        <v>151</v>
      </c>
      <c r="H11" s="5" t="s">
        <v>129</v>
      </c>
      <c r="I11" s="5" t="s">
        <v>58</v>
      </c>
      <c r="J11" s="5" t="s">
        <v>1</v>
      </c>
      <c r="K11" s="5" t="s">
        <v>152</v>
      </c>
      <c r="L11" s="5" t="s">
        <v>153</v>
      </c>
      <c r="M11" s="5" t="s">
        <v>154</v>
      </c>
      <c r="N11" s="5" t="s">
        <v>155</v>
      </c>
      <c r="O11" s="5" t="s">
        <v>63</v>
      </c>
      <c r="P11" s="5" t="s">
        <v>64</v>
      </c>
      <c r="Q11" s="5" t="s">
        <v>156</v>
      </c>
      <c r="R11" s="5" t="s">
        <v>1</v>
      </c>
      <c r="S11" s="5" t="s">
        <v>1</v>
      </c>
      <c r="T11" s="5" t="s">
        <v>1</v>
      </c>
      <c r="U11" s="5" t="s">
        <v>66</v>
      </c>
      <c r="V11" s="5" t="s">
        <v>66</v>
      </c>
      <c r="W11" s="5" t="s">
        <v>157</v>
      </c>
      <c r="X11" s="5" t="s">
        <v>158</v>
      </c>
      <c r="Y11" s="5" t="s">
        <v>66</v>
      </c>
    </row>
    <row r="12" ht="25" customHeight="1" spans="1:25">
      <c r="A12" s="5" t="s">
        <v>159</v>
      </c>
      <c r="B12" s="5" t="s">
        <v>148</v>
      </c>
      <c r="C12" s="5" t="s">
        <v>53</v>
      </c>
      <c r="D12" s="5" t="s">
        <v>149</v>
      </c>
      <c r="E12" s="5" t="s">
        <v>150</v>
      </c>
      <c r="F12" s="5" t="s">
        <v>160</v>
      </c>
      <c r="G12" s="5" t="s">
        <v>151</v>
      </c>
      <c r="H12" s="5" t="s">
        <v>129</v>
      </c>
      <c r="I12" s="5" t="s">
        <v>58</v>
      </c>
      <c r="J12" s="5" t="s">
        <v>1</v>
      </c>
      <c r="K12" s="5" t="s">
        <v>161</v>
      </c>
      <c r="L12" s="5" t="s">
        <v>162</v>
      </c>
      <c r="M12" s="5" t="s">
        <v>163</v>
      </c>
      <c r="N12" s="5" t="s">
        <v>155</v>
      </c>
      <c r="O12" s="5" t="s">
        <v>63</v>
      </c>
      <c r="P12" s="5" t="s">
        <v>164</v>
      </c>
      <c r="Q12" s="5" t="s">
        <v>165</v>
      </c>
      <c r="R12" s="5" t="s">
        <v>1</v>
      </c>
      <c r="S12" s="5" t="s">
        <v>1</v>
      </c>
      <c r="T12" s="5" t="s">
        <v>1</v>
      </c>
      <c r="U12" s="5" t="s">
        <v>66</v>
      </c>
      <c r="V12" s="5" t="s">
        <v>66</v>
      </c>
      <c r="W12" s="5" t="s">
        <v>166</v>
      </c>
      <c r="X12" s="5" t="s">
        <v>1</v>
      </c>
      <c r="Y12" s="5" t="s">
        <v>167</v>
      </c>
    </row>
    <row r="13" ht="25" customHeight="1" spans="1:25">
      <c r="A13" s="5" t="s">
        <v>168</v>
      </c>
      <c r="B13" s="5" t="s">
        <v>148</v>
      </c>
      <c r="C13" s="5" t="s">
        <v>53</v>
      </c>
      <c r="D13" s="5" t="s">
        <v>149</v>
      </c>
      <c r="E13" s="5" t="s">
        <v>150</v>
      </c>
      <c r="F13" s="5" t="s">
        <v>160</v>
      </c>
      <c r="G13" s="5" t="s">
        <v>151</v>
      </c>
      <c r="H13" s="5" t="s">
        <v>129</v>
      </c>
      <c r="I13" s="5" t="s">
        <v>58</v>
      </c>
      <c r="J13" s="5" t="s">
        <v>1</v>
      </c>
      <c r="K13" s="5" t="s">
        <v>169</v>
      </c>
      <c r="L13" s="5" t="s">
        <v>170</v>
      </c>
      <c r="M13" s="5" t="s">
        <v>171</v>
      </c>
      <c r="N13" s="5" t="s">
        <v>155</v>
      </c>
      <c r="O13" s="5" t="s">
        <v>63</v>
      </c>
      <c r="P13" s="5" t="s">
        <v>164</v>
      </c>
      <c r="Q13" s="5" t="s">
        <v>172</v>
      </c>
      <c r="R13" s="5" t="s">
        <v>1</v>
      </c>
      <c r="S13" s="5" t="s">
        <v>1</v>
      </c>
      <c r="T13" s="5" t="s">
        <v>1</v>
      </c>
      <c r="U13" s="5" t="s">
        <v>66</v>
      </c>
      <c r="V13" s="5" t="s">
        <v>66</v>
      </c>
      <c r="W13" s="5" t="s">
        <v>173</v>
      </c>
      <c r="X13" s="5" t="s">
        <v>1</v>
      </c>
      <c r="Y13" s="5" t="s">
        <v>167</v>
      </c>
    </row>
    <row r="14" ht="25" customHeight="1" spans="1:25">
      <c r="A14" s="5" t="s">
        <v>174</v>
      </c>
      <c r="B14" s="5" t="s">
        <v>175</v>
      </c>
      <c r="C14" s="5" t="s">
        <v>53</v>
      </c>
      <c r="D14" s="5" t="s">
        <v>176</v>
      </c>
      <c r="E14" s="5" t="s">
        <v>177</v>
      </c>
      <c r="F14" s="5" t="s">
        <v>72</v>
      </c>
      <c r="G14" s="5" t="s">
        <v>178</v>
      </c>
      <c r="H14" s="5" t="s">
        <v>129</v>
      </c>
      <c r="I14" s="5" t="s">
        <v>58</v>
      </c>
      <c r="J14" s="5" t="s">
        <v>1</v>
      </c>
      <c r="K14" s="5" t="s">
        <v>179</v>
      </c>
      <c r="L14" s="5" t="s">
        <v>180</v>
      </c>
      <c r="M14" s="5" t="s">
        <v>181</v>
      </c>
      <c r="N14" s="5" t="s">
        <v>182</v>
      </c>
      <c r="O14" s="5" t="s">
        <v>63</v>
      </c>
      <c r="P14" s="5" t="s">
        <v>77</v>
      </c>
      <c r="Q14" s="5" t="s">
        <v>183</v>
      </c>
      <c r="R14" s="5" t="s">
        <v>1</v>
      </c>
      <c r="S14" s="5" t="s">
        <v>1</v>
      </c>
      <c r="T14" s="5" t="s">
        <v>1</v>
      </c>
      <c r="U14" s="5" t="s">
        <v>66</v>
      </c>
      <c r="V14" s="5" t="s">
        <v>66</v>
      </c>
      <c r="W14" s="5" t="s">
        <v>184</v>
      </c>
      <c r="X14" s="5" t="s">
        <v>1</v>
      </c>
      <c r="Y14" s="5" t="s">
        <v>66</v>
      </c>
    </row>
    <row r="15" ht="25" customHeight="1" spans="1:25">
      <c r="A15" s="5" t="s">
        <v>185</v>
      </c>
      <c r="B15" s="5" t="s">
        <v>186</v>
      </c>
      <c r="C15" s="5" t="s">
        <v>53</v>
      </c>
      <c r="D15" s="5" t="s">
        <v>187</v>
      </c>
      <c r="E15" s="5" t="s">
        <v>188</v>
      </c>
      <c r="F15" s="5" t="s">
        <v>17</v>
      </c>
      <c r="G15" s="5" t="s">
        <v>178</v>
      </c>
      <c r="H15" s="5" t="s">
        <v>129</v>
      </c>
      <c r="I15" s="5" t="s">
        <v>58</v>
      </c>
      <c r="J15" s="5" t="s">
        <v>1</v>
      </c>
      <c r="K15" s="5" t="s">
        <v>189</v>
      </c>
      <c r="L15" s="5" t="s">
        <v>190</v>
      </c>
      <c r="M15" s="5" t="s">
        <v>191</v>
      </c>
      <c r="N15" s="5" t="s">
        <v>192</v>
      </c>
      <c r="O15" s="5" t="s">
        <v>63</v>
      </c>
      <c r="P15" s="5" t="s">
        <v>64</v>
      </c>
      <c r="Q15" s="5" t="s">
        <v>193</v>
      </c>
      <c r="R15" s="5" t="s">
        <v>1</v>
      </c>
      <c r="S15" s="5" t="s">
        <v>1</v>
      </c>
      <c r="T15" s="5" t="s">
        <v>1</v>
      </c>
      <c r="U15" s="5" t="s">
        <v>66</v>
      </c>
      <c r="V15" s="5" t="s">
        <v>66</v>
      </c>
      <c r="W15" s="5" t="s">
        <v>194</v>
      </c>
      <c r="X15" s="5" t="s">
        <v>195</v>
      </c>
      <c r="Y15" s="5" t="s">
        <v>66</v>
      </c>
    </row>
    <row r="16" ht="25" customHeight="1" spans="1:25">
      <c r="A16" s="5" t="s">
        <v>196</v>
      </c>
      <c r="B16" s="5" t="s">
        <v>197</v>
      </c>
      <c r="C16" s="5" t="s">
        <v>53</v>
      </c>
      <c r="D16" s="5" t="s">
        <v>176</v>
      </c>
      <c r="E16" s="5" t="s">
        <v>177</v>
      </c>
      <c r="F16" s="5" t="s">
        <v>72</v>
      </c>
      <c r="G16" s="5" t="s">
        <v>178</v>
      </c>
      <c r="H16" s="5" t="s">
        <v>129</v>
      </c>
      <c r="I16" s="5" t="s">
        <v>58</v>
      </c>
      <c r="J16" s="5" t="s">
        <v>1</v>
      </c>
      <c r="K16" s="5" t="s">
        <v>198</v>
      </c>
      <c r="L16" s="5" t="s">
        <v>199</v>
      </c>
      <c r="M16" s="5" t="s">
        <v>200</v>
      </c>
      <c r="N16" s="5" t="s">
        <v>201</v>
      </c>
      <c r="O16" s="5" t="s">
        <v>63</v>
      </c>
      <c r="P16" s="5" t="s">
        <v>77</v>
      </c>
      <c r="Q16" s="5" t="s">
        <v>202</v>
      </c>
      <c r="R16" s="5" t="s">
        <v>1</v>
      </c>
      <c r="S16" s="5" t="s">
        <v>1</v>
      </c>
      <c r="T16" s="5" t="s">
        <v>1</v>
      </c>
      <c r="U16" s="5" t="s">
        <v>66</v>
      </c>
      <c r="V16" s="5" t="s">
        <v>66</v>
      </c>
      <c r="W16" s="5" t="s">
        <v>203</v>
      </c>
      <c r="X16" s="5" t="s">
        <v>1</v>
      </c>
      <c r="Y16" s="5" t="s">
        <v>66</v>
      </c>
    </row>
    <row r="17" ht="25" customHeight="1" spans="1:25">
      <c r="A17" s="5" t="s">
        <v>204</v>
      </c>
      <c r="B17" s="5" t="s">
        <v>88</v>
      </c>
      <c r="C17" s="5" t="s">
        <v>53</v>
      </c>
      <c r="D17" s="5" t="s">
        <v>205</v>
      </c>
      <c r="E17" s="5" t="s">
        <v>206</v>
      </c>
      <c r="F17" s="5" t="s">
        <v>17</v>
      </c>
      <c r="G17" s="5" t="s">
        <v>207</v>
      </c>
      <c r="H17" s="5" t="s">
        <v>129</v>
      </c>
      <c r="I17" s="5" t="s">
        <v>58</v>
      </c>
      <c r="J17" s="5" t="s">
        <v>1</v>
      </c>
      <c r="K17" s="5" t="s">
        <v>208</v>
      </c>
      <c r="L17" s="5" t="s">
        <v>209</v>
      </c>
      <c r="M17" s="5" t="s">
        <v>210</v>
      </c>
      <c r="N17" s="5" t="s">
        <v>211</v>
      </c>
      <c r="O17" s="5" t="s">
        <v>63</v>
      </c>
      <c r="P17" s="5" t="s">
        <v>64</v>
      </c>
      <c r="Q17" s="5" t="s">
        <v>212</v>
      </c>
      <c r="R17" s="5" t="s">
        <v>1</v>
      </c>
      <c r="S17" s="5" t="s">
        <v>1</v>
      </c>
      <c r="T17" s="5" t="s">
        <v>1</v>
      </c>
      <c r="U17" s="5" t="s">
        <v>66</v>
      </c>
      <c r="V17" s="5" t="s">
        <v>66</v>
      </c>
      <c r="W17" s="5" t="s">
        <v>213</v>
      </c>
      <c r="X17" s="5" t="s">
        <v>214</v>
      </c>
      <c r="Y17" s="5" t="s">
        <v>66</v>
      </c>
    </row>
    <row r="18" ht="25" customHeight="1" spans="1:25">
      <c r="A18" s="5" t="s">
        <v>215</v>
      </c>
      <c r="B18" s="5" t="s">
        <v>216</v>
      </c>
      <c r="C18" s="5" t="s">
        <v>53</v>
      </c>
      <c r="D18" s="5" t="s">
        <v>217</v>
      </c>
      <c r="E18" s="5" t="s">
        <v>218</v>
      </c>
      <c r="F18" s="5" t="s">
        <v>72</v>
      </c>
      <c r="G18" s="5" t="s">
        <v>207</v>
      </c>
      <c r="H18" s="5" t="s">
        <v>129</v>
      </c>
      <c r="I18" s="5" t="s">
        <v>58</v>
      </c>
      <c r="J18" s="5" t="s">
        <v>1</v>
      </c>
      <c r="K18" s="5" t="s">
        <v>219</v>
      </c>
      <c r="L18" s="5" t="s">
        <v>220</v>
      </c>
      <c r="M18" s="5" t="s">
        <v>221</v>
      </c>
      <c r="N18" s="5" t="s">
        <v>222</v>
      </c>
      <c r="O18" s="5" t="s">
        <v>63</v>
      </c>
      <c r="P18" s="5" t="s">
        <v>77</v>
      </c>
      <c r="Q18" s="5" t="s">
        <v>223</v>
      </c>
      <c r="R18" s="5" t="s">
        <v>1</v>
      </c>
      <c r="S18" s="5" t="s">
        <v>1</v>
      </c>
      <c r="T18" s="5" t="s">
        <v>1</v>
      </c>
      <c r="U18" s="5" t="s">
        <v>66</v>
      </c>
      <c r="V18" s="5" t="s">
        <v>66</v>
      </c>
      <c r="W18" s="5" t="s">
        <v>224</v>
      </c>
      <c r="X18" s="5" t="s">
        <v>225</v>
      </c>
      <c r="Y18" s="5" t="s">
        <v>66</v>
      </c>
    </row>
    <row r="19" ht="25" customHeight="1" spans="1:25">
      <c r="A19" s="5" t="s">
        <v>226</v>
      </c>
      <c r="B19" s="5" t="s">
        <v>108</v>
      </c>
      <c r="C19" s="5" t="s">
        <v>53</v>
      </c>
      <c r="D19" s="5" t="s">
        <v>227</v>
      </c>
      <c r="E19" s="5" t="s">
        <v>228</v>
      </c>
      <c r="F19" s="5" t="s">
        <v>17</v>
      </c>
      <c r="G19" s="5" t="s">
        <v>229</v>
      </c>
      <c r="H19" s="5" t="s">
        <v>129</v>
      </c>
      <c r="I19" s="5" t="s">
        <v>58</v>
      </c>
      <c r="J19" s="5" t="s">
        <v>1</v>
      </c>
      <c r="K19" s="5" t="s">
        <v>230</v>
      </c>
      <c r="L19" s="5" t="s">
        <v>231</v>
      </c>
      <c r="M19" s="5" t="s">
        <v>232</v>
      </c>
      <c r="N19" s="5" t="s">
        <v>233</v>
      </c>
      <c r="O19" s="5" t="s">
        <v>63</v>
      </c>
      <c r="P19" s="5" t="s">
        <v>64</v>
      </c>
      <c r="Q19" s="5" t="s">
        <v>234</v>
      </c>
      <c r="R19" s="5" t="s">
        <v>1</v>
      </c>
      <c r="S19" s="5" t="s">
        <v>1</v>
      </c>
      <c r="T19" s="5" t="s">
        <v>1</v>
      </c>
      <c r="U19" s="5" t="s">
        <v>66</v>
      </c>
      <c r="V19" s="5" t="s">
        <v>66</v>
      </c>
      <c r="W19" s="5" t="s">
        <v>235</v>
      </c>
      <c r="X19" s="5" t="s">
        <v>236</v>
      </c>
      <c r="Y19" s="5" t="s">
        <v>66</v>
      </c>
    </row>
    <row r="20" ht="25" customHeight="1" spans="1:25">
      <c r="A20" s="5" t="s">
        <v>237</v>
      </c>
      <c r="B20" s="5" t="s">
        <v>216</v>
      </c>
      <c r="C20" s="5" t="s">
        <v>53</v>
      </c>
      <c r="D20" s="5" t="s">
        <v>99</v>
      </c>
      <c r="E20" s="5" t="s">
        <v>238</v>
      </c>
      <c r="F20" s="5" t="s">
        <v>72</v>
      </c>
      <c r="G20" s="5" t="s">
        <v>239</v>
      </c>
      <c r="H20" s="5" t="s">
        <v>240</v>
      </c>
      <c r="I20" s="5" t="s">
        <v>58</v>
      </c>
      <c r="J20" s="5" t="s">
        <v>1</v>
      </c>
      <c r="K20" s="5" t="s">
        <v>241</v>
      </c>
      <c r="L20" s="5" t="s">
        <v>242</v>
      </c>
      <c r="M20" s="5" t="s">
        <v>243</v>
      </c>
      <c r="N20" s="5" t="s">
        <v>244</v>
      </c>
      <c r="O20" s="5" t="s">
        <v>63</v>
      </c>
      <c r="P20" s="5" t="s">
        <v>77</v>
      </c>
      <c r="Q20" s="5" t="s">
        <v>245</v>
      </c>
      <c r="R20" s="5" t="s">
        <v>1</v>
      </c>
      <c r="S20" s="5" t="s">
        <v>1</v>
      </c>
      <c r="T20" s="5" t="s">
        <v>1</v>
      </c>
      <c r="U20" s="5" t="s">
        <v>66</v>
      </c>
      <c r="V20" s="5" t="s">
        <v>66</v>
      </c>
      <c r="W20" s="5" t="s">
        <v>246</v>
      </c>
      <c r="X20" s="5" t="s">
        <v>1</v>
      </c>
      <c r="Y20" s="5" t="s">
        <v>66</v>
      </c>
    </row>
    <row r="21" ht="25" customHeight="1" spans="1:25">
      <c r="A21" s="5" t="s">
        <v>247</v>
      </c>
      <c r="B21" s="5" t="s">
        <v>248</v>
      </c>
      <c r="C21" s="5" t="s">
        <v>53</v>
      </c>
      <c r="D21" s="5" t="s">
        <v>99</v>
      </c>
      <c r="E21" s="5" t="s">
        <v>89</v>
      </c>
      <c r="F21" s="5" t="s">
        <v>17</v>
      </c>
      <c r="G21" s="5" t="s">
        <v>249</v>
      </c>
      <c r="H21" s="5" t="s">
        <v>250</v>
      </c>
      <c r="I21" s="5" t="s">
        <v>58</v>
      </c>
      <c r="J21" s="5" t="s">
        <v>1</v>
      </c>
      <c r="K21" s="5" t="s">
        <v>251</v>
      </c>
      <c r="L21" s="5" t="s">
        <v>252</v>
      </c>
      <c r="M21" s="5" t="s">
        <v>253</v>
      </c>
      <c r="N21" s="5" t="s">
        <v>254</v>
      </c>
      <c r="O21" s="5" t="s">
        <v>63</v>
      </c>
      <c r="P21" s="5" t="s">
        <v>64</v>
      </c>
      <c r="Q21" s="5" t="s">
        <v>255</v>
      </c>
      <c r="R21" s="5" t="s">
        <v>1</v>
      </c>
      <c r="S21" s="5" t="s">
        <v>1</v>
      </c>
      <c r="T21" s="5" t="s">
        <v>1</v>
      </c>
      <c r="U21" s="5" t="s">
        <v>66</v>
      </c>
      <c r="V21" s="5" t="s">
        <v>66</v>
      </c>
      <c r="W21" s="5" t="s">
        <v>256</v>
      </c>
      <c r="X21" s="5" t="s">
        <v>1</v>
      </c>
      <c r="Y21" s="5" t="s">
        <v>66</v>
      </c>
    </row>
    <row r="22" ht="25" customHeight="1" spans="1:25">
      <c r="A22" s="5" t="s">
        <v>257</v>
      </c>
      <c r="B22" s="5" t="s">
        <v>258</v>
      </c>
      <c r="C22" s="5" t="s">
        <v>53</v>
      </c>
      <c r="D22" s="5" t="s">
        <v>99</v>
      </c>
      <c r="E22" s="5" t="s">
        <v>55</v>
      </c>
      <c r="F22" s="5" t="s">
        <v>17</v>
      </c>
      <c r="G22" s="5" t="s">
        <v>56</v>
      </c>
      <c r="H22" s="5" t="s">
        <v>57</v>
      </c>
      <c r="I22" s="5" t="s">
        <v>58</v>
      </c>
      <c r="J22" s="5" t="s">
        <v>1</v>
      </c>
      <c r="K22" s="5" t="s">
        <v>259</v>
      </c>
      <c r="L22" s="5" t="s">
        <v>260</v>
      </c>
      <c r="M22" s="5" t="s">
        <v>261</v>
      </c>
      <c r="N22" s="5" t="s">
        <v>262</v>
      </c>
      <c r="O22" s="5" t="s">
        <v>63</v>
      </c>
      <c r="P22" s="5" t="s">
        <v>64</v>
      </c>
      <c r="Q22" s="5" t="s">
        <v>263</v>
      </c>
      <c r="R22" s="5" t="s">
        <v>1</v>
      </c>
      <c r="S22" s="5" t="s">
        <v>1</v>
      </c>
      <c r="T22" s="5" t="s">
        <v>1</v>
      </c>
      <c r="U22" s="5" t="s">
        <v>66</v>
      </c>
      <c r="V22" s="5" t="s">
        <v>66</v>
      </c>
      <c r="W22" s="5" t="s">
        <v>264</v>
      </c>
      <c r="X22" s="5" t="s">
        <v>1</v>
      </c>
      <c r="Y22" s="5" t="s">
        <v>66</v>
      </c>
    </row>
    <row r="23" ht="25" customHeight="1" spans="1:25">
      <c r="A23" s="5" t="s">
        <v>265</v>
      </c>
      <c r="B23" s="5" t="s">
        <v>266</v>
      </c>
      <c r="C23" s="5" t="s">
        <v>53</v>
      </c>
      <c r="D23" s="5" t="s">
        <v>99</v>
      </c>
      <c r="E23" s="5" t="s">
        <v>89</v>
      </c>
      <c r="F23" s="5" t="s">
        <v>17</v>
      </c>
      <c r="G23" s="5" t="s">
        <v>267</v>
      </c>
      <c r="H23" s="5" t="s">
        <v>268</v>
      </c>
      <c r="I23" s="5" t="s">
        <v>58</v>
      </c>
      <c r="J23" s="5" t="s">
        <v>1</v>
      </c>
      <c r="K23" s="5" t="s">
        <v>269</v>
      </c>
      <c r="L23" s="5" t="s">
        <v>270</v>
      </c>
      <c r="M23" s="5" t="s">
        <v>271</v>
      </c>
      <c r="N23" s="5" t="s">
        <v>272</v>
      </c>
      <c r="O23" s="5" t="s">
        <v>63</v>
      </c>
      <c r="P23" s="5" t="s">
        <v>64</v>
      </c>
      <c r="Q23" s="5" t="s">
        <v>273</v>
      </c>
      <c r="R23" s="5" t="s">
        <v>1</v>
      </c>
      <c r="S23" s="5" t="s">
        <v>1</v>
      </c>
      <c r="T23" s="5" t="s">
        <v>1</v>
      </c>
      <c r="U23" s="5" t="s">
        <v>66</v>
      </c>
      <c r="V23" s="5" t="s">
        <v>66</v>
      </c>
      <c r="W23" s="5" t="s">
        <v>274</v>
      </c>
      <c r="X23" s="5" t="s">
        <v>1</v>
      </c>
      <c r="Y23" s="5" t="s">
        <v>66</v>
      </c>
    </row>
    <row r="24" ht="25" customHeight="1" spans="1:25">
      <c r="A24" s="5" t="s">
        <v>275</v>
      </c>
      <c r="B24" s="5" t="s">
        <v>276</v>
      </c>
      <c r="C24" s="5" t="s">
        <v>53</v>
      </c>
      <c r="D24" s="5" t="s">
        <v>99</v>
      </c>
      <c r="E24" s="5" t="s">
        <v>109</v>
      </c>
      <c r="F24" s="5" t="s">
        <v>17</v>
      </c>
      <c r="G24" s="5" t="s">
        <v>56</v>
      </c>
      <c r="H24" s="5" t="s">
        <v>57</v>
      </c>
      <c r="I24" s="5" t="s">
        <v>58</v>
      </c>
      <c r="J24" s="5" t="s">
        <v>1</v>
      </c>
      <c r="K24" s="5" t="s">
        <v>277</v>
      </c>
      <c r="L24" s="5" t="s">
        <v>278</v>
      </c>
      <c r="M24" s="5" t="s">
        <v>279</v>
      </c>
      <c r="N24" s="5" t="s">
        <v>280</v>
      </c>
      <c r="O24" s="5" t="s">
        <v>63</v>
      </c>
      <c r="P24" s="5" t="s">
        <v>64</v>
      </c>
      <c r="Q24" s="5" t="s">
        <v>281</v>
      </c>
      <c r="R24" s="5" t="s">
        <v>1</v>
      </c>
      <c r="S24" s="5" t="s">
        <v>1</v>
      </c>
      <c r="T24" s="5" t="s">
        <v>1</v>
      </c>
      <c r="U24" s="5" t="s">
        <v>66</v>
      </c>
      <c r="V24" s="5" t="s">
        <v>66</v>
      </c>
      <c r="W24" s="5" t="s">
        <v>282</v>
      </c>
      <c r="X24" s="5" t="s">
        <v>1</v>
      </c>
      <c r="Y24" s="5" t="s">
        <v>66</v>
      </c>
    </row>
    <row r="25" ht="25" customHeight="1" spans="1:25">
      <c r="A25" s="5" t="s">
        <v>283</v>
      </c>
      <c r="B25" s="5" t="s">
        <v>276</v>
      </c>
      <c r="C25" s="5" t="s">
        <v>53</v>
      </c>
      <c r="D25" s="5" t="s">
        <v>99</v>
      </c>
      <c r="E25" s="5" t="s">
        <v>89</v>
      </c>
      <c r="F25" s="5" t="s">
        <v>17</v>
      </c>
      <c r="G25" s="5" t="s">
        <v>284</v>
      </c>
      <c r="H25" s="5" t="s">
        <v>285</v>
      </c>
      <c r="I25" s="5" t="s">
        <v>58</v>
      </c>
      <c r="J25" s="5" t="s">
        <v>1</v>
      </c>
      <c r="K25" s="5" t="s">
        <v>286</v>
      </c>
      <c r="L25" s="5" t="s">
        <v>287</v>
      </c>
      <c r="M25" s="5" t="s">
        <v>288</v>
      </c>
      <c r="N25" s="5" t="s">
        <v>289</v>
      </c>
      <c r="O25" s="5" t="s">
        <v>63</v>
      </c>
      <c r="P25" s="5" t="s">
        <v>64</v>
      </c>
      <c r="Q25" s="5" t="s">
        <v>290</v>
      </c>
      <c r="R25" s="5" t="s">
        <v>1</v>
      </c>
      <c r="S25" s="5" t="s">
        <v>1</v>
      </c>
      <c r="T25" s="5" t="s">
        <v>1</v>
      </c>
      <c r="U25" s="5" t="s">
        <v>66</v>
      </c>
      <c r="V25" s="5" t="s">
        <v>66</v>
      </c>
      <c r="W25" s="5" t="s">
        <v>291</v>
      </c>
      <c r="X25" s="5" t="s">
        <v>1</v>
      </c>
      <c r="Y25" s="5" t="s">
        <v>66</v>
      </c>
    </row>
    <row r="26" ht="25" customHeight="1" spans="1:25">
      <c r="A26" s="5" t="s">
        <v>292</v>
      </c>
      <c r="B26" s="5" t="s">
        <v>216</v>
      </c>
      <c r="C26" s="5" t="s">
        <v>293</v>
      </c>
      <c r="D26" s="5" t="s">
        <v>294</v>
      </c>
      <c r="E26" s="5" t="s">
        <v>136</v>
      </c>
      <c r="F26" s="5" t="s">
        <v>295</v>
      </c>
      <c r="G26" s="5" t="s">
        <v>128</v>
      </c>
      <c r="H26" s="5" t="s">
        <v>129</v>
      </c>
      <c r="I26" s="5" t="s">
        <v>58</v>
      </c>
      <c r="J26" s="5" t="s">
        <v>1</v>
      </c>
      <c r="K26" s="5" t="s">
        <v>296</v>
      </c>
      <c r="L26" s="5" t="s">
        <v>297</v>
      </c>
      <c r="M26" s="5" t="s">
        <v>298</v>
      </c>
      <c r="N26" s="5" t="s">
        <v>299</v>
      </c>
      <c r="O26" s="5" t="s">
        <v>63</v>
      </c>
      <c r="P26" s="5" t="s">
        <v>164</v>
      </c>
      <c r="Q26" s="5" t="s">
        <v>300</v>
      </c>
      <c r="R26" s="5" t="s">
        <v>1</v>
      </c>
      <c r="S26" s="5" t="s">
        <v>1</v>
      </c>
      <c r="T26" s="5" t="s">
        <v>1</v>
      </c>
      <c r="U26" s="5" t="s">
        <v>66</v>
      </c>
      <c r="V26" s="5" t="s">
        <v>167</v>
      </c>
      <c r="W26" s="5" t="s">
        <v>301</v>
      </c>
      <c r="X26" s="5" t="s">
        <v>302</v>
      </c>
      <c r="Y26" s="5" t="s">
        <v>167</v>
      </c>
    </row>
    <row r="27" ht="25" customHeight="1" spans="1:25">
      <c r="A27" s="5" t="s">
        <v>303</v>
      </c>
      <c r="B27" s="5" t="s">
        <v>216</v>
      </c>
      <c r="C27" s="5" t="s">
        <v>293</v>
      </c>
      <c r="D27" s="5" t="s">
        <v>294</v>
      </c>
      <c r="E27" s="5" t="s">
        <v>136</v>
      </c>
      <c r="F27" s="5" t="s">
        <v>304</v>
      </c>
      <c r="G27" s="5" t="s">
        <v>128</v>
      </c>
      <c r="H27" s="5" t="s">
        <v>129</v>
      </c>
      <c r="I27" s="5" t="s">
        <v>58</v>
      </c>
      <c r="J27" s="5" t="s">
        <v>1</v>
      </c>
      <c r="K27" s="5" t="s">
        <v>305</v>
      </c>
      <c r="L27" s="5" t="s">
        <v>306</v>
      </c>
      <c r="M27" s="5" t="s">
        <v>307</v>
      </c>
      <c r="N27" s="5" t="s">
        <v>299</v>
      </c>
      <c r="O27" s="5" t="s">
        <v>63</v>
      </c>
      <c r="P27" s="5" t="s">
        <v>164</v>
      </c>
      <c r="Q27" s="5" t="s">
        <v>308</v>
      </c>
      <c r="R27" s="5" t="s">
        <v>1</v>
      </c>
      <c r="S27" s="5" t="s">
        <v>1</v>
      </c>
      <c r="T27" s="5" t="s">
        <v>1</v>
      </c>
      <c r="U27" s="5" t="s">
        <v>66</v>
      </c>
      <c r="V27" s="5" t="s">
        <v>167</v>
      </c>
      <c r="W27" s="5" t="s">
        <v>309</v>
      </c>
      <c r="X27" s="5" t="s">
        <v>310</v>
      </c>
      <c r="Y27" s="5" t="s">
        <v>167</v>
      </c>
    </row>
    <row r="28" ht="25" customHeight="1" spans="1:25">
      <c r="A28" s="5" t="s">
        <v>311</v>
      </c>
      <c r="B28" s="5" t="s">
        <v>216</v>
      </c>
      <c r="C28" s="5" t="s">
        <v>293</v>
      </c>
      <c r="D28" s="5" t="s">
        <v>294</v>
      </c>
      <c r="E28" s="5" t="s">
        <v>136</v>
      </c>
      <c r="F28" s="5" t="s">
        <v>312</v>
      </c>
      <c r="G28" s="5" t="s">
        <v>128</v>
      </c>
      <c r="H28" s="5" t="s">
        <v>129</v>
      </c>
      <c r="I28" s="5" t="s">
        <v>58</v>
      </c>
      <c r="J28" s="5" t="s">
        <v>1</v>
      </c>
      <c r="K28" s="5" t="s">
        <v>313</v>
      </c>
      <c r="L28" s="5" t="s">
        <v>314</v>
      </c>
      <c r="M28" s="5" t="s">
        <v>315</v>
      </c>
      <c r="N28" s="5" t="s">
        <v>299</v>
      </c>
      <c r="O28" s="5" t="s">
        <v>63</v>
      </c>
      <c r="P28" s="5" t="s">
        <v>164</v>
      </c>
      <c r="Q28" s="5" t="s">
        <v>316</v>
      </c>
      <c r="R28" s="5" t="s">
        <v>1</v>
      </c>
      <c r="S28" s="5" t="s">
        <v>1</v>
      </c>
      <c r="T28" s="5" t="s">
        <v>1</v>
      </c>
      <c r="U28" s="5" t="s">
        <v>66</v>
      </c>
      <c r="V28" s="5" t="s">
        <v>167</v>
      </c>
      <c r="W28" s="5" t="s">
        <v>309</v>
      </c>
      <c r="X28" s="5" t="s">
        <v>310</v>
      </c>
      <c r="Y28" s="5" t="s">
        <v>167</v>
      </c>
    </row>
    <row r="29" ht="25" customHeight="1" spans="1:25">
      <c r="A29" s="5" t="s">
        <v>317</v>
      </c>
      <c r="B29" s="5" t="s">
        <v>138</v>
      </c>
      <c r="C29" s="5" t="s">
        <v>318</v>
      </c>
      <c r="D29" s="5" t="s">
        <v>139</v>
      </c>
      <c r="E29" s="5" t="s">
        <v>140</v>
      </c>
      <c r="F29" s="5" t="s">
        <v>319</v>
      </c>
      <c r="G29" s="5" t="s">
        <v>128</v>
      </c>
      <c r="H29" s="5" t="s">
        <v>129</v>
      </c>
      <c r="I29" s="5" t="s">
        <v>58</v>
      </c>
      <c r="J29" s="5" t="s">
        <v>1</v>
      </c>
      <c r="K29" s="5" t="s">
        <v>320</v>
      </c>
      <c r="L29" s="5" t="s">
        <v>321</v>
      </c>
      <c r="M29" s="5" t="s">
        <v>322</v>
      </c>
      <c r="N29" s="5" t="s">
        <v>144</v>
      </c>
      <c r="O29" s="5" t="s">
        <v>63</v>
      </c>
      <c r="P29" s="5" t="s">
        <v>164</v>
      </c>
      <c r="Q29" s="5" t="s">
        <v>323</v>
      </c>
      <c r="R29" s="5" t="s">
        <v>1</v>
      </c>
      <c r="S29" s="5" t="s">
        <v>1</v>
      </c>
      <c r="T29" s="5" t="s">
        <v>1</v>
      </c>
      <c r="U29" s="5" t="s">
        <v>66</v>
      </c>
      <c r="V29" s="5" t="s">
        <v>66</v>
      </c>
      <c r="W29" s="5" t="s">
        <v>324</v>
      </c>
      <c r="X29" s="5" t="s">
        <v>325</v>
      </c>
      <c r="Y29" s="5" t="s">
        <v>167</v>
      </c>
    </row>
    <row r="30" ht="25" customHeight="1" spans="1:25">
      <c r="A30" s="5" t="s">
        <v>326</v>
      </c>
      <c r="B30" s="5" t="s">
        <v>125</v>
      </c>
      <c r="C30" s="5" t="s">
        <v>327</v>
      </c>
      <c r="D30" s="5" t="s">
        <v>328</v>
      </c>
      <c r="E30" s="5" t="s">
        <v>329</v>
      </c>
      <c r="F30" s="5" t="s">
        <v>17</v>
      </c>
      <c r="G30" s="5" t="s">
        <v>56</v>
      </c>
      <c r="H30" s="5" t="s">
        <v>57</v>
      </c>
      <c r="I30" s="5" t="s">
        <v>330</v>
      </c>
      <c r="J30" s="5" t="s">
        <v>331</v>
      </c>
      <c r="K30" s="5" t="s">
        <v>332</v>
      </c>
      <c r="L30" s="5" t="s">
        <v>333</v>
      </c>
      <c r="M30" s="5" t="s">
        <v>334</v>
      </c>
      <c r="N30" s="5" t="s">
        <v>335</v>
      </c>
      <c r="O30" s="5" t="s">
        <v>63</v>
      </c>
      <c r="P30" s="5" t="s">
        <v>64</v>
      </c>
      <c r="Q30" s="5" t="s">
        <v>336</v>
      </c>
      <c r="R30" s="5" t="s">
        <v>337</v>
      </c>
      <c r="S30" s="5" t="s">
        <v>338</v>
      </c>
      <c r="T30" s="5" t="s">
        <v>339</v>
      </c>
      <c r="U30" s="5" t="s">
        <v>66</v>
      </c>
      <c r="V30" s="5" t="s">
        <v>66</v>
      </c>
      <c r="W30" s="5" t="s">
        <v>340</v>
      </c>
      <c r="X30" s="5" t="s">
        <v>1</v>
      </c>
      <c r="Y30" s="5" t="s">
        <v>66</v>
      </c>
    </row>
    <row r="31" ht="25" customHeight="1" spans="1:25">
      <c r="A31" s="3" t="s">
        <v>341</v>
      </c>
      <c r="B31" s="3" t="s">
        <v>342</v>
      </c>
      <c r="C31" s="3" t="s">
        <v>327</v>
      </c>
      <c r="D31" s="3" t="s">
        <v>343</v>
      </c>
      <c r="E31" s="3" t="s">
        <v>329</v>
      </c>
      <c r="F31" s="3" t="s">
        <v>344</v>
      </c>
      <c r="G31" s="3" t="s">
        <v>56</v>
      </c>
      <c r="H31" s="3" t="s">
        <v>57</v>
      </c>
      <c r="I31" s="3" t="s">
        <v>58</v>
      </c>
      <c r="J31" s="3" t="s">
        <v>1</v>
      </c>
      <c r="K31" s="3" t="s">
        <v>345</v>
      </c>
      <c r="L31" s="3" t="s">
        <v>346</v>
      </c>
      <c r="M31" s="3" t="s">
        <v>347</v>
      </c>
      <c r="N31" s="3" t="s">
        <v>335</v>
      </c>
      <c r="O31" s="3" t="s">
        <v>348</v>
      </c>
      <c r="P31" s="3" t="s">
        <v>349</v>
      </c>
      <c r="Q31" s="3" t="s">
        <v>350</v>
      </c>
      <c r="R31" s="3" t="s">
        <v>1</v>
      </c>
      <c r="S31" s="3" t="s">
        <v>1</v>
      </c>
      <c r="T31" s="3" t="s">
        <v>1</v>
      </c>
      <c r="U31" s="3" t="s">
        <v>66</v>
      </c>
      <c r="V31" s="3" t="s">
        <v>66</v>
      </c>
      <c r="W31" s="3" t="s">
        <v>351</v>
      </c>
      <c r="X31" s="3" t="s">
        <v>1</v>
      </c>
      <c r="Y31" s="3" t="s">
        <v>167</v>
      </c>
    </row>
    <row r="32" ht="25" customHeight="1" spans="1:25">
      <c r="A32" s="3" t="s">
        <v>352</v>
      </c>
      <c r="B32" s="3" t="s">
        <v>70</v>
      </c>
      <c r="C32" s="3" t="s">
        <v>327</v>
      </c>
      <c r="D32" s="3" t="s">
        <v>343</v>
      </c>
      <c r="E32" s="3" t="s">
        <v>329</v>
      </c>
      <c r="F32" s="3" t="s">
        <v>344</v>
      </c>
      <c r="G32" s="3" t="s">
        <v>56</v>
      </c>
      <c r="H32" s="3" t="s">
        <v>57</v>
      </c>
      <c r="I32" s="3" t="s">
        <v>353</v>
      </c>
      <c r="J32" s="3" t="s">
        <v>354</v>
      </c>
      <c r="K32" s="3" t="s">
        <v>355</v>
      </c>
      <c r="L32" s="3" t="s">
        <v>356</v>
      </c>
      <c r="M32" s="3" t="s">
        <v>357</v>
      </c>
      <c r="N32" s="3" t="s">
        <v>335</v>
      </c>
      <c r="O32" s="3" t="s">
        <v>348</v>
      </c>
      <c r="P32" s="3" t="s">
        <v>358</v>
      </c>
      <c r="Q32" s="3" t="s">
        <v>359</v>
      </c>
      <c r="R32" s="3">
        <v>5</v>
      </c>
      <c r="S32" s="3">
        <v>1</v>
      </c>
      <c r="T32" s="3">
        <v>1</v>
      </c>
      <c r="U32" s="3" t="s">
        <v>66</v>
      </c>
      <c r="V32" s="3" t="s">
        <v>167</v>
      </c>
      <c r="W32" s="3" t="s">
        <v>360</v>
      </c>
      <c r="X32" s="3" t="s">
        <v>361</v>
      </c>
      <c r="Y32" s="6" t="s">
        <v>167</v>
      </c>
    </row>
    <row r="33" ht="25" customHeight="1" spans="1:25">
      <c r="A33" s="3" t="s">
        <v>362</v>
      </c>
      <c r="B33" s="3" t="s">
        <v>363</v>
      </c>
      <c r="C33" s="3" t="s">
        <v>327</v>
      </c>
      <c r="D33" s="3" t="s">
        <v>343</v>
      </c>
      <c r="E33" s="3" t="s">
        <v>329</v>
      </c>
      <c r="F33" s="3" t="s">
        <v>364</v>
      </c>
      <c r="G33" s="3" t="s">
        <v>56</v>
      </c>
      <c r="H33" s="3" t="s">
        <v>57</v>
      </c>
      <c r="I33" s="3" t="s">
        <v>365</v>
      </c>
      <c r="J33" s="3" t="s">
        <v>1</v>
      </c>
      <c r="K33" s="3" t="s">
        <v>366</v>
      </c>
      <c r="L33" s="3" t="s">
        <v>367</v>
      </c>
      <c r="M33" s="3" t="s">
        <v>368</v>
      </c>
      <c r="N33" s="3" t="s">
        <v>335</v>
      </c>
      <c r="O33" s="3" t="s">
        <v>348</v>
      </c>
      <c r="P33" s="3" t="s">
        <v>164</v>
      </c>
      <c r="Q33" s="3" t="s">
        <v>369</v>
      </c>
      <c r="R33" s="3" t="s">
        <v>1</v>
      </c>
      <c r="S33" s="3" t="s">
        <v>370</v>
      </c>
      <c r="T33" s="3" t="s">
        <v>1</v>
      </c>
      <c r="U33" s="3" t="s">
        <v>66</v>
      </c>
      <c r="V33" s="3" t="s">
        <v>66</v>
      </c>
      <c r="W33" s="3" t="s">
        <v>371</v>
      </c>
      <c r="X33" s="3" t="s">
        <v>1</v>
      </c>
      <c r="Y33" s="3" t="s">
        <v>167</v>
      </c>
    </row>
    <row r="34" ht="25" customHeight="1" spans="1:25">
      <c r="A34" s="3" t="s">
        <v>372</v>
      </c>
      <c r="B34" s="3" t="s">
        <v>373</v>
      </c>
      <c r="C34" s="3" t="s">
        <v>374</v>
      </c>
      <c r="D34" s="3" t="s">
        <v>375</v>
      </c>
      <c r="E34" s="3" t="s">
        <v>376</v>
      </c>
      <c r="F34" s="3" t="s">
        <v>17</v>
      </c>
      <c r="G34" s="3" t="s">
        <v>377</v>
      </c>
      <c r="H34" s="3" t="s">
        <v>57</v>
      </c>
      <c r="I34" s="3" t="s">
        <v>58</v>
      </c>
      <c r="J34" s="3" t="s">
        <v>1</v>
      </c>
      <c r="K34" s="3" t="s">
        <v>117</v>
      </c>
      <c r="L34" s="3" t="s">
        <v>378</v>
      </c>
      <c r="M34" s="3" t="s">
        <v>379</v>
      </c>
      <c r="N34" s="3" t="s">
        <v>380</v>
      </c>
      <c r="O34" s="3" t="s">
        <v>63</v>
      </c>
      <c r="P34" s="3" t="s">
        <v>64</v>
      </c>
      <c r="Q34" s="3" t="s">
        <v>381</v>
      </c>
      <c r="R34" s="3" t="s">
        <v>1</v>
      </c>
      <c r="S34" s="3" t="s">
        <v>1</v>
      </c>
      <c r="T34" s="3" t="s">
        <v>1</v>
      </c>
      <c r="U34" s="3" t="s">
        <v>66</v>
      </c>
      <c r="V34" s="3" t="s">
        <v>66</v>
      </c>
      <c r="W34" s="3" t="s">
        <v>1</v>
      </c>
      <c r="X34" s="3" t="s">
        <v>1</v>
      </c>
      <c r="Y34" s="3" t="s">
        <v>66</v>
      </c>
    </row>
    <row r="35" ht="25" customHeight="1" spans="1:25">
      <c r="A35" s="3" t="s">
        <v>382</v>
      </c>
      <c r="B35" s="3" t="s">
        <v>383</v>
      </c>
      <c r="C35" s="3" t="s">
        <v>384</v>
      </c>
      <c r="D35" s="3" t="s">
        <v>385</v>
      </c>
      <c r="E35" s="3" t="s">
        <v>386</v>
      </c>
      <c r="F35" s="3" t="s">
        <v>17</v>
      </c>
      <c r="G35" s="3" t="s">
        <v>387</v>
      </c>
      <c r="H35" s="3" t="s">
        <v>388</v>
      </c>
      <c r="I35" s="3" t="s">
        <v>58</v>
      </c>
      <c r="J35" s="3" t="s">
        <v>1</v>
      </c>
      <c r="K35" s="3" t="s">
        <v>389</v>
      </c>
      <c r="L35" s="3" t="s">
        <v>390</v>
      </c>
      <c r="M35" s="3" t="s">
        <v>391</v>
      </c>
      <c r="N35" s="3" t="s">
        <v>392</v>
      </c>
      <c r="O35" s="3" t="s">
        <v>63</v>
      </c>
      <c r="P35" s="3" t="s">
        <v>64</v>
      </c>
      <c r="Q35" s="3" t="s">
        <v>393</v>
      </c>
      <c r="R35" s="3" t="s">
        <v>1</v>
      </c>
      <c r="S35" s="3" t="s">
        <v>1</v>
      </c>
      <c r="T35" s="3" t="s">
        <v>1</v>
      </c>
      <c r="U35" s="3" t="s">
        <v>66</v>
      </c>
      <c r="V35" s="3" t="s">
        <v>66</v>
      </c>
      <c r="W35" s="3" t="s">
        <v>1</v>
      </c>
      <c r="X35" s="3" t="s">
        <v>1</v>
      </c>
      <c r="Y35" s="3" t="s">
        <v>66</v>
      </c>
    </row>
    <row r="36" ht="25" customHeight="1" spans="1:25">
      <c r="A36" s="3" t="s">
        <v>394</v>
      </c>
      <c r="B36" s="3" t="s">
        <v>276</v>
      </c>
      <c r="C36" s="3" t="s">
        <v>384</v>
      </c>
      <c r="D36" s="3" t="s">
        <v>395</v>
      </c>
      <c r="E36" s="3" t="s">
        <v>396</v>
      </c>
      <c r="F36" s="3" t="s">
        <v>17</v>
      </c>
      <c r="G36" s="3" t="s">
        <v>397</v>
      </c>
      <c r="H36" s="3" t="s">
        <v>388</v>
      </c>
      <c r="I36" s="3" t="s">
        <v>58</v>
      </c>
      <c r="J36" s="3" t="s">
        <v>1</v>
      </c>
      <c r="K36" s="3" t="s">
        <v>398</v>
      </c>
      <c r="L36" s="3" t="s">
        <v>399</v>
      </c>
      <c r="M36" s="3" t="s">
        <v>400</v>
      </c>
      <c r="N36" s="3" t="s">
        <v>401</v>
      </c>
      <c r="O36" s="3" t="s">
        <v>63</v>
      </c>
      <c r="P36" s="3" t="s">
        <v>64</v>
      </c>
      <c r="Q36" s="3" t="s">
        <v>381</v>
      </c>
      <c r="R36" s="3" t="s">
        <v>1</v>
      </c>
      <c r="S36" s="3" t="s">
        <v>1</v>
      </c>
      <c r="T36" s="3" t="s">
        <v>1</v>
      </c>
      <c r="U36" s="3" t="s">
        <v>66</v>
      </c>
      <c r="V36" s="3" t="s">
        <v>66</v>
      </c>
      <c r="W36" s="3" t="s">
        <v>1</v>
      </c>
      <c r="X36" s="3" t="s">
        <v>1</v>
      </c>
      <c r="Y36" s="3" t="s">
        <v>66</v>
      </c>
    </row>
    <row r="37" ht="25" customHeight="1" spans="1:25">
      <c r="A37" s="3" t="s">
        <v>402</v>
      </c>
      <c r="B37" s="3" t="s">
        <v>403</v>
      </c>
      <c r="C37" s="3" t="s">
        <v>384</v>
      </c>
      <c r="D37" s="3" t="s">
        <v>385</v>
      </c>
      <c r="E37" s="3" t="s">
        <v>404</v>
      </c>
      <c r="F37" s="3" t="s">
        <v>17</v>
      </c>
      <c r="G37" s="3" t="s">
        <v>405</v>
      </c>
      <c r="H37" s="3" t="s">
        <v>406</v>
      </c>
      <c r="I37" s="3" t="s">
        <v>58</v>
      </c>
      <c r="J37" s="3" t="s">
        <v>1</v>
      </c>
      <c r="K37" s="3" t="s">
        <v>407</v>
      </c>
      <c r="L37" s="3" t="s">
        <v>408</v>
      </c>
      <c r="M37" s="3" t="s">
        <v>409</v>
      </c>
      <c r="N37" s="3" t="s">
        <v>392</v>
      </c>
      <c r="O37" s="3" t="s">
        <v>63</v>
      </c>
      <c r="P37" s="3" t="s">
        <v>64</v>
      </c>
      <c r="Q37" s="3" t="s">
        <v>381</v>
      </c>
      <c r="R37" s="3" t="s">
        <v>1</v>
      </c>
      <c r="S37" s="3" t="s">
        <v>1</v>
      </c>
      <c r="T37" s="3" t="s">
        <v>1</v>
      </c>
      <c r="U37" s="3" t="s">
        <v>66</v>
      </c>
      <c r="V37" s="3" t="s">
        <v>66</v>
      </c>
      <c r="W37" s="3" t="s">
        <v>1</v>
      </c>
      <c r="X37" s="3" t="s">
        <v>1</v>
      </c>
      <c r="Y37" s="3" t="s">
        <v>66</v>
      </c>
    </row>
    <row r="38" ht="25" customHeight="1" spans="1:25">
      <c r="A38" s="3" t="s">
        <v>410</v>
      </c>
      <c r="B38" s="3" t="s">
        <v>88</v>
      </c>
      <c r="C38" s="3" t="s">
        <v>384</v>
      </c>
      <c r="D38" s="3" t="s">
        <v>385</v>
      </c>
      <c r="E38" s="3" t="s">
        <v>411</v>
      </c>
      <c r="F38" s="3" t="s">
        <v>17</v>
      </c>
      <c r="G38" s="3" t="s">
        <v>412</v>
      </c>
      <c r="H38" s="3" t="s">
        <v>129</v>
      </c>
      <c r="I38" s="3" t="s">
        <v>58</v>
      </c>
      <c r="J38" s="3" t="s">
        <v>1</v>
      </c>
      <c r="K38" s="3" t="s">
        <v>413</v>
      </c>
      <c r="L38" s="3" t="s">
        <v>414</v>
      </c>
      <c r="M38" s="3" t="s">
        <v>415</v>
      </c>
      <c r="N38" s="3" t="s">
        <v>392</v>
      </c>
      <c r="O38" s="3" t="s">
        <v>63</v>
      </c>
      <c r="P38" s="3" t="s">
        <v>64</v>
      </c>
      <c r="Q38" s="3" t="s">
        <v>416</v>
      </c>
      <c r="R38" s="3" t="s">
        <v>1</v>
      </c>
      <c r="S38" s="3" t="s">
        <v>1</v>
      </c>
      <c r="T38" s="3" t="s">
        <v>1</v>
      </c>
      <c r="U38" s="3" t="s">
        <v>66</v>
      </c>
      <c r="V38" s="3" t="s">
        <v>66</v>
      </c>
      <c r="W38" s="3" t="s">
        <v>1</v>
      </c>
      <c r="X38" s="3" t="s">
        <v>1</v>
      </c>
      <c r="Y38" s="3" t="s">
        <v>66</v>
      </c>
    </row>
    <row r="39" ht="25" customHeight="1" spans="1:25">
      <c r="A39" s="3" t="s">
        <v>417</v>
      </c>
      <c r="B39" s="3" t="s">
        <v>418</v>
      </c>
      <c r="C39" s="3" t="s">
        <v>374</v>
      </c>
      <c r="D39" s="3" t="s">
        <v>419</v>
      </c>
      <c r="E39" s="3" t="s">
        <v>420</v>
      </c>
      <c r="F39" s="3" t="s">
        <v>72</v>
      </c>
      <c r="G39" s="3" t="s">
        <v>421</v>
      </c>
      <c r="H39" s="3" t="s">
        <v>422</v>
      </c>
      <c r="I39" s="3" t="s">
        <v>58</v>
      </c>
      <c r="J39" s="3" t="s">
        <v>1</v>
      </c>
      <c r="K39" s="3" t="s">
        <v>423</v>
      </c>
      <c r="L39" s="3" t="s">
        <v>424</v>
      </c>
      <c r="M39" s="3" t="s">
        <v>425</v>
      </c>
      <c r="N39" s="3" t="s">
        <v>426</v>
      </c>
      <c r="O39" s="3" t="s">
        <v>63</v>
      </c>
      <c r="P39" s="3" t="s">
        <v>77</v>
      </c>
      <c r="Q39" s="3" t="s">
        <v>427</v>
      </c>
      <c r="R39" s="3" t="s">
        <v>1</v>
      </c>
      <c r="S39" s="3" t="s">
        <v>1</v>
      </c>
      <c r="T39" s="3" t="s">
        <v>1</v>
      </c>
      <c r="U39" s="3" t="s">
        <v>66</v>
      </c>
      <c r="V39" s="3" t="s">
        <v>167</v>
      </c>
      <c r="W39" s="3" t="s">
        <v>428</v>
      </c>
      <c r="X39" s="3" t="s">
        <v>1</v>
      </c>
      <c r="Y39" s="3" t="s">
        <v>66</v>
      </c>
    </row>
    <row r="40" ht="25" customHeight="1" spans="1:25">
      <c r="A40" s="3" t="s">
        <v>429</v>
      </c>
      <c r="B40" s="3" t="s">
        <v>108</v>
      </c>
      <c r="C40" s="3" t="s">
        <v>374</v>
      </c>
      <c r="D40" s="3" t="s">
        <v>430</v>
      </c>
      <c r="E40" s="3" t="s">
        <v>431</v>
      </c>
      <c r="F40" s="3" t="s">
        <v>17</v>
      </c>
      <c r="G40" s="3" t="s">
        <v>377</v>
      </c>
      <c r="H40" s="3" t="s">
        <v>57</v>
      </c>
      <c r="I40" s="3" t="s">
        <v>58</v>
      </c>
      <c r="J40" s="3" t="s">
        <v>1</v>
      </c>
      <c r="K40" s="3" t="s">
        <v>432</v>
      </c>
      <c r="L40" s="3" t="s">
        <v>433</v>
      </c>
      <c r="M40" s="3" t="s">
        <v>434</v>
      </c>
      <c r="N40" s="3" t="s">
        <v>435</v>
      </c>
      <c r="O40" s="3" t="s">
        <v>63</v>
      </c>
      <c r="P40" s="3" t="s">
        <v>64</v>
      </c>
      <c r="Q40" s="3" t="s">
        <v>436</v>
      </c>
      <c r="R40" s="3" t="s">
        <v>1</v>
      </c>
      <c r="S40" s="3" t="s">
        <v>1</v>
      </c>
      <c r="T40" s="3" t="s">
        <v>1</v>
      </c>
      <c r="U40" s="3" t="s">
        <v>66</v>
      </c>
      <c r="V40" s="3" t="s">
        <v>66</v>
      </c>
      <c r="W40" s="3" t="s">
        <v>1</v>
      </c>
      <c r="X40" s="3" t="s">
        <v>1</v>
      </c>
      <c r="Y40" s="3" t="s">
        <v>66</v>
      </c>
    </row>
    <row r="41" ht="25" customHeight="1" spans="1:25">
      <c r="A41" s="3" t="s">
        <v>437</v>
      </c>
      <c r="B41" s="3" t="s">
        <v>373</v>
      </c>
      <c r="C41" s="3" t="s">
        <v>374</v>
      </c>
      <c r="D41" s="3" t="s">
        <v>438</v>
      </c>
      <c r="E41" s="3" t="s">
        <v>439</v>
      </c>
      <c r="F41" s="3" t="s">
        <v>440</v>
      </c>
      <c r="G41" s="3" t="s">
        <v>441</v>
      </c>
      <c r="H41" s="3" t="s">
        <v>406</v>
      </c>
      <c r="I41" s="3" t="s">
        <v>58</v>
      </c>
      <c r="J41" s="3" t="s">
        <v>1</v>
      </c>
      <c r="K41" s="3" t="s">
        <v>442</v>
      </c>
      <c r="L41" s="3" t="s">
        <v>443</v>
      </c>
      <c r="M41" s="3" t="s">
        <v>444</v>
      </c>
      <c r="N41" s="3" t="s">
        <v>380</v>
      </c>
      <c r="O41" s="3" t="s">
        <v>63</v>
      </c>
      <c r="P41" s="3" t="s">
        <v>164</v>
      </c>
      <c r="Q41" s="3" t="s">
        <v>381</v>
      </c>
      <c r="R41" s="3" t="s">
        <v>1</v>
      </c>
      <c r="S41" s="3" t="s">
        <v>1</v>
      </c>
      <c r="T41" s="3" t="s">
        <v>1</v>
      </c>
      <c r="U41" s="3" t="s">
        <v>66</v>
      </c>
      <c r="V41" s="3" t="s">
        <v>66</v>
      </c>
      <c r="W41" s="3" t="s">
        <v>445</v>
      </c>
      <c r="X41" s="3" t="s">
        <v>1</v>
      </c>
      <c r="Y41" s="3" t="s">
        <v>167</v>
      </c>
    </row>
    <row r="42" ht="25" customHeight="1" spans="1:25">
      <c r="A42" s="3" t="s">
        <v>446</v>
      </c>
      <c r="B42" s="3" t="s">
        <v>418</v>
      </c>
      <c r="C42" s="3" t="s">
        <v>384</v>
      </c>
      <c r="D42" s="3" t="s">
        <v>395</v>
      </c>
      <c r="E42" s="3" t="s">
        <v>447</v>
      </c>
      <c r="F42" s="3" t="s">
        <v>440</v>
      </c>
      <c r="G42" s="3" t="s">
        <v>397</v>
      </c>
      <c r="H42" s="3" t="s">
        <v>388</v>
      </c>
      <c r="I42" s="3" t="s">
        <v>58</v>
      </c>
      <c r="J42" s="3" t="s">
        <v>1</v>
      </c>
      <c r="K42" s="3" t="s">
        <v>448</v>
      </c>
      <c r="L42" s="3" t="s">
        <v>449</v>
      </c>
      <c r="M42" s="3" t="s">
        <v>444</v>
      </c>
      <c r="N42" s="3" t="s">
        <v>401</v>
      </c>
      <c r="O42" s="3" t="s">
        <v>63</v>
      </c>
      <c r="P42" s="3" t="s">
        <v>164</v>
      </c>
      <c r="Q42" s="3" t="s">
        <v>381</v>
      </c>
      <c r="R42" s="3" t="s">
        <v>1</v>
      </c>
      <c r="S42" s="3" t="s">
        <v>1</v>
      </c>
      <c r="T42" s="3" t="s">
        <v>1</v>
      </c>
      <c r="U42" s="3" t="s">
        <v>66</v>
      </c>
      <c r="V42" s="3" t="s">
        <v>66</v>
      </c>
      <c r="W42" s="3" t="s">
        <v>445</v>
      </c>
      <c r="X42" s="3" t="s">
        <v>1</v>
      </c>
      <c r="Y42" s="3" t="s">
        <v>167</v>
      </c>
    </row>
    <row r="43" ht="25" customHeight="1" spans="1:25">
      <c r="A43" s="3" t="s">
        <v>450</v>
      </c>
      <c r="B43" s="3" t="s">
        <v>451</v>
      </c>
      <c r="C43" s="3" t="s">
        <v>294</v>
      </c>
      <c r="D43" s="3" t="s">
        <v>452</v>
      </c>
      <c r="E43" s="3" t="s">
        <v>453</v>
      </c>
      <c r="F43" s="3" t="s">
        <v>17</v>
      </c>
      <c r="G43" s="3" t="s">
        <v>454</v>
      </c>
      <c r="H43" s="3" t="s">
        <v>406</v>
      </c>
      <c r="I43" s="3" t="s">
        <v>58</v>
      </c>
      <c r="J43" s="3" t="s">
        <v>1</v>
      </c>
      <c r="K43" s="3" t="s">
        <v>455</v>
      </c>
      <c r="L43" s="3" t="s">
        <v>456</v>
      </c>
      <c r="M43" s="3" t="s">
        <v>457</v>
      </c>
      <c r="N43" s="3" t="s">
        <v>458</v>
      </c>
      <c r="O43" s="3" t="s">
        <v>63</v>
      </c>
      <c r="P43" s="3" t="s">
        <v>64</v>
      </c>
      <c r="Q43" s="3" t="s">
        <v>381</v>
      </c>
      <c r="R43" s="3" t="s">
        <v>1</v>
      </c>
      <c r="S43" s="3" t="s">
        <v>1</v>
      </c>
      <c r="T43" s="3" t="s">
        <v>1</v>
      </c>
      <c r="U43" s="3" t="s">
        <v>66</v>
      </c>
      <c r="V43" s="3" t="s">
        <v>66</v>
      </c>
      <c r="W43" s="3" t="s">
        <v>1</v>
      </c>
      <c r="X43" s="3" t="s">
        <v>1</v>
      </c>
      <c r="Y43" s="3" t="s">
        <v>66</v>
      </c>
    </row>
    <row r="44" ht="25" customHeight="1" spans="1:25">
      <c r="A44" s="3" t="s">
        <v>459</v>
      </c>
      <c r="B44" s="3" t="s">
        <v>125</v>
      </c>
      <c r="C44" s="3" t="s">
        <v>294</v>
      </c>
      <c r="D44" s="3" t="s">
        <v>452</v>
      </c>
      <c r="E44" s="3" t="s">
        <v>460</v>
      </c>
      <c r="F44" s="3" t="s">
        <v>72</v>
      </c>
      <c r="G44" s="3" t="s">
        <v>461</v>
      </c>
      <c r="H44" s="3" t="s">
        <v>462</v>
      </c>
      <c r="I44" s="3" t="s">
        <v>58</v>
      </c>
      <c r="J44" s="3" t="s">
        <v>1</v>
      </c>
      <c r="K44" s="3" t="s">
        <v>189</v>
      </c>
      <c r="L44" s="3" t="s">
        <v>463</v>
      </c>
      <c r="M44" s="3" t="s">
        <v>464</v>
      </c>
      <c r="N44" s="3" t="s">
        <v>465</v>
      </c>
      <c r="O44" s="3" t="s">
        <v>63</v>
      </c>
      <c r="P44" s="3" t="s">
        <v>72</v>
      </c>
      <c r="Q44" s="3" t="s">
        <v>466</v>
      </c>
      <c r="R44" s="3" t="s">
        <v>1</v>
      </c>
      <c r="S44" s="3" t="s">
        <v>1</v>
      </c>
      <c r="T44" s="3" t="s">
        <v>1</v>
      </c>
      <c r="U44" s="3" t="s">
        <v>66</v>
      </c>
      <c r="V44" s="3" t="s">
        <v>66</v>
      </c>
      <c r="W44" s="3" t="s">
        <v>1</v>
      </c>
      <c r="X44" s="3" t="s">
        <v>1</v>
      </c>
      <c r="Y44" s="3" t="s">
        <v>66</v>
      </c>
    </row>
    <row r="45" ht="25" customHeight="1" spans="1:25">
      <c r="A45" s="3" t="s">
        <v>467</v>
      </c>
      <c r="B45" s="3" t="s">
        <v>88</v>
      </c>
      <c r="C45" s="3" t="s">
        <v>294</v>
      </c>
      <c r="D45" s="3" t="s">
        <v>452</v>
      </c>
      <c r="E45" s="3" t="s">
        <v>468</v>
      </c>
      <c r="F45" s="3" t="s">
        <v>17</v>
      </c>
      <c r="G45" s="3" t="s">
        <v>377</v>
      </c>
      <c r="H45" s="3" t="s">
        <v>57</v>
      </c>
      <c r="I45" s="3" t="s">
        <v>58</v>
      </c>
      <c r="J45" s="3" t="s">
        <v>1</v>
      </c>
      <c r="K45" s="3" t="s">
        <v>469</v>
      </c>
      <c r="L45" s="3" t="s">
        <v>470</v>
      </c>
      <c r="M45" s="3" t="s">
        <v>471</v>
      </c>
      <c r="N45" s="3" t="s">
        <v>472</v>
      </c>
      <c r="O45" s="3" t="s">
        <v>63</v>
      </c>
      <c r="P45" s="3" t="s">
        <v>64</v>
      </c>
      <c r="Q45" s="3" t="s">
        <v>436</v>
      </c>
      <c r="R45" s="3" t="s">
        <v>1</v>
      </c>
      <c r="S45" s="3" t="s">
        <v>1</v>
      </c>
      <c r="T45" s="3" t="s">
        <v>1</v>
      </c>
      <c r="U45" s="3" t="s">
        <v>66</v>
      </c>
      <c r="V45" s="3" t="s">
        <v>66</v>
      </c>
      <c r="W45" s="3" t="s">
        <v>1</v>
      </c>
      <c r="X45" s="3" t="s">
        <v>1</v>
      </c>
      <c r="Y45" s="3" t="s">
        <v>66</v>
      </c>
    </row>
    <row r="46" ht="25" customHeight="1" spans="1:25">
      <c r="A46" s="3" t="s">
        <v>473</v>
      </c>
      <c r="B46" s="3" t="s">
        <v>373</v>
      </c>
      <c r="C46" s="3" t="s">
        <v>294</v>
      </c>
      <c r="D46" s="3" t="s">
        <v>474</v>
      </c>
      <c r="E46" s="3" t="s">
        <v>475</v>
      </c>
      <c r="F46" s="3" t="s">
        <v>17</v>
      </c>
      <c r="G46" s="3" t="s">
        <v>476</v>
      </c>
      <c r="H46" s="3" t="s">
        <v>406</v>
      </c>
      <c r="I46" s="3" t="s">
        <v>58</v>
      </c>
      <c r="J46" s="3" t="s">
        <v>1</v>
      </c>
      <c r="K46" s="3" t="s">
        <v>477</v>
      </c>
      <c r="L46" s="3" t="s">
        <v>478</v>
      </c>
      <c r="M46" s="3" t="s">
        <v>479</v>
      </c>
      <c r="N46" s="3" t="s">
        <v>480</v>
      </c>
      <c r="O46" s="3" t="s">
        <v>63</v>
      </c>
      <c r="P46" s="3" t="s">
        <v>64</v>
      </c>
      <c r="Q46" s="3" t="s">
        <v>466</v>
      </c>
      <c r="R46" s="3" t="s">
        <v>1</v>
      </c>
      <c r="S46" s="3" t="s">
        <v>1</v>
      </c>
      <c r="T46" s="3" t="s">
        <v>1</v>
      </c>
      <c r="U46" s="3" t="s">
        <v>66</v>
      </c>
      <c r="V46" s="3" t="s">
        <v>66</v>
      </c>
      <c r="W46" s="3" t="s">
        <v>1</v>
      </c>
      <c r="X46" s="3" t="s">
        <v>1</v>
      </c>
      <c r="Y46" s="3" t="s">
        <v>66</v>
      </c>
    </row>
    <row r="47" ht="25" customHeight="1" spans="1:25">
      <c r="A47" s="3" t="s">
        <v>481</v>
      </c>
      <c r="B47" s="3" t="s">
        <v>451</v>
      </c>
      <c r="C47" s="3" t="s">
        <v>294</v>
      </c>
      <c r="D47" s="3" t="s">
        <v>474</v>
      </c>
      <c r="E47" s="3" t="s">
        <v>475</v>
      </c>
      <c r="F47" s="3" t="s">
        <v>17</v>
      </c>
      <c r="G47" s="3" t="s">
        <v>476</v>
      </c>
      <c r="H47" s="3" t="s">
        <v>406</v>
      </c>
      <c r="I47" s="3" t="s">
        <v>58</v>
      </c>
      <c r="J47" s="3" t="s">
        <v>1</v>
      </c>
      <c r="K47" s="3" t="s">
        <v>482</v>
      </c>
      <c r="L47" s="3" t="s">
        <v>483</v>
      </c>
      <c r="M47" s="3" t="s">
        <v>484</v>
      </c>
      <c r="N47" s="3" t="s">
        <v>485</v>
      </c>
      <c r="O47" s="3" t="s">
        <v>63</v>
      </c>
      <c r="P47" s="3" t="s">
        <v>64</v>
      </c>
      <c r="Q47" s="3" t="s">
        <v>466</v>
      </c>
      <c r="R47" s="3" t="s">
        <v>1</v>
      </c>
      <c r="S47" s="3" t="s">
        <v>1</v>
      </c>
      <c r="T47" s="3" t="s">
        <v>1</v>
      </c>
      <c r="U47" s="3" t="s">
        <v>66</v>
      </c>
      <c r="V47" s="3" t="s">
        <v>66</v>
      </c>
      <c r="W47" s="3" t="s">
        <v>1</v>
      </c>
      <c r="X47" s="3" t="s">
        <v>1</v>
      </c>
      <c r="Y47" s="3" t="s">
        <v>66</v>
      </c>
    </row>
    <row r="48" ht="25" customHeight="1" spans="1:25">
      <c r="A48" s="3" t="s">
        <v>486</v>
      </c>
      <c r="B48" s="3" t="s">
        <v>487</v>
      </c>
      <c r="C48" s="3" t="s">
        <v>294</v>
      </c>
      <c r="D48" s="3" t="s">
        <v>488</v>
      </c>
      <c r="E48" s="3" t="s">
        <v>489</v>
      </c>
      <c r="F48" s="3" t="s">
        <v>17</v>
      </c>
      <c r="G48" s="3" t="s">
        <v>490</v>
      </c>
      <c r="H48" s="3" t="s">
        <v>406</v>
      </c>
      <c r="I48" s="3" t="s">
        <v>58</v>
      </c>
      <c r="J48" s="3" t="s">
        <v>1</v>
      </c>
      <c r="K48" s="3" t="s">
        <v>491</v>
      </c>
      <c r="L48" s="3" t="s">
        <v>492</v>
      </c>
      <c r="M48" s="3" t="s">
        <v>493</v>
      </c>
      <c r="N48" s="3" t="s">
        <v>494</v>
      </c>
      <c r="O48" s="3" t="s">
        <v>63</v>
      </c>
      <c r="P48" s="3" t="s">
        <v>64</v>
      </c>
      <c r="Q48" s="3" t="s">
        <v>381</v>
      </c>
      <c r="R48" s="3" t="s">
        <v>1</v>
      </c>
      <c r="S48" s="3" t="s">
        <v>1</v>
      </c>
      <c r="T48" s="3" t="s">
        <v>1</v>
      </c>
      <c r="U48" s="3" t="s">
        <v>66</v>
      </c>
      <c r="V48" s="3" t="s">
        <v>66</v>
      </c>
      <c r="W48" s="3" t="s">
        <v>1</v>
      </c>
      <c r="X48" s="3" t="s">
        <v>1</v>
      </c>
      <c r="Y48" s="3" t="s">
        <v>66</v>
      </c>
    </row>
    <row r="49" ht="25" customHeight="1" spans="1:25">
      <c r="A49" s="3" t="s">
        <v>495</v>
      </c>
      <c r="B49" s="3" t="s">
        <v>175</v>
      </c>
      <c r="C49" s="3" t="s">
        <v>294</v>
      </c>
      <c r="D49" s="3" t="s">
        <v>496</v>
      </c>
      <c r="E49" s="3" t="s">
        <v>460</v>
      </c>
      <c r="F49" s="3" t="s">
        <v>72</v>
      </c>
      <c r="G49" s="3" t="s">
        <v>497</v>
      </c>
      <c r="H49" s="3" t="s">
        <v>129</v>
      </c>
      <c r="I49" s="3" t="s">
        <v>58</v>
      </c>
      <c r="J49" s="3" t="s">
        <v>1</v>
      </c>
      <c r="K49" s="3" t="s">
        <v>498</v>
      </c>
      <c r="L49" s="3" t="s">
        <v>499</v>
      </c>
      <c r="M49" s="3" t="s">
        <v>500</v>
      </c>
      <c r="N49" s="3" t="s">
        <v>501</v>
      </c>
      <c r="O49" s="3" t="s">
        <v>63</v>
      </c>
      <c r="P49" s="3" t="s">
        <v>72</v>
      </c>
      <c r="Q49" s="3" t="s">
        <v>502</v>
      </c>
      <c r="R49" s="3" t="s">
        <v>1</v>
      </c>
      <c r="S49" s="3" t="s">
        <v>1</v>
      </c>
      <c r="T49" s="3" t="s">
        <v>1</v>
      </c>
      <c r="U49" s="3" t="s">
        <v>66</v>
      </c>
      <c r="V49" s="3" t="s">
        <v>66</v>
      </c>
      <c r="W49" s="3" t="s">
        <v>1</v>
      </c>
      <c r="X49" s="3" t="s">
        <v>1</v>
      </c>
      <c r="Y49" s="3" t="s">
        <v>66</v>
      </c>
    </row>
    <row r="50" ht="25" customHeight="1" spans="1:25">
      <c r="A50" s="3" t="s">
        <v>503</v>
      </c>
      <c r="B50" s="3" t="s">
        <v>276</v>
      </c>
      <c r="C50" s="3" t="s">
        <v>294</v>
      </c>
      <c r="D50" s="3" t="s">
        <v>496</v>
      </c>
      <c r="E50" s="3" t="s">
        <v>504</v>
      </c>
      <c r="F50" s="3" t="s">
        <v>72</v>
      </c>
      <c r="G50" s="3" t="s">
        <v>505</v>
      </c>
      <c r="H50" s="3" t="s">
        <v>406</v>
      </c>
      <c r="I50" s="3" t="s">
        <v>58</v>
      </c>
      <c r="J50" s="3" t="s">
        <v>1</v>
      </c>
      <c r="K50" s="3" t="s">
        <v>506</v>
      </c>
      <c r="L50" s="3" t="s">
        <v>507</v>
      </c>
      <c r="M50" s="3" t="s">
        <v>508</v>
      </c>
      <c r="N50" s="3" t="s">
        <v>509</v>
      </c>
      <c r="O50" s="3" t="s">
        <v>348</v>
      </c>
      <c r="P50" s="3" t="s">
        <v>77</v>
      </c>
      <c r="Q50" s="3" t="s">
        <v>510</v>
      </c>
      <c r="R50" s="3" t="s">
        <v>1</v>
      </c>
      <c r="S50" s="3" t="s">
        <v>1</v>
      </c>
      <c r="T50" s="3" t="s">
        <v>1</v>
      </c>
      <c r="U50" s="3" t="s">
        <v>66</v>
      </c>
      <c r="V50" s="3" t="s">
        <v>66</v>
      </c>
      <c r="W50" s="3" t="s">
        <v>511</v>
      </c>
      <c r="X50" s="3" t="s">
        <v>1</v>
      </c>
      <c r="Y50" s="3" t="s">
        <v>66</v>
      </c>
    </row>
    <row r="51" ht="25" customHeight="1" spans="1:25">
      <c r="A51" s="3" t="s">
        <v>512</v>
      </c>
      <c r="B51" s="3" t="s">
        <v>418</v>
      </c>
      <c r="C51" s="3" t="s">
        <v>294</v>
      </c>
      <c r="D51" s="3" t="s">
        <v>513</v>
      </c>
      <c r="E51" s="3" t="s">
        <v>514</v>
      </c>
      <c r="F51" s="3" t="s">
        <v>17</v>
      </c>
      <c r="G51" s="3" t="s">
        <v>515</v>
      </c>
      <c r="H51" s="3" t="s">
        <v>406</v>
      </c>
      <c r="I51" s="3" t="s">
        <v>58</v>
      </c>
      <c r="J51" s="3" t="s">
        <v>1</v>
      </c>
      <c r="K51" s="3" t="s">
        <v>516</v>
      </c>
      <c r="L51" s="3" t="s">
        <v>517</v>
      </c>
      <c r="M51" s="3" t="s">
        <v>518</v>
      </c>
      <c r="N51" s="3" t="s">
        <v>519</v>
      </c>
      <c r="O51" s="3" t="s">
        <v>63</v>
      </c>
      <c r="P51" s="3" t="s">
        <v>64</v>
      </c>
      <c r="Q51" s="3" t="s">
        <v>466</v>
      </c>
      <c r="R51" s="3" t="s">
        <v>1</v>
      </c>
      <c r="S51" s="3" t="s">
        <v>1</v>
      </c>
      <c r="T51" s="3" t="s">
        <v>1</v>
      </c>
      <c r="U51" s="3" t="s">
        <v>66</v>
      </c>
      <c r="V51" s="3" t="s">
        <v>66</v>
      </c>
      <c r="W51" s="3" t="s">
        <v>1</v>
      </c>
      <c r="X51" s="3" t="s">
        <v>1</v>
      </c>
      <c r="Y51" s="3" t="s">
        <v>66</v>
      </c>
    </row>
    <row r="52" ht="25" customHeight="1" spans="1:25">
      <c r="A52" s="3" t="s">
        <v>520</v>
      </c>
      <c r="B52" s="3" t="s">
        <v>108</v>
      </c>
      <c r="C52" s="3" t="s">
        <v>294</v>
      </c>
      <c r="D52" s="3" t="s">
        <v>521</v>
      </c>
      <c r="E52" s="3" t="s">
        <v>522</v>
      </c>
      <c r="F52" s="3" t="s">
        <v>17</v>
      </c>
      <c r="G52" s="3" t="s">
        <v>523</v>
      </c>
      <c r="H52" s="3" t="s">
        <v>406</v>
      </c>
      <c r="I52" s="3" t="s">
        <v>58</v>
      </c>
      <c r="J52" s="3" t="s">
        <v>1</v>
      </c>
      <c r="K52" s="3" t="s">
        <v>524</v>
      </c>
      <c r="L52" s="3" t="s">
        <v>525</v>
      </c>
      <c r="M52" s="3" t="s">
        <v>526</v>
      </c>
      <c r="N52" s="3" t="s">
        <v>527</v>
      </c>
      <c r="O52" s="3" t="s">
        <v>63</v>
      </c>
      <c r="P52" s="3" t="s">
        <v>64</v>
      </c>
      <c r="Q52" s="3" t="s">
        <v>466</v>
      </c>
      <c r="R52" s="3" t="s">
        <v>1</v>
      </c>
      <c r="S52" s="3" t="s">
        <v>1</v>
      </c>
      <c r="T52" s="3" t="s">
        <v>1</v>
      </c>
      <c r="U52" s="3" t="s">
        <v>66</v>
      </c>
      <c r="V52" s="3" t="s">
        <v>66</v>
      </c>
      <c r="W52" s="3" t="s">
        <v>1</v>
      </c>
      <c r="X52" s="3" t="s">
        <v>1</v>
      </c>
      <c r="Y52" s="3" t="s">
        <v>66</v>
      </c>
    </row>
    <row r="53" ht="25" customHeight="1" spans="1:25">
      <c r="A53" s="3" t="s">
        <v>528</v>
      </c>
      <c r="B53" s="3" t="s">
        <v>248</v>
      </c>
      <c r="C53" s="3" t="s">
        <v>294</v>
      </c>
      <c r="D53" s="3" t="s">
        <v>521</v>
      </c>
      <c r="E53" s="3" t="s">
        <v>529</v>
      </c>
      <c r="F53" s="3" t="s">
        <v>17</v>
      </c>
      <c r="G53" s="3" t="s">
        <v>523</v>
      </c>
      <c r="H53" s="3" t="s">
        <v>406</v>
      </c>
      <c r="I53" s="3" t="s">
        <v>58</v>
      </c>
      <c r="J53" s="3" t="s">
        <v>1</v>
      </c>
      <c r="K53" s="3" t="s">
        <v>530</v>
      </c>
      <c r="L53" s="3" t="s">
        <v>531</v>
      </c>
      <c r="M53" s="3" t="s">
        <v>532</v>
      </c>
      <c r="N53" s="3" t="s">
        <v>533</v>
      </c>
      <c r="O53" s="3" t="s">
        <v>63</v>
      </c>
      <c r="P53" s="3" t="s">
        <v>64</v>
      </c>
      <c r="Q53" s="3" t="s">
        <v>466</v>
      </c>
      <c r="R53" s="3" t="s">
        <v>1</v>
      </c>
      <c r="S53" s="3" t="s">
        <v>1</v>
      </c>
      <c r="T53" s="3" t="s">
        <v>1</v>
      </c>
      <c r="U53" s="3" t="s">
        <v>66</v>
      </c>
      <c r="V53" s="3" t="s">
        <v>66</v>
      </c>
      <c r="W53" s="3" t="s">
        <v>1</v>
      </c>
      <c r="X53" s="3" t="s">
        <v>1</v>
      </c>
      <c r="Y53" s="3" t="s">
        <v>66</v>
      </c>
    </row>
    <row r="54" ht="25" customHeight="1" spans="1:25">
      <c r="A54" s="3" t="s">
        <v>534</v>
      </c>
      <c r="B54" s="3" t="s">
        <v>418</v>
      </c>
      <c r="C54" s="3" t="s">
        <v>384</v>
      </c>
      <c r="D54" s="3" t="s">
        <v>535</v>
      </c>
      <c r="E54" s="3" t="s">
        <v>536</v>
      </c>
      <c r="F54" s="3" t="s">
        <v>537</v>
      </c>
      <c r="G54" s="3" t="s">
        <v>240</v>
      </c>
      <c r="H54" s="3" t="s">
        <v>538</v>
      </c>
      <c r="I54" s="3" t="s">
        <v>58</v>
      </c>
      <c r="J54" s="3" t="s">
        <v>1</v>
      </c>
      <c r="K54" s="3" t="s">
        <v>539</v>
      </c>
      <c r="L54" s="3" t="s">
        <v>540</v>
      </c>
      <c r="M54" s="3" t="s">
        <v>540</v>
      </c>
      <c r="N54" s="3" t="s">
        <v>541</v>
      </c>
      <c r="O54" s="3" t="s">
        <v>63</v>
      </c>
      <c r="P54" s="3" t="s">
        <v>542</v>
      </c>
      <c r="Q54" s="3" t="s">
        <v>543</v>
      </c>
      <c r="R54" s="3" t="s">
        <v>1</v>
      </c>
      <c r="S54" s="3" t="s">
        <v>1</v>
      </c>
      <c r="T54" s="3" t="s">
        <v>1</v>
      </c>
      <c r="U54" s="3" t="s">
        <v>66</v>
      </c>
      <c r="V54" s="3" t="s">
        <v>66</v>
      </c>
      <c r="W54" s="3" t="s">
        <v>544</v>
      </c>
      <c r="X54" s="3" t="s">
        <v>1</v>
      </c>
      <c r="Y54" s="3" t="s">
        <v>167</v>
      </c>
    </row>
    <row r="55" ht="25" customHeight="1" spans="1:25">
      <c r="A55" s="3" t="s">
        <v>545</v>
      </c>
      <c r="B55" s="3" t="s">
        <v>418</v>
      </c>
      <c r="C55" s="3" t="s">
        <v>384</v>
      </c>
      <c r="D55" s="3" t="s">
        <v>535</v>
      </c>
      <c r="E55" s="3" t="s">
        <v>546</v>
      </c>
      <c r="F55" s="3" t="s">
        <v>537</v>
      </c>
      <c r="G55" s="3" t="s">
        <v>240</v>
      </c>
      <c r="H55" s="3" t="s">
        <v>538</v>
      </c>
      <c r="I55" s="3" t="s">
        <v>58</v>
      </c>
      <c r="J55" s="3" t="s">
        <v>1</v>
      </c>
      <c r="K55" s="3" t="s">
        <v>547</v>
      </c>
      <c r="L55" s="3" t="s">
        <v>548</v>
      </c>
      <c r="M55" s="3" t="s">
        <v>549</v>
      </c>
      <c r="N55" s="3" t="s">
        <v>541</v>
      </c>
      <c r="O55" s="3" t="s">
        <v>63</v>
      </c>
      <c r="P55" s="3" t="s">
        <v>550</v>
      </c>
      <c r="Q55" s="3" t="s">
        <v>543</v>
      </c>
      <c r="R55" s="3" t="s">
        <v>1</v>
      </c>
      <c r="S55" s="3" t="s">
        <v>1</v>
      </c>
      <c r="T55" s="3" t="s">
        <v>1</v>
      </c>
      <c r="U55" s="3" t="s">
        <v>66</v>
      </c>
      <c r="V55" s="3" t="s">
        <v>66</v>
      </c>
      <c r="W55" s="3" t="s">
        <v>551</v>
      </c>
      <c r="X55" s="3" t="s">
        <v>1</v>
      </c>
      <c r="Y55" s="3" t="s">
        <v>167</v>
      </c>
    </row>
    <row r="56" ht="25" customHeight="1" spans="1:25">
      <c r="A56" s="3" t="s">
        <v>552</v>
      </c>
      <c r="B56" s="3" t="s">
        <v>175</v>
      </c>
      <c r="C56" s="3" t="s">
        <v>384</v>
      </c>
      <c r="D56" s="3" t="s">
        <v>553</v>
      </c>
      <c r="E56" s="3" t="s">
        <v>554</v>
      </c>
      <c r="F56" s="3" t="s">
        <v>537</v>
      </c>
      <c r="G56" s="3" t="s">
        <v>240</v>
      </c>
      <c r="H56" s="3" t="s">
        <v>538</v>
      </c>
      <c r="I56" s="3" t="s">
        <v>58</v>
      </c>
      <c r="J56" s="3" t="s">
        <v>1</v>
      </c>
      <c r="K56" s="3" t="s">
        <v>555</v>
      </c>
      <c r="L56" s="3" t="s">
        <v>556</v>
      </c>
      <c r="M56" s="3" t="s">
        <v>556</v>
      </c>
      <c r="N56" s="3" t="s">
        <v>557</v>
      </c>
      <c r="O56" s="3" t="s">
        <v>63</v>
      </c>
      <c r="P56" s="3" t="s">
        <v>349</v>
      </c>
      <c r="Q56" s="3" t="s">
        <v>558</v>
      </c>
      <c r="R56" s="3" t="s">
        <v>1</v>
      </c>
      <c r="S56" s="3" t="s">
        <v>1</v>
      </c>
      <c r="T56" s="3" t="s">
        <v>1</v>
      </c>
      <c r="U56" s="3" t="s">
        <v>66</v>
      </c>
      <c r="V56" s="3" t="s">
        <v>66</v>
      </c>
      <c r="W56" s="3" t="s">
        <v>559</v>
      </c>
      <c r="X56" s="3" t="s">
        <v>1</v>
      </c>
      <c r="Y56" s="3" t="s">
        <v>167</v>
      </c>
    </row>
    <row r="57" ht="25" customHeight="1" spans="1:25">
      <c r="A57" s="3" t="s">
        <v>560</v>
      </c>
      <c r="B57" s="3" t="s">
        <v>561</v>
      </c>
      <c r="C57" s="3" t="s">
        <v>384</v>
      </c>
      <c r="D57" s="3" t="s">
        <v>562</v>
      </c>
      <c r="E57" s="3" t="s">
        <v>563</v>
      </c>
      <c r="F57" s="3" t="s">
        <v>537</v>
      </c>
      <c r="G57" s="3" t="s">
        <v>240</v>
      </c>
      <c r="H57" s="3" t="s">
        <v>538</v>
      </c>
      <c r="I57" s="3" t="s">
        <v>58</v>
      </c>
      <c r="J57" s="3" t="s">
        <v>1</v>
      </c>
      <c r="K57" s="3" t="s">
        <v>564</v>
      </c>
      <c r="L57" s="3" t="s">
        <v>565</v>
      </c>
      <c r="M57" s="3" t="s">
        <v>565</v>
      </c>
      <c r="N57" s="3" t="s">
        <v>566</v>
      </c>
      <c r="O57" s="3" t="s">
        <v>63</v>
      </c>
      <c r="P57" s="3" t="s">
        <v>164</v>
      </c>
      <c r="Q57" s="3" t="s">
        <v>567</v>
      </c>
      <c r="R57" s="3" t="s">
        <v>1</v>
      </c>
      <c r="S57" s="3" t="s">
        <v>1</v>
      </c>
      <c r="T57" s="3" t="s">
        <v>1</v>
      </c>
      <c r="U57" s="3" t="s">
        <v>66</v>
      </c>
      <c r="V57" s="3" t="s">
        <v>66</v>
      </c>
      <c r="W57" s="3" t="s">
        <v>1</v>
      </c>
      <c r="X57" s="3" t="s">
        <v>1</v>
      </c>
      <c r="Y57" s="3" t="s">
        <v>167</v>
      </c>
    </row>
    <row r="58" ht="25" customHeight="1" spans="1:25">
      <c r="A58" s="3" t="s">
        <v>568</v>
      </c>
      <c r="B58" s="3" t="s">
        <v>52</v>
      </c>
      <c r="C58" s="3" t="s">
        <v>384</v>
      </c>
      <c r="D58" s="3" t="s">
        <v>562</v>
      </c>
      <c r="E58" s="3" t="s">
        <v>563</v>
      </c>
      <c r="F58" s="3" t="s">
        <v>537</v>
      </c>
      <c r="G58" s="3" t="s">
        <v>240</v>
      </c>
      <c r="H58" s="3" t="s">
        <v>538</v>
      </c>
      <c r="I58" s="3" t="s">
        <v>58</v>
      </c>
      <c r="J58" s="3" t="s">
        <v>1</v>
      </c>
      <c r="K58" s="3" t="s">
        <v>569</v>
      </c>
      <c r="L58" s="3" t="s">
        <v>570</v>
      </c>
      <c r="M58" s="3" t="s">
        <v>570</v>
      </c>
      <c r="N58" s="3" t="s">
        <v>571</v>
      </c>
      <c r="O58" s="3" t="s">
        <v>63</v>
      </c>
      <c r="P58" s="3" t="s">
        <v>164</v>
      </c>
      <c r="Q58" s="3" t="s">
        <v>572</v>
      </c>
      <c r="R58" s="3" t="s">
        <v>1</v>
      </c>
      <c r="S58" s="3" t="s">
        <v>1</v>
      </c>
      <c r="T58" s="3" t="s">
        <v>1</v>
      </c>
      <c r="U58" s="3" t="s">
        <v>66</v>
      </c>
      <c r="V58" s="3" t="s">
        <v>66</v>
      </c>
      <c r="W58" s="3" t="s">
        <v>1</v>
      </c>
      <c r="X58" s="3" t="s">
        <v>1</v>
      </c>
      <c r="Y58" s="3" t="s">
        <v>167</v>
      </c>
    </row>
    <row r="59" ht="25" customHeight="1" spans="1:25">
      <c r="A59" s="3" t="s">
        <v>573</v>
      </c>
      <c r="B59" s="3" t="s">
        <v>52</v>
      </c>
      <c r="C59" s="3" t="s">
        <v>384</v>
      </c>
      <c r="D59" s="3" t="s">
        <v>562</v>
      </c>
      <c r="E59" s="3" t="s">
        <v>563</v>
      </c>
      <c r="F59" s="3" t="s">
        <v>537</v>
      </c>
      <c r="G59" s="3" t="s">
        <v>240</v>
      </c>
      <c r="H59" s="3" t="s">
        <v>538</v>
      </c>
      <c r="I59" s="3" t="s">
        <v>58</v>
      </c>
      <c r="J59" s="3" t="s">
        <v>1</v>
      </c>
      <c r="K59" s="3" t="s">
        <v>574</v>
      </c>
      <c r="L59" s="3" t="s">
        <v>575</v>
      </c>
      <c r="M59" s="3" t="s">
        <v>575</v>
      </c>
      <c r="N59" s="3" t="s">
        <v>571</v>
      </c>
      <c r="O59" s="3" t="s">
        <v>63</v>
      </c>
      <c r="P59" s="3" t="s">
        <v>164</v>
      </c>
      <c r="Q59" s="3" t="s">
        <v>567</v>
      </c>
      <c r="R59" s="3" t="s">
        <v>1</v>
      </c>
      <c r="S59" s="3" t="s">
        <v>1</v>
      </c>
      <c r="T59" s="3" t="s">
        <v>1</v>
      </c>
      <c r="U59" s="3" t="s">
        <v>66</v>
      </c>
      <c r="V59" s="3" t="s">
        <v>66</v>
      </c>
      <c r="W59" s="3" t="s">
        <v>1</v>
      </c>
      <c r="X59" s="3" t="s">
        <v>1</v>
      </c>
      <c r="Y59" s="3" t="s">
        <v>167</v>
      </c>
    </row>
    <row r="60" ht="25" customHeight="1" spans="1:25">
      <c r="A60" s="3" t="s">
        <v>576</v>
      </c>
      <c r="B60" s="3" t="s">
        <v>175</v>
      </c>
      <c r="C60" s="3" t="s">
        <v>384</v>
      </c>
      <c r="D60" s="3" t="s">
        <v>562</v>
      </c>
      <c r="E60" s="3" t="s">
        <v>577</v>
      </c>
      <c r="F60" s="3" t="s">
        <v>537</v>
      </c>
      <c r="G60" s="3" t="s">
        <v>240</v>
      </c>
      <c r="H60" s="3" t="s">
        <v>538</v>
      </c>
      <c r="I60" s="3" t="s">
        <v>58</v>
      </c>
      <c r="J60" s="3" t="s">
        <v>1</v>
      </c>
      <c r="K60" s="3" t="s">
        <v>578</v>
      </c>
      <c r="L60" s="3" t="s">
        <v>579</v>
      </c>
      <c r="M60" s="3" t="s">
        <v>579</v>
      </c>
      <c r="N60" s="3" t="s">
        <v>580</v>
      </c>
      <c r="O60" s="3" t="s">
        <v>63</v>
      </c>
      <c r="P60" s="3" t="s">
        <v>164</v>
      </c>
      <c r="Q60" s="3" t="s">
        <v>581</v>
      </c>
      <c r="R60" s="3" t="s">
        <v>1</v>
      </c>
      <c r="S60" s="3" t="s">
        <v>1</v>
      </c>
      <c r="T60" s="3" t="s">
        <v>1</v>
      </c>
      <c r="U60" s="3" t="s">
        <v>66</v>
      </c>
      <c r="V60" s="3" t="s">
        <v>66</v>
      </c>
      <c r="W60" s="3" t="s">
        <v>1</v>
      </c>
      <c r="X60" s="3" t="s">
        <v>1</v>
      </c>
      <c r="Y60" s="3" t="s">
        <v>167</v>
      </c>
    </row>
    <row r="61" ht="25" customHeight="1" spans="1:25">
      <c r="A61" s="3" t="s">
        <v>582</v>
      </c>
      <c r="B61" s="3" t="s">
        <v>216</v>
      </c>
      <c r="C61" s="3" t="s">
        <v>384</v>
      </c>
      <c r="D61" s="3" t="s">
        <v>562</v>
      </c>
      <c r="E61" s="3" t="s">
        <v>583</v>
      </c>
      <c r="F61" s="3" t="s">
        <v>537</v>
      </c>
      <c r="G61" s="3" t="s">
        <v>240</v>
      </c>
      <c r="H61" s="3" t="s">
        <v>538</v>
      </c>
      <c r="I61" s="3" t="s">
        <v>58</v>
      </c>
      <c r="J61" s="3" t="s">
        <v>1</v>
      </c>
      <c r="K61" s="3" t="s">
        <v>584</v>
      </c>
      <c r="L61" s="3" t="s">
        <v>585</v>
      </c>
      <c r="M61" s="3" t="s">
        <v>585</v>
      </c>
      <c r="N61" s="3" t="s">
        <v>586</v>
      </c>
      <c r="O61" s="3" t="s">
        <v>63</v>
      </c>
      <c r="P61" s="3" t="s">
        <v>164</v>
      </c>
      <c r="Q61" s="3" t="s">
        <v>587</v>
      </c>
      <c r="R61" s="3" t="s">
        <v>1</v>
      </c>
      <c r="S61" s="3" t="s">
        <v>1</v>
      </c>
      <c r="T61" s="3" t="s">
        <v>1</v>
      </c>
      <c r="U61" s="3" t="s">
        <v>66</v>
      </c>
      <c r="V61" s="3" t="s">
        <v>66</v>
      </c>
      <c r="W61" s="3" t="s">
        <v>1</v>
      </c>
      <c r="X61" s="3" t="s">
        <v>1</v>
      </c>
      <c r="Y61" s="3" t="s">
        <v>167</v>
      </c>
    </row>
    <row r="62" ht="25" customHeight="1" spans="1:25">
      <c r="A62" s="3" t="s">
        <v>588</v>
      </c>
      <c r="B62" s="3" t="s">
        <v>175</v>
      </c>
      <c r="C62" s="3" t="s">
        <v>384</v>
      </c>
      <c r="D62" s="3" t="s">
        <v>562</v>
      </c>
      <c r="E62" s="3" t="s">
        <v>589</v>
      </c>
      <c r="F62" s="3" t="s">
        <v>537</v>
      </c>
      <c r="G62" s="3" t="s">
        <v>240</v>
      </c>
      <c r="H62" s="3" t="s">
        <v>538</v>
      </c>
      <c r="I62" s="3" t="s">
        <v>58</v>
      </c>
      <c r="J62" s="3" t="s">
        <v>1</v>
      </c>
      <c r="K62" s="3" t="s">
        <v>590</v>
      </c>
      <c r="L62" s="3" t="s">
        <v>591</v>
      </c>
      <c r="M62" s="3" t="s">
        <v>591</v>
      </c>
      <c r="N62" s="3" t="s">
        <v>580</v>
      </c>
      <c r="O62" s="3" t="s">
        <v>63</v>
      </c>
      <c r="P62" s="3" t="s">
        <v>164</v>
      </c>
      <c r="Q62" s="3" t="s">
        <v>592</v>
      </c>
      <c r="R62" s="3" t="s">
        <v>1</v>
      </c>
      <c r="S62" s="3" t="s">
        <v>1</v>
      </c>
      <c r="T62" s="3" t="s">
        <v>1</v>
      </c>
      <c r="U62" s="3" t="s">
        <v>66</v>
      </c>
      <c r="V62" s="3" t="s">
        <v>66</v>
      </c>
      <c r="W62" s="3" t="s">
        <v>1</v>
      </c>
      <c r="X62" s="3" t="s">
        <v>1</v>
      </c>
      <c r="Y62" s="3" t="s">
        <v>167</v>
      </c>
    </row>
    <row r="63" ht="25" customHeight="1" spans="1:25">
      <c r="A63" s="3" t="s">
        <v>593</v>
      </c>
      <c r="B63" s="3" t="s">
        <v>561</v>
      </c>
      <c r="C63" s="3" t="s">
        <v>384</v>
      </c>
      <c r="D63" s="3" t="s">
        <v>562</v>
      </c>
      <c r="E63" s="3" t="s">
        <v>594</v>
      </c>
      <c r="F63" s="3" t="s">
        <v>537</v>
      </c>
      <c r="G63" s="3" t="s">
        <v>240</v>
      </c>
      <c r="H63" s="3" t="s">
        <v>538</v>
      </c>
      <c r="I63" s="3" t="s">
        <v>58</v>
      </c>
      <c r="J63" s="3" t="s">
        <v>1</v>
      </c>
      <c r="K63" s="3" t="s">
        <v>595</v>
      </c>
      <c r="L63" s="3" t="s">
        <v>596</v>
      </c>
      <c r="M63" s="3" t="s">
        <v>596</v>
      </c>
      <c r="N63" s="3" t="s">
        <v>566</v>
      </c>
      <c r="O63" s="3" t="s">
        <v>63</v>
      </c>
      <c r="P63" s="3" t="s">
        <v>164</v>
      </c>
      <c r="Q63" s="3" t="s">
        <v>597</v>
      </c>
      <c r="R63" s="3" t="s">
        <v>1</v>
      </c>
      <c r="S63" s="3" t="s">
        <v>1</v>
      </c>
      <c r="T63" s="3" t="s">
        <v>1</v>
      </c>
      <c r="U63" s="3" t="s">
        <v>66</v>
      </c>
      <c r="V63" s="3" t="s">
        <v>66</v>
      </c>
      <c r="W63" s="3" t="s">
        <v>1</v>
      </c>
      <c r="X63" s="3" t="s">
        <v>1</v>
      </c>
      <c r="Y63" s="3" t="s">
        <v>167</v>
      </c>
    </row>
    <row r="64" ht="25" customHeight="1" spans="1:25">
      <c r="A64" s="3" t="s">
        <v>598</v>
      </c>
      <c r="B64" s="3" t="s">
        <v>599</v>
      </c>
      <c r="C64" s="3" t="s">
        <v>384</v>
      </c>
      <c r="D64" s="3" t="s">
        <v>562</v>
      </c>
      <c r="E64" s="3" t="s">
        <v>600</v>
      </c>
      <c r="F64" s="3" t="s">
        <v>537</v>
      </c>
      <c r="G64" s="3" t="s">
        <v>240</v>
      </c>
      <c r="H64" s="3" t="s">
        <v>538</v>
      </c>
      <c r="I64" s="3" t="s">
        <v>58</v>
      </c>
      <c r="J64" s="3" t="s">
        <v>1</v>
      </c>
      <c r="K64" s="3" t="s">
        <v>601</v>
      </c>
      <c r="L64" s="3" t="s">
        <v>602</v>
      </c>
      <c r="M64" s="3" t="s">
        <v>602</v>
      </c>
      <c r="N64" s="3" t="s">
        <v>603</v>
      </c>
      <c r="O64" s="3" t="s">
        <v>63</v>
      </c>
      <c r="P64" s="3" t="s">
        <v>349</v>
      </c>
      <c r="Q64" s="3" t="s">
        <v>604</v>
      </c>
      <c r="R64" s="3" t="s">
        <v>1</v>
      </c>
      <c r="S64" s="3" t="s">
        <v>1</v>
      </c>
      <c r="T64" s="3" t="s">
        <v>1</v>
      </c>
      <c r="U64" s="3" t="s">
        <v>66</v>
      </c>
      <c r="V64" s="3" t="s">
        <v>66</v>
      </c>
      <c r="W64" s="3" t="s">
        <v>605</v>
      </c>
      <c r="X64" s="3" t="s">
        <v>1</v>
      </c>
      <c r="Y64" s="3" t="s">
        <v>167</v>
      </c>
    </row>
    <row r="65" ht="56" spans="1:25">
      <c r="A65" s="6" t="s">
        <v>606</v>
      </c>
      <c r="B65" s="6" t="s">
        <v>607</v>
      </c>
      <c r="C65" s="6" t="s">
        <v>384</v>
      </c>
      <c r="D65" s="6" t="s">
        <v>562</v>
      </c>
      <c r="E65" s="6" t="s">
        <v>608</v>
      </c>
      <c r="F65" s="6" t="s">
        <v>537</v>
      </c>
      <c r="G65" s="6" t="s">
        <v>240</v>
      </c>
      <c r="H65" s="6" t="s">
        <v>538</v>
      </c>
      <c r="I65" s="6" t="s">
        <v>58</v>
      </c>
      <c r="J65" s="6" t="s">
        <v>1</v>
      </c>
      <c r="K65" s="6" t="s">
        <v>609</v>
      </c>
      <c r="L65" s="6" t="s">
        <v>610</v>
      </c>
      <c r="M65" s="6" t="s">
        <v>611</v>
      </c>
      <c r="N65" s="6" t="s">
        <v>612</v>
      </c>
      <c r="O65" s="6" t="s">
        <v>63</v>
      </c>
      <c r="P65" s="6" t="s">
        <v>613</v>
      </c>
      <c r="Q65" s="6" t="s">
        <v>558</v>
      </c>
      <c r="R65" s="6">
        <v>1</v>
      </c>
      <c r="S65" s="6">
        <v>1</v>
      </c>
      <c r="T65" s="6">
        <v>1</v>
      </c>
      <c r="U65" s="6" t="s">
        <v>66</v>
      </c>
      <c r="V65" s="6" t="s">
        <v>167</v>
      </c>
      <c r="W65" s="6" t="s">
        <v>614</v>
      </c>
      <c r="X65" s="6" t="s">
        <v>361</v>
      </c>
      <c r="Y65" s="6" t="s">
        <v>167</v>
      </c>
    </row>
    <row r="66" ht="56" spans="1:25">
      <c r="A66" s="6" t="s">
        <v>615</v>
      </c>
      <c r="B66" s="6" t="s">
        <v>616</v>
      </c>
      <c r="C66" s="6" t="s">
        <v>384</v>
      </c>
      <c r="D66" s="6" t="s">
        <v>617</v>
      </c>
      <c r="E66" s="6" t="s">
        <v>618</v>
      </c>
      <c r="F66" s="6" t="s">
        <v>537</v>
      </c>
      <c r="G66" s="6" t="s">
        <v>619</v>
      </c>
      <c r="H66" s="6" t="s">
        <v>620</v>
      </c>
      <c r="I66" s="6" t="s">
        <v>58</v>
      </c>
      <c r="J66" s="6" t="s">
        <v>1</v>
      </c>
      <c r="K66" s="6" t="s">
        <v>621</v>
      </c>
      <c r="L66" s="6" t="s">
        <v>622</v>
      </c>
      <c r="M66" s="6" t="s">
        <v>623</v>
      </c>
      <c r="N66" s="6" t="s">
        <v>624</v>
      </c>
      <c r="O66" s="6" t="s">
        <v>348</v>
      </c>
      <c r="P66" s="6" t="s">
        <v>77</v>
      </c>
      <c r="Q66" s="6" t="s">
        <v>625</v>
      </c>
      <c r="R66" s="6">
        <v>1</v>
      </c>
      <c r="S66" s="6">
        <v>1</v>
      </c>
      <c r="T66" s="6">
        <v>1</v>
      </c>
      <c r="U66" s="6" t="s">
        <v>66</v>
      </c>
      <c r="V66" s="6" t="s">
        <v>167</v>
      </c>
      <c r="W66" s="6" t="s">
        <v>626</v>
      </c>
      <c r="X66" s="6" t="s">
        <v>361</v>
      </c>
      <c r="Y66" s="6" t="s">
        <v>167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workbookViewId="0">
      <selection activeCell="A1" sqref="A1"/>
    </sheetView>
  </sheetViews>
  <sheetFormatPr defaultColWidth="9" defaultRowHeight="14" outlineLevelCol="6"/>
  <cols>
    <col min="1" max="1" width="20" customWidth="1"/>
    <col min="2" max="2" width="30" customWidth="1"/>
    <col min="3" max="3" width="40" customWidth="1"/>
    <col min="4" max="4" width="18" customWidth="1"/>
    <col min="5" max="5" width="60" customWidth="1"/>
    <col min="6" max="6" width="50" customWidth="1"/>
    <col min="7" max="7" width="35" customWidth="1"/>
  </cols>
  <sheetData>
    <row r="1" ht="30" customHeight="1" spans="1:7">
      <c r="A1" s="4" t="s">
        <v>268</v>
      </c>
      <c r="B1" s="4" t="s">
        <v>627</v>
      </c>
      <c r="C1" s="4" t="s">
        <v>628</v>
      </c>
      <c r="D1" s="4" t="s">
        <v>28</v>
      </c>
      <c r="E1" s="4" t="s">
        <v>629</v>
      </c>
      <c r="F1" s="4" t="s">
        <v>40</v>
      </c>
      <c r="G1" s="4" t="s">
        <v>630</v>
      </c>
    </row>
    <row r="2" ht="25" customHeight="1" spans="1:7">
      <c r="A2" s="5" t="s">
        <v>56</v>
      </c>
      <c r="B2" s="5" t="s">
        <v>55</v>
      </c>
      <c r="C2" s="5" t="s">
        <v>59</v>
      </c>
      <c r="D2" s="5" t="s">
        <v>52</v>
      </c>
      <c r="E2" s="5" t="s">
        <v>631</v>
      </c>
      <c r="F2" s="5" t="s">
        <v>62</v>
      </c>
      <c r="G2" s="5" t="s">
        <v>632</v>
      </c>
    </row>
    <row r="3" ht="25" customHeight="1" spans="1:7">
      <c r="A3" s="5" t="s">
        <v>56</v>
      </c>
      <c r="B3" s="5" t="s">
        <v>89</v>
      </c>
      <c r="C3" s="5" t="s">
        <v>633</v>
      </c>
      <c r="D3" s="5" t="s">
        <v>88</v>
      </c>
      <c r="E3" s="5" t="s">
        <v>92</v>
      </c>
      <c r="F3" s="5" t="s">
        <v>93</v>
      </c>
      <c r="G3" s="5" t="s">
        <v>632</v>
      </c>
    </row>
    <row r="4" ht="25" customHeight="1" spans="1:7">
      <c r="A4" s="5" t="s">
        <v>56</v>
      </c>
      <c r="B4" s="5" t="s">
        <v>89</v>
      </c>
      <c r="C4" s="5" t="s">
        <v>100</v>
      </c>
      <c r="D4" s="5" t="s">
        <v>98</v>
      </c>
      <c r="E4" s="5" t="s">
        <v>634</v>
      </c>
      <c r="F4" s="5" t="s">
        <v>103</v>
      </c>
      <c r="G4" s="5" t="s">
        <v>632</v>
      </c>
    </row>
    <row r="5" ht="25" customHeight="1" spans="1:7">
      <c r="A5" s="5" t="s">
        <v>56</v>
      </c>
      <c r="B5" s="5" t="s">
        <v>109</v>
      </c>
      <c r="C5" s="5" t="s">
        <v>110</v>
      </c>
      <c r="D5" s="5" t="s">
        <v>108</v>
      </c>
      <c r="E5" s="5" t="s">
        <v>635</v>
      </c>
      <c r="F5" s="5" t="s">
        <v>113</v>
      </c>
      <c r="G5" s="5" t="s">
        <v>632</v>
      </c>
    </row>
    <row r="6" ht="25" customHeight="1" spans="1:7">
      <c r="A6" s="5" t="s">
        <v>56</v>
      </c>
      <c r="B6" s="5" t="s">
        <v>109</v>
      </c>
      <c r="C6" s="5" t="s">
        <v>636</v>
      </c>
      <c r="D6" s="5" t="s">
        <v>108</v>
      </c>
      <c r="E6" s="5" t="s">
        <v>119</v>
      </c>
      <c r="F6" s="5" t="s">
        <v>120</v>
      </c>
      <c r="G6" s="5" t="s">
        <v>632</v>
      </c>
    </row>
    <row r="7" ht="25" customHeight="1" spans="1:7">
      <c r="A7" s="5" t="s">
        <v>128</v>
      </c>
      <c r="B7" s="5" t="s">
        <v>140</v>
      </c>
      <c r="C7" s="5" t="s">
        <v>637</v>
      </c>
      <c r="D7" s="5" t="s">
        <v>138</v>
      </c>
      <c r="E7" s="5" t="s">
        <v>143</v>
      </c>
      <c r="F7" s="5" t="s">
        <v>144</v>
      </c>
      <c r="G7" s="5" t="s">
        <v>632</v>
      </c>
    </row>
    <row r="8" ht="25" customHeight="1" spans="1:7">
      <c r="A8" s="5" t="s">
        <v>151</v>
      </c>
      <c r="B8" s="5" t="s">
        <v>150</v>
      </c>
      <c r="C8" s="5" t="s">
        <v>152</v>
      </c>
      <c r="D8" s="5" t="s">
        <v>148</v>
      </c>
      <c r="E8" s="5" t="s">
        <v>154</v>
      </c>
      <c r="F8" s="5" t="s">
        <v>155</v>
      </c>
      <c r="G8" s="5" t="s">
        <v>632</v>
      </c>
    </row>
    <row r="9" ht="25" customHeight="1" spans="1:7">
      <c r="A9" s="5" t="s">
        <v>178</v>
      </c>
      <c r="B9" s="5" t="s">
        <v>188</v>
      </c>
      <c r="C9" s="5" t="s">
        <v>189</v>
      </c>
      <c r="D9" s="5" t="s">
        <v>186</v>
      </c>
      <c r="E9" s="5" t="s">
        <v>191</v>
      </c>
      <c r="F9" s="5" t="s">
        <v>192</v>
      </c>
      <c r="G9" s="5" t="s">
        <v>632</v>
      </c>
    </row>
    <row r="10" ht="25" customHeight="1" spans="1:7">
      <c r="A10" s="5" t="s">
        <v>207</v>
      </c>
      <c r="B10" s="5" t="s">
        <v>206</v>
      </c>
      <c r="C10" s="5" t="s">
        <v>208</v>
      </c>
      <c r="D10" s="5" t="s">
        <v>88</v>
      </c>
      <c r="E10" s="5" t="s">
        <v>210</v>
      </c>
      <c r="F10" s="5" t="s">
        <v>211</v>
      </c>
      <c r="G10" s="5" t="s">
        <v>632</v>
      </c>
    </row>
    <row r="11" ht="25" customHeight="1" spans="1:7">
      <c r="A11" s="5" t="s">
        <v>229</v>
      </c>
      <c r="B11" s="5" t="s">
        <v>228</v>
      </c>
      <c r="C11" s="5" t="s">
        <v>230</v>
      </c>
      <c r="D11" s="5" t="s">
        <v>108</v>
      </c>
      <c r="E11" s="5" t="s">
        <v>232</v>
      </c>
      <c r="F11" s="5" t="s">
        <v>233</v>
      </c>
      <c r="G11" s="5" t="s">
        <v>632</v>
      </c>
    </row>
    <row r="12" ht="25" customHeight="1" spans="1:7">
      <c r="A12" s="5" t="s">
        <v>638</v>
      </c>
      <c r="B12" s="5" t="s">
        <v>89</v>
      </c>
      <c r="C12" s="5" t="s">
        <v>251</v>
      </c>
      <c r="D12" s="5" t="s">
        <v>248</v>
      </c>
      <c r="E12" s="5" t="s">
        <v>639</v>
      </c>
      <c r="F12" s="5" t="s">
        <v>254</v>
      </c>
      <c r="G12" s="5" t="s">
        <v>632</v>
      </c>
    </row>
    <row r="13" ht="25" customHeight="1" spans="1:7">
      <c r="A13" s="5" t="s">
        <v>56</v>
      </c>
      <c r="B13" s="5" t="s">
        <v>55</v>
      </c>
      <c r="C13" s="5" t="s">
        <v>640</v>
      </c>
      <c r="D13" s="5" t="s">
        <v>258</v>
      </c>
      <c r="E13" s="5" t="s">
        <v>641</v>
      </c>
      <c r="F13" s="5" t="s">
        <v>262</v>
      </c>
      <c r="G13" s="5" t="s">
        <v>632</v>
      </c>
    </row>
    <row r="14" ht="25" customHeight="1" spans="1:7">
      <c r="A14" s="5" t="s">
        <v>267</v>
      </c>
      <c r="B14" s="5" t="s">
        <v>89</v>
      </c>
      <c r="C14" s="5" t="s">
        <v>269</v>
      </c>
      <c r="D14" s="5" t="s">
        <v>266</v>
      </c>
      <c r="E14" s="5" t="s">
        <v>642</v>
      </c>
      <c r="F14" s="5" t="s">
        <v>272</v>
      </c>
      <c r="G14" s="5" t="s">
        <v>632</v>
      </c>
    </row>
    <row r="15" ht="25" customHeight="1" spans="1:7">
      <c r="A15" s="5" t="s">
        <v>56</v>
      </c>
      <c r="B15" s="5" t="s">
        <v>109</v>
      </c>
      <c r="C15" s="5" t="s">
        <v>277</v>
      </c>
      <c r="D15" s="5" t="s">
        <v>276</v>
      </c>
      <c r="E15" s="5" t="s">
        <v>279</v>
      </c>
      <c r="F15" s="5" t="s">
        <v>280</v>
      </c>
      <c r="G15" s="5" t="s">
        <v>632</v>
      </c>
    </row>
    <row r="16" ht="25" customHeight="1" spans="1:7">
      <c r="A16" s="5" t="s">
        <v>284</v>
      </c>
      <c r="B16" s="5" t="s">
        <v>89</v>
      </c>
      <c r="C16" s="5" t="s">
        <v>286</v>
      </c>
      <c r="D16" s="5" t="s">
        <v>276</v>
      </c>
      <c r="E16" s="5" t="s">
        <v>643</v>
      </c>
      <c r="F16" s="5" t="s">
        <v>289</v>
      </c>
      <c r="G16" s="5" t="s">
        <v>632</v>
      </c>
    </row>
    <row r="17" ht="25" customHeight="1" spans="1:7">
      <c r="A17" s="5" t="s">
        <v>56</v>
      </c>
      <c r="B17" s="5" t="s">
        <v>644</v>
      </c>
      <c r="C17" s="5" t="s">
        <v>645</v>
      </c>
      <c r="D17" s="5" t="s">
        <v>125</v>
      </c>
      <c r="E17" s="5" t="s">
        <v>646</v>
      </c>
      <c r="F17" s="5" t="s">
        <v>335</v>
      </c>
      <c r="G17" s="5" t="s">
        <v>647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
  <sheetViews>
    <sheetView workbookViewId="0">
      <selection activeCell="A1" sqref="A1"/>
    </sheetView>
  </sheetViews>
  <sheetFormatPr defaultColWidth="9" defaultRowHeight="14" outlineLevelCol="1"/>
  <cols>
    <col min="1" max="1" width="25" customWidth="1"/>
    <col min="2" max="2" width="12" customWidth="1"/>
  </cols>
  <sheetData>
    <row r="1" ht="22" customHeight="1" spans="1:2">
      <c r="A1" s="2" t="s">
        <v>648</v>
      </c>
      <c r="B1" s="2" t="s">
        <v>649</v>
      </c>
    </row>
    <row r="2" ht="22" customHeight="1" spans="1:2">
      <c r="A2" s="3" t="s">
        <v>650</v>
      </c>
      <c r="B2" s="3">
        <f>COUNTIF(第一部分_有效舆情明细!Y2:Y66,"是")+(第一部分_有效舆情明细!S33-1)</f>
        <v>160</v>
      </c>
    </row>
    <row r="3" ht="22" customHeight="1" spans="1:2">
      <c r="A3" s="3" t="s">
        <v>164</v>
      </c>
      <c r="B3" s="3">
        <f>COUNTIFS(第一部分_有效舆情明细!Y2:Y66,"是",第一部分_有效舆情明细!P2:P66,"支持认可")+(第一部分_有效舆情明细!S33-1)</f>
        <v>152</v>
      </c>
    </row>
    <row r="4" ht="22" customHeight="1" spans="1:2">
      <c r="A4" s="3" t="s">
        <v>349</v>
      </c>
      <c r="B4" s="3">
        <f>COUNTIFS(第一部分_有效舆情明细!Y2:Y66,"是",第一部分_有效舆情明细!P2:P66,"咨询疑问")</f>
        <v>3</v>
      </c>
    </row>
    <row r="5" ht="22" customHeight="1" spans="1:2">
      <c r="A5" s="3" t="s">
        <v>613</v>
      </c>
      <c r="B5" s="3">
        <f>COUNTIFS(第一部分_有效舆情明细!Y2:Y66,"是",第一部分_有效舆情明细!P2:P66,"担忧影响")</f>
        <v>1</v>
      </c>
    </row>
    <row r="6" ht="22" customHeight="1" spans="1:2">
      <c r="A6" s="3" t="s">
        <v>651</v>
      </c>
      <c r="B6" s="3">
        <f>COUNTIFS(第一部分_有效舆情明细!Y2:Y66,"是",第一部分_有效舆情明细!P2:P66,"明确批评")</f>
        <v>0</v>
      </c>
    </row>
    <row r="7" ht="22" customHeight="1" spans="1:2">
      <c r="A7" s="3" t="s">
        <v>652</v>
      </c>
      <c r="B7" s="3">
        <f>COUNTIFS(第一部分_有效舆情明细!Y2:Y66,"是",第一部分_有效舆情明细!P2:P66,"投诉维权")</f>
        <v>0</v>
      </c>
    </row>
    <row r="8" ht="22" customHeight="1" spans="1:2">
      <c r="A8" s="3" t="s">
        <v>653</v>
      </c>
      <c r="B8" s="3">
        <f>COUNTIFS(第一部分_有效舆情明细!Y2:Y66,"是",第一部分_有效舆情明细!P2:P66,"实施问题")</f>
        <v>0</v>
      </c>
    </row>
    <row r="9" ht="22" customHeight="1" spans="1:2">
      <c r="A9" s="3" t="s">
        <v>654</v>
      </c>
      <c r="B9" s="3">
        <f>COUNTIFS(第一部分_有效舆情明细!Y2:Y66,"是",第一部分_有效舆情明细!P2:P66,"公平争议")</f>
        <v>0</v>
      </c>
    </row>
    <row r="10" ht="22" customHeight="1" spans="1:2">
      <c r="A10" s="3" t="s">
        <v>542</v>
      </c>
      <c r="B10" s="3">
        <f>COUNTIFS(第一部分_有效舆情明细!Y2:Y66,"是",第一部分_有效舆情明细!P2:P66,"咨询/诉求")</f>
        <v>1</v>
      </c>
    </row>
    <row r="11" ht="22" customHeight="1" spans="1:2">
      <c r="A11" s="3" t="s">
        <v>655</v>
      </c>
      <c r="B11" s="3">
        <f>COUNTIFS(第一部分_有效舆情明细!Y2:Y66,"是",第一部分_有效舆情明细!P2:P66,"中性信息")+COUNTIFS(第一部分_有效舆情明细!Y2:Y66,"是",第一部分_有效舆情明细!P2:P66,"观点对立")</f>
        <v>2</v>
      </c>
    </row>
    <row r="12" ht="22" customHeight="1" spans="1:2">
      <c r="A12" s="3" t="s">
        <v>358</v>
      </c>
      <c r="B12" s="3">
        <f>COUNTIFS(第一部分_有效舆情明细!Y2:Y66,"是",第一部分_有效舆情明细!P2:P66,"待维吾尔语人员复核")</f>
        <v>1</v>
      </c>
    </row>
    <row r="13" ht="22" customHeight="1" spans="1:2">
      <c r="A13" s="3" t="s">
        <v>656</v>
      </c>
      <c r="B13" s="3" t="s">
        <v>657</v>
      </c>
    </row>
    <row r="14" ht="22" customHeight="1" spans="1:2">
      <c r="A14" s="3" t="s">
        <v>658</v>
      </c>
      <c r="B14" s="3" t="s">
        <v>659</v>
      </c>
    </row>
    <row r="15" ht="22" customHeight="1" spans="1:2">
      <c r="A15" s="2" t="s">
        <v>660</v>
      </c>
      <c r="B15" s="2" t="s">
        <v>661</v>
      </c>
    </row>
    <row r="16" ht="22" customHeight="1" spans="1:2">
      <c r="A16" s="3" t="s">
        <v>662</v>
      </c>
      <c r="B16" s="3">
        <v>152</v>
      </c>
    </row>
    <row r="17" ht="22" customHeight="1" spans="1:2">
      <c r="A17" s="3" t="s">
        <v>663</v>
      </c>
      <c r="B17" s="3" t="s">
        <v>97</v>
      </c>
    </row>
    <row r="18" ht="22" customHeight="1" spans="1:2">
      <c r="A18" s="3" t="s">
        <v>664</v>
      </c>
      <c r="B18" s="3" t="s">
        <v>665</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selection activeCell="A1" sqref="A1"/>
    </sheetView>
  </sheetViews>
  <sheetFormatPr defaultColWidth="9" defaultRowHeight="14" outlineLevelCol="6"/>
  <cols>
    <col min="1" max="1" width="6" customWidth="1"/>
    <col min="2" max="2" width="18" customWidth="1"/>
    <col min="3" max="3" width="25" customWidth="1"/>
    <col min="4" max="4" width="45" customWidth="1"/>
    <col min="5" max="5" width="50" customWidth="1"/>
    <col min="6" max="6" width="20" customWidth="1"/>
    <col min="7" max="7" width="30" customWidth="1"/>
  </cols>
  <sheetData>
    <row r="1" ht="30" customHeight="1" spans="1:7">
      <c r="A1" s="1" t="s">
        <v>27</v>
      </c>
      <c r="B1" s="1" t="s">
        <v>666</v>
      </c>
      <c r="C1" s="1" t="s">
        <v>30</v>
      </c>
      <c r="D1" s="1" t="s">
        <v>667</v>
      </c>
      <c r="E1" s="1" t="s">
        <v>40</v>
      </c>
      <c r="F1" s="1" t="s">
        <v>668</v>
      </c>
      <c r="G1" s="1" t="s">
        <v>664</v>
      </c>
    </row>
    <row r="2" ht="22" customHeight="1" spans="1:7">
      <c r="A2" s="3" t="s">
        <v>1</v>
      </c>
      <c r="B2" s="3" t="s">
        <v>669</v>
      </c>
      <c r="C2" s="3" t="s">
        <v>670</v>
      </c>
      <c r="D2" s="3" t="s">
        <v>671</v>
      </c>
      <c r="E2" s="3" t="s">
        <v>672</v>
      </c>
      <c r="F2" s="3" t="s">
        <v>673</v>
      </c>
      <c r="G2" s="3" t="s">
        <v>674</v>
      </c>
    </row>
    <row r="3" ht="22" customHeight="1" spans="1:7">
      <c r="A3" s="3" t="s">
        <v>69</v>
      </c>
      <c r="B3" s="3" t="s">
        <v>669</v>
      </c>
      <c r="C3" s="3" t="s">
        <v>675</v>
      </c>
      <c r="D3" s="3" t="s">
        <v>676</v>
      </c>
      <c r="E3" s="3" t="s">
        <v>677</v>
      </c>
      <c r="F3" s="3" t="s">
        <v>673</v>
      </c>
      <c r="G3" s="3" t="s">
        <v>678</v>
      </c>
    </row>
    <row r="4" ht="22" customHeight="1" spans="1:7">
      <c r="A4" s="3" t="s">
        <v>80</v>
      </c>
      <c r="B4" s="3" t="s">
        <v>679</v>
      </c>
      <c r="C4" s="3" t="s">
        <v>680</v>
      </c>
      <c r="D4" s="3" t="s">
        <v>681</v>
      </c>
      <c r="E4" s="3" t="s">
        <v>682</v>
      </c>
      <c r="F4" s="3" t="s">
        <v>673</v>
      </c>
      <c r="G4" s="3" t="s">
        <v>683</v>
      </c>
    </row>
    <row r="5" ht="22" customHeight="1" spans="1:7">
      <c r="A5" s="3" t="s">
        <v>87</v>
      </c>
      <c r="B5" s="3" t="s">
        <v>98</v>
      </c>
      <c r="C5" s="3" t="s">
        <v>684</v>
      </c>
      <c r="D5" s="3" t="s">
        <v>685</v>
      </c>
      <c r="E5" s="3" t="s">
        <v>686</v>
      </c>
      <c r="F5" s="3" t="s">
        <v>687</v>
      </c>
      <c r="G5" s="3" t="s">
        <v>688</v>
      </c>
    </row>
    <row r="6" ht="22" customHeight="1" spans="1:7">
      <c r="A6" s="3" t="s">
        <v>97</v>
      </c>
      <c r="B6" s="3" t="s">
        <v>248</v>
      </c>
      <c r="C6" s="3" t="s">
        <v>689</v>
      </c>
      <c r="D6" s="3" t="s">
        <v>690</v>
      </c>
      <c r="E6" s="3" t="s">
        <v>691</v>
      </c>
      <c r="F6" s="3" t="s">
        <v>692</v>
      </c>
      <c r="G6" s="3" t="s">
        <v>693</v>
      </c>
    </row>
    <row r="7" ht="22" customHeight="1" spans="1:7">
      <c r="A7" s="3" t="s">
        <v>107</v>
      </c>
      <c r="B7" s="3" t="s">
        <v>694</v>
      </c>
      <c r="C7" s="3" t="s">
        <v>695</v>
      </c>
      <c r="D7" s="3" t="s">
        <v>696</v>
      </c>
      <c r="E7" s="3" t="s">
        <v>697</v>
      </c>
      <c r="F7" s="3" t="s">
        <v>698</v>
      </c>
      <c r="G7" s="3" t="s">
        <v>699</v>
      </c>
    </row>
    <row r="8" ht="22" customHeight="1" spans="1:7">
      <c r="A8" s="3" t="s">
        <v>116</v>
      </c>
      <c r="B8" s="3" t="s">
        <v>125</v>
      </c>
      <c r="C8" s="3" t="s">
        <v>294</v>
      </c>
      <c r="D8" s="3" t="s">
        <v>700</v>
      </c>
      <c r="E8" s="3" t="s">
        <v>701</v>
      </c>
      <c r="F8" s="3" t="s">
        <v>702</v>
      </c>
      <c r="G8" s="3" t="s">
        <v>703</v>
      </c>
    </row>
    <row r="9" ht="22" customHeight="1" spans="1:7">
      <c r="A9" s="3" t="s">
        <v>124</v>
      </c>
      <c r="B9" s="3" t="s">
        <v>138</v>
      </c>
      <c r="C9" s="3" t="s">
        <v>139</v>
      </c>
      <c r="D9" s="3" t="s">
        <v>704</v>
      </c>
      <c r="E9" s="3" t="s">
        <v>144</v>
      </c>
      <c r="F9" s="3" t="s">
        <v>705</v>
      </c>
      <c r="G9" s="3" t="s">
        <v>706</v>
      </c>
    </row>
    <row r="10" ht="22" customHeight="1" spans="1:7">
      <c r="A10" s="3" t="s">
        <v>137</v>
      </c>
      <c r="B10" s="3" t="s">
        <v>616</v>
      </c>
      <c r="C10" s="3" t="s">
        <v>617</v>
      </c>
      <c r="D10" s="3" t="s">
        <v>707</v>
      </c>
      <c r="E10" s="3" t="s">
        <v>708</v>
      </c>
      <c r="F10" s="3" t="s">
        <v>709</v>
      </c>
      <c r="G10" s="3" t="s">
        <v>710</v>
      </c>
    </row>
    <row r="11" ht="22" customHeight="1" spans="1:7">
      <c r="A11" s="3" t="s">
        <v>147</v>
      </c>
      <c r="B11" s="3" t="s">
        <v>607</v>
      </c>
      <c r="C11" s="3" t="s">
        <v>562</v>
      </c>
      <c r="D11" s="3" t="s">
        <v>711</v>
      </c>
      <c r="E11" s="3" t="s">
        <v>712</v>
      </c>
      <c r="F11" s="3" t="s">
        <v>709</v>
      </c>
      <c r="G11" s="3" t="s">
        <v>713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A1" sqref="A1"/>
    </sheetView>
  </sheetViews>
  <sheetFormatPr defaultColWidth="9" defaultRowHeight="14" outlineLevelCol="7"/>
  <cols>
    <col min="1" max="1" width="30" customWidth="1"/>
    <col min="2" max="2" width="20" customWidth="1"/>
    <col min="3" max="3" width="35" customWidth="1"/>
    <col min="4" max="5" width="30" customWidth="1"/>
    <col min="6" max="6" width="25" customWidth="1"/>
    <col min="7" max="7" width="20" customWidth="1"/>
    <col min="8" max="8" width="25" customWidth="1"/>
  </cols>
  <sheetData>
    <row r="1" ht="30" customHeight="1" spans="1:8">
      <c r="A1" s="4" t="s">
        <v>714</v>
      </c>
      <c r="B1" s="4" t="s">
        <v>715</v>
      </c>
      <c r="C1" s="4" t="s">
        <v>716</v>
      </c>
      <c r="D1" s="4" t="s">
        <v>717</v>
      </c>
      <c r="E1" s="4" t="s">
        <v>718</v>
      </c>
      <c r="F1" s="4" t="s">
        <v>719</v>
      </c>
      <c r="G1" s="4" t="s">
        <v>720</v>
      </c>
      <c r="H1" s="4" t="s">
        <v>721</v>
      </c>
    </row>
    <row r="2" ht="22" customHeight="1" spans="1:8">
      <c r="A2" s="5" t="s">
        <v>722</v>
      </c>
      <c r="B2" s="5" t="s">
        <v>723</v>
      </c>
      <c r="C2" s="5" t="s">
        <v>724</v>
      </c>
      <c r="D2" s="5" t="s">
        <v>725</v>
      </c>
      <c r="E2" s="5" t="s">
        <v>726</v>
      </c>
      <c r="F2" s="5" t="s">
        <v>727</v>
      </c>
      <c r="G2" s="5" t="s">
        <v>728</v>
      </c>
      <c r="H2" s="5" t="s">
        <v>729</v>
      </c>
    </row>
    <row r="3" ht="22" customHeight="1" spans="1:8">
      <c r="A3" s="5" t="s">
        <v>730</v>
      </c>
      <c r="B3" s="5" t="s">
        <v>723</v>
      </c>
      <c r="C3" s="5" t="s">
        <v>731</v>
      </c>
      <c r="D3" s="5" t="s">
        <v>732</v>
      </c>
      <c r="E3" s="5" t="s">
        <v>733</v>
      </c>
      <c r="F3" s="5" t="s">
        <v>734</v>
      </c>
      <c r="G3" s="5" t="s">
        <v>728</v>
      </c>
      <c r="H3" s="5" t="s">
        <v>729</v>
      </c>
    </row>
    <row r="4" ht="22" customHeight="1" spans="1:8">
      <c r="A4" s="5" t="s">
        <v>735</v>
      </c>
      <c r="B4" s="5" t="s">
        <v>723</v>
      </c>
      <c r="C4" s="5" t="s">
        <v>736</v>
      </c>
      <c r="D4" s="5" t="s">
        <v>737</v>
      </c>
      <c r="E4" s="5" t="s">
        <v>738</v>
      </c>
      <c r="F4" s="5" t="s">
        <v>739</v>
      </c>
      <c r="G4" s="5" t="s">
        <v>728</v>
      </c>
      <c r="H4" s="5" t="s">
        <v>740</v>
      </c>
    </row>
    <row r="5" ht="22" customHeight="1" spans="1:8">
      <c r="A5" s="5" t="s">
        <v>741</v>
      </c>
      <c r="B5" s="5" t="s">
        <v>723</v>
      </c>
      <c r="C5" s="5" t="s">
        <v>742</v>
      </c>
      <c r="D5" s="5" t="s">
        <v>743</v>
      </c>
      <c r="E5" s="5" t="s">
        <v>744</v>
      </c>
      <c r="F5" s="5" t="s">
        <v>745</v>
      </c>
      <c r="G5" s="5" t="s">
        <v>728</v>
      </c>
      <c r="H5" s="5" t="s">
        <v>740</v>
      </c>
    </row>
    <row r="6" ht="22" customHeight="1" spans="1:8">
      <c r="A6" s="5" t="s">
        <v>746</v>
      </c>
      <c r="B6" s="5" t="s">
        <v>723</v>
      </c>
      <c r="C6" s="5" t="s">
        <v>747</v>
      </c>
      <c r="D6" s="5" t="s">
        <v>748</v>
      </c>
      <c r="E6" s="5" t="s">
        <v>749</v>
      </c>
      <c r="F6" s="5" t="s">
        <v>750</v>
      </c>
      <c r="G6" s="5" t="s">
        <v>728</v>
      </c>
      <c r="H6" s="5" t="s">
        <v>740</v>
      </c>
    </row>
    <row r="7" ht="22" customHeight="1" spans="1:8">
      <c r="A7" s="5" t="s">
        <v>136</v>
      </c>
      <c r="B7" s="5" t="s">
        <v>723</v>
      </c>
      <c r="C7" s="5" t="s">
        <v>751</v>
      </c>
      <c r="D7" s="5" t="s">
        <v>752</v>
      </c>
      <c r="E7" s="5" t="s">
        <v>753</v>
      </c>
      <c r="F7" s="5" t="s">
        <v>754</v>
      </c>
      <c r="G7" s="5" t="s">
        <v>728</v>
      </c>
      <c r="H7" s="5" t="s">
        <v>755</v>
      </c>
    </row>
    <row r="8" ht="22" customHeight="1" spans="1:8">
      <c r="A8" s="5" t="s">
        <v>756</v>
      </c>
      <c r="B8" s="5" t="s">
        <v>723</v>
      </c>
      <c r="C8" s="5" t="s">
        <v>757</v>
      </c>
      <c r="D8" s="5" t="s">
        <v>758</v>
      </c>
      <c r="E8" s="5" t="s">
        <v>759</v>
      </c>
      <c r="F8" s="5" t="s">
        <v>760</v>
      </c>
      <c r="G8" s="5" t="s">
        <v>728</v>
      </c>
      <c r="H8" s="5" t="s">
        <v>740</v>
      </c>
    </row>
    <row r="9" ht="22" customHeight="1" spans="1:8">
      <c r="A9" s="5" t="s">
        <v>150</v>
      </c>
      <c r="B9" s="5" t="s">
        <v>723</v>
      </c>
      <c r="C9" s="5" t="s">
        <v>761</v>
      </c>
      <c r="D9" s="5" t="s">
        <v>762</v>
      </c>
      <c r="E9" s="5" t="s">
        <v>763</v>
      </c>
      <c r="F9" s="5" t="s">
        <v>764</v>
      </c>
      <c r="G9" s="5" t="s">
        <v>728</v>
      </c>
      <c r="H9" s="5" t="s">
        <v>740</v>
      </c>
    </row>
    <row r="10" ht="22" customHeight="1" spans="1:8">
      <c r="A10" s="5" t="s">
        <v>765</v>
      </c>
      <c r="B10" s="5" t="s">
        <v>723</v>
      </c>
      <c r="C10" s="5" t="s">
        <v>766</v>
      </c>
      <c r="D10" s="5" t="s">
        <v>767</v>
      </c>
      <c r="E10" s="5" t="s">
        <v>768</v>
      </c>
      <c r="F10" s="5" t="s">
        <v>769</v>
      </c>
      <c r="G10" s="5" t="s">
        <v>728</v>
      </c>
      <c r="H10" s="5" t="s">
        <v>770</v>
      </c>
    </row>
    <row r="11" ht="22" customHeight="1" spans="1:8">
      <c r="A11" s="5" t="s">
        <v>771</v>
      </c>
      <c r="B11" s="5" t="s">
        <v>723</v>
      </c>
      <c r="C11" s="5" t="s">
        <v>772</v>
      </c>
      <c r="D11" s="5" t="s">
        <v>773</v>
      </c>
      <c r="E11" s="5" t="s">
        <v>774</v>
      </c>
      <c r="F11" s="5" t="s">
        <v>775</v>
      </c>
      <c r="G11" s="5" t="s">
        <v>728</v>
      </c>
      <c r="H11" s="5" t="s">
        <v>740</v>
      </c>
    </row>
    <row r="12" ht="22" customHeight="1" spans="1:8">
      <c r="A12" s="5" t="s">
        <v>214</v>
      </c>
      <c r="B12" s="5" t="s">
        <v>723</v>
      </c>
      <c r="C12" s="5" t="s">
        <v>776</v>
      </c>
      <c r="D12" s="5" t="s">
        <v>777</v>
      </c>
      <c r="E12" s="5" t="s">
        <v>778</v>
      </c>
      <c r="F12" s="5" t="s">
        <v>779</v>
      </c>
      <c r="G12" s="5" t="s">
        <v>728</v>
      </c>
      <c r="H12" s="5" t="s">
        <v>770</v>
      </c>
    </row>
    <row r="13" ht="22" customHeight="1" spans="1:8">
      <c r="A13" s="5" t="s">
        <v>780</v>
      </c>
      <c r="B13" s="5" t="s">
        <v>723</v>
      </c>
      <c r="C13" s="5" t="s">
        <v>781</v>
      </c>
      <c r="D13" s="5" t="s">
        <v>782</v>
      </c>
      <c r="E13" s="5" t="s">
        <v>783</v>
      </c>
      <c r="F13" s="5" t="s">
        <v>784</v>
      </c>
      <c r="G13" s="5" t="s">
        <v>728</v>
      </c>
      <c r="H13" s="5" t="s">
        <v>770</v>
      </c>
    </row>
    <row r="14" ht="22" customHeight="1" spans="1:8">
      <c r="A14" s="5" t="s">
        <v>785</v>
      </c>
      <c r="B14" s="5" t="s">
        <v>723</v>
      </c>
      <c r="C14" s="5" t="s">
        <v>786</v>
      </c>
      <c r="D14" s="5" t="s">
        <v>787</v>
      </c>
      <c r="E14" s="5" t="s">
        <v>788</v>
      </c>
      <c r="F14" s="5" t="s">
        <v>789</v>
      </c>
      <c r="G14" s="5" t="s">
        <v>728</v>
      </c>
      <c r="H14" s="5" t="s">
        <v>740</v>
      </c>
    </row>
    <row r="15" ht="22" customHeight="1" spans="1:8">
      <c r="A15" s="5" t="s">
        <v>790</v>
      </c>
      <c r="B15" s="5" t="s">
        <v>723</v>
      </c>
      <c r="C15" s="5" t="s">
        <v>791</v>
      </c>
      <c r="D15" s="5" t="s">
        <v>792</v>
      </c>
      <c r="E15" s="5" t="s">
        <v>793</v>
      </c>
      <c r="F15" s="5" t="s">
        <v>794</v>
      </c>
      <c r="G15" s="5" t="s">
        <v>728</v>
      </c>
      <c r="H15" s="5" t="s">
        <v>770</v>
      </c>
    </row>
    <row r="16" ht="22" customHeight="1" spans="1:8">
      <c r="A16" s="5" t="s">
        <v>329</v>
      </c>
      <c r="B16" s="5" t="s">
        <v>328</v>
      </c>
      <c r="C16" s="5" t="s">
        <v>795</v>
      </c>
      <c r="D16" s="5" t="s">
        <v>796</v>
      </c>
      <c r="E16" s="5" t="s">
        <v>797</v>
      </c>
      <c r="F16" s="5" t="s">
        <v>798</v>
      </c>
      <c r="G16" s="5" t="s">
        <v>799</v>
      </c>
      <c r="H16" s="5" t="s">
        <v>800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 sqref="A1"/>
    </sheetView>
  </sheetViews>
  <sheetFormatPr defaultColWidth="9" defaultRowHeight="14" outlineLevelCol="4"/>
  <cols>
    <col min="1" max="1" width="30" customWidth="1"/>
    <col min="2" max="2" width="40" customWidth="1"/>
    <col min="3" max="3" width="35" customWidth="1"/>
    <col min="4" max="4" width="25" customWidth="1"/>
    <col min="5" max="5" width="40" customWidth="1"/>
  </cols>
  <sheetData>
    <row r="1" ht="30" customHeight="1" spans="1:5">
      <c r="A1" s="4" t="s">
        <v>801</v>
      </c>
      <c r="B1" s="4" t="s">
        <v>802</v>
      </c>
      <c r="C1" s="4" t="s">
        <v>803</v>
      </c>
      <c r="D1" s="4" t="s">
        <v>804</v>
      </c>
      <c r="E1" s="4" t="s">
        <v>805</v>
      </c>
    </row>
    <row r="2" ht="22" customHeight="1" spans="1:5">
      <c r="A2" s="5" t="s">
        <v>806</v>
      </c>
      <c r="B2" s="5" t="s">
        <v>807</v>
      </c>
      <c r="C2" s="5" t="s">
        <v>732</v>
      </c>
      <c r="D2" s="5" t="s">
        <v>808</v>
      </c>
      <c r="E2" s="5" t="s">
        <v>809</v>
      </c>
    </row>
    <row r="3" ht="22" customHeight="1" spans="1:5">
      <c r="A3" s="5" t="s">
        <v>810</v>
      </c>
      <c r="B3" s="5" t="s">
        <v>811</v>
      </c>
      <c r="C3" s="5" t="s">
        <v>812</v>
      </c>
      <c r="D3" s="5" t="s">
        <v>813</v>
      </c>
      <c r="E3" s="5" t="s">
        <v>814</v>
      </c>
    </row>
    <row r="4" ht="22" customHeight="1" spans="1:5">
      <c r="A4" s="5" t="s">
        <v>689</v>
      </c>
      <c r="B4" s="5" t="s">
        <v>815</v>
      </c>
      <c r="C4" s="5" t="s">
        <v>816</v>
      </c>
      <c r="D4" s="5" t="s">
        <v>817</v>
      </c>
      <c r="E4" s="5" t="s">
        <v>818</v>
      </c>
    </row>
    <row r="5" ht="22" customHeight="1" spans="1:5">
      <c r="A5" s="5" t="s">
        <v>139</v>
      </c>
      <c r="B5" s="5" t="s">
        <v>819</v>
      </c>
      <c r="C5" s="5" t="s">
        <v>820</v>
      </c>
      <c r="D5" s="5" t="s">
        <v>821</v>
      </c>
      <c r="E5" s="5" t="s">
        <v>822</v>
      </c>
    </row>
    <row r="6" ht="22" customHeight="1" spans="1:5">
      <c r="A6" s="5" t="s">
        <v>823</v>
      </c>
      <c r="B6" s="5" t="s">
        <v>824</v>
      </c>
      <c r="C6" s="5" t="s">
        <v>825</v>
      </c>
      <c r="D6" s="5" t="s">
        <v>826</v>
      </c>
      <c r="E6" s="5" t="s">
        <v>827</v>
      </c>
    </row>
    <row r="7" ht="22" customHeight="1" spans="1:5">
      <c r="A7" s="5" t="s">
        <v>828</v>
      </c>
      <c r="B7" s="5" t="s">
        <v>829</v>
      </c>
      <c r="C7" s="5" t="s">
        <v>830</v>
      </c>
      <c r="D7" s="5" t="s">
        <v>831</v>
      </c>
      <c r="E7" s="5" t="s">
        <v>832</v>
      </c>
    </row>
    <row r="8" ht="22" customHeight="1" spans="1:5">
      <c r="A8" s="5" t="s">
        <v>833</v>
      </c>
      <c r="B8" s="5" t="s">
        <v>834</v>
      </c>
      <c r="C8" s="5" t="s">
        <v>835</v>
      </c>
      <c r="D8" s="5" t="s">
        <v>836</v>
      </c>
      <c r="E8" s="5" t="s">
        <v>837</v>
      </c>
    </row>
    <row r="9" ht="22" customHeight="1" spans="1:5">
      <c r="A9" s="5" t="s">
        <v>680</v>
      </c>
      <c r="B9" s="5" t="s">
        <v>838</v>
      </c>
      <c r="C9" s="5" t="s">
        <v>839</v>
      </c>
      <c r="D9" s="5" t="s">
        <v>840</v>
      </c>
      <c r="E9" s="5" t="s">
        <v>841</v>
      </c>
    </row>
    <row r="10" ht="22" customHeight="1" spans="1:5">
      <c r="A10" s="5" t="s">
        <v>842</v>
      </c>
      <c r="B10" s="5" t="s">
        <v>843</v>
      </c>
      <c r="C10" s="5" t="s">
        <v>844</v>
      </c>
      <c r="D10" s="5" t="s">
        <v>845</v>
      </c>
      <c r="E10" s="5" t="s">
        <v>846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6"/>
  <sheetViews>
    <sheetView workbookViewId="0">
      <selection activeCell="A1" sqref="A1"/>
    </sheetView>
  </sheetViews>
  <sheetFormatPr defaultColWidth="9" defaultRowHeight="14"/>
  <cols>
    <col min="1" max="1" width="6" customWidth="1"/>
    <col min="2" max="2" width="18" customWidth="1"/>
    <col min="3" max="3" width="20" customWidth="1"/>
    <col min="4" max="4" width="18" customWidth="1"/>
    <col min="5" max="5" width="22" customWidth="1"/>
    <col min="6" max="6" width="16" customWidth="1"/>
    <col min="7" max="7" width="14" customWidth="1"/>
    <col min="8" max="8" width="12" customWidth="1"/>
    <col min="9" max="9" width="10" customWidth="1"/>
    <col min="10" max="10" width="30" customWidth="1"/>
    <col min="11" max="11" width="50" customWidth="1"/>
    <col min="12" max="12" width="60" customWidth="1"/>
    <col min="13" max="14" width="40" customWidth="1"/>
    <col min="15" max="15" width="8" customWidth="1"/>
    <col min="16" max="16" width="16" customWidth="1"/>
    <col min="17" max="17" width="30" customWidth="1"/>
    <col min="18" max="20" width="8" customWidth="1"/>
    <col min="21" max="21" width="10" customWidth="1"/>
    <col min="22" max="22" width="12" customWidth="1"/>
    <col min="23" max="23" width="40" customWidth="1"/>
    <col min="24" max="24" width="30" customWidth="1"/>
    <col min="25" max="25" width="18" customWidth="1"/>
  </cols>
  <sheetData>
    <row r="1" ht="30" customHeight="1" spans="1:25">
      <c r="A1" s="4" t="s">
        <v>27</v>
      </c>
      <c r="B1" s="4" t="s">
        <v>28</v>
      </c>
      <c r="C1" s="4" t="s">
        <v>29</v>
      </c>
      <c r="D1" s="4" t="s">
        <v>30</v>
      </c>
      <c r="E1" s="4" t="s">
        <v>31</v>
      </c>
      <c r="F1" s="4" t="s">
        <v>32</v>
      </c>
      <c r="G1" s="4" t="s">
        <v>33</v>
      </c>
      <c r="H1" s="4" t="s">
        <v>34</v>
      </c>
      <c r="I1" s="4" t="s">
        <v>35</v>
      </c>
      <c r="J1" s="4" t="s">
        <v>36</v>
      </c>
      <c r="K1" s="4" t="s">
        <v>37</v>
      </c>
      <c r="L1" s="4" t="s">
        <v>38</v>
      </c>
      <c r="M1" s="4" t="s">
        <v>39</v>
      </c>
      <c r="N1" s="4" t="s">
        <v>40</v>
      </c>
      <c r="O1" s="4" t="s">
        <v>41</v>
      </c>
      <c r="P1" s="4" t="s">
        <v>42</v>
      </c>
      <c r="Q1" s="4" t="s">
        <v>43</v>
      </c>
      <c r="R1" s="4" t="s">
        <v>44</v>
      </c>
      <c r="S1" s="4" t="s">
        <v>45</v>
      </c>
      <c r="T1" s="4" t="s">
        <v>46</v>
      </c>
      <c r="U1" s="4" t="s">
        <v>47</v>
      </c>
      <c r="V1" s="4" t="s">
        <v>48</v>
      </c>
      <c r="W1" s="4" t="s">
        <v>49</v>
      </c>
      <c r="X1" s="4" t="s">
        <v>50</v>
      </c>
      <c r="Y1" s="4" t="s">
        <v>51</v>
      </c>
    </row>
    <row r="2" ht="25" customHeight="1" spans="1:25">
      <c r="A2" s="5" t="s">
        <v>1</v>
      </c>
      <c r="B2" s="5" t="s">
        <v>52</v>
      </c>
      <c r="C2" s="5" t="s">
        <v>53</v>
      </c>
      <c r="D2" s="5" t="s">
        <v>54</v>
      </c>
      <c r="E2" s="5" t="s">
        <v>55</v>
      </c>
      <c r="F2" s="5" t="s">
        <v>17</v>
      </c>
      <c r="G2" s="5" t="s">
        <v>56</v>
      </c>
      <c r="H2" s="5" t="s">
        <v>57</v>
      </c>
      <c r="I2" s="5" t="s">
        <v>58</v>
      </c>
      <c r="J2" s="5" t="s">
        <v>1</v>
      </c>
      <c r="K2" s="5" t="s">
        <v>59</v>
      </c>
      <c r="L2" s="5" t="s">
        <v>60</v>
      </c>
      <c r="M2" s="5" t="s">
        <v>61</v>
      </c>
      <c r="N2" s="5" t="s">
        <v>62</v>
      </c>
      <c r="O2" s="5" t="s">
        <v>63</v>
      </c>
      <c r="P2" s="5" t="s">
        <v>64</v>
      </c>
      <c r="Q2" s="5" t="s">
        <v>65</v>
      </c>
      <c r="R2" s="5" t="s">
        <v>1</v>
      </c>
      <c r="S2" s="5" t="s">
        <v>1</v>
      </c>
      <c r="T2" s="5" t="s">
        <v>1</v>
      </c>
      <c r="U2" s="5" t="s">
        <v>66</v>
      </c>
      <c r="V2" s="5" t="s">
        <v>66</v>
      </c>
      <c r="W2" s="5" t="s">
        <v>67</v>
      </c>
      <c r="X2" s="5" t="s">
        <v>68</v>
      </c>
      <c r="Y2" s="5" t="s">
        <v>66</v>
      </c>
    </row>
    <row r="3" ht="25" customHeight="1" spans="1:25">
      <c r="A3" s="5" t="s">
        <v>69</v>
      </c>
      <c r="B3" s="5" t="s">
        <v>70</v>
      </c>
      <c r="C3" s="5" t="s">
        <v>53</v>
      </c>
      <c r="D3" s="5" t="s">
        <v>54</v>
      </c>
      <c r="E3" s="5" t="s">
        <v>71</v>
      </c>
      <c r="F3" s="5" t="s">
        <v>72</v>
      </c>
      <c r="G3" s="5" t="s">
        <v>56</v>
      </c>
      <c r="H3" s="5" t="s">
        <v>57</v>
      </c>
      <c r="I3" s="5" t="s">
        <v>58</v>
      </c>
      <c r="J3" s="5" t="s">
        <v>1</v>
      </c>
      <c r="K3" s="5" t="s">
        <v>73</v>
      </c>
      <c r="L3" s="5" t="s">
        <v>74</v>
      </c>
      <c r="M3" s="5" t="s">
        <v>75</v>
      </c>
      <c r="N3" s="5" t="s">
        <v>76</v>
      </c>
      <c r="O3" s="5" t="s">
        <v>63</v>
      </c>
      <c r="P3" s="5" t="s">
        <v>77</v>
      </c>
      <c r="Q3" s="5" t="s">
        <v>78</v>
      </c>
      <c r="R3" s="5" t="s">
        <v>1</v>
      </c>
      <c r="S3" s="5" t="s">
        <v>1</v>
      </c>
      <c r="T3" s="5" t="s">
        <v>1</v>
      </c>
      <c r="U3" s="5" t="s">
        <v>66</v>
      </c>
      <c r="V3" s="5" t="s">
        <v>66</v>
      </c>
      <c r="W3" s="5" t="s">
        <v>79</v>
      </c>
      <c r="X3" s="5" t="s">
        <v>1</v>
      </c>
      <c r="Y3" s="5" t="s">
        <v>66</v>
      </c>
    </row>
    <row r="4" ht="25" customHeight="1" spans="1:25">
      <c r="A4" s="5" t="s">
        <v>80</v>
      </c>
      <c r="B4" s="5" t="s">
        <v>70</v>
      </c>
      <c r="C4" s="5" t="s">
        <v>53</v>
      </c>
      <c r="D4" s="5" t="s">
        <v>54</v>
      </c>
      <c r="E4" s="5" t="s">
        <v>71</v>
      </c>
      <c r="F4" s="5" t="s">
        <v>72</v>
      </c>
      <c r="G4" s="5" t="s">
        <v>56</v>
      </c>
      <c r="H4" s="5" t="s">
        <v>57</v>
      </c>
      <c r="I4" s="5" t="s">
        <v>58</v>
      </c>
      <c r="J4" s="5" t="s">
        <v>1</v>
      </c>
      <c r="K4" s="5" t="s">
        <v>81</v>
      </c>
      <c r="L4" s="5" t="s">
        <v>82</v>
      </c>
      <c r="M4" s="5" t="s">
        <v>83</v>
      </c>
      <c r="N4" s="5" t="s">
        <v>84</v>
      </c>
      <c r="O4" s="5" t="s">
        <v>63</v>
      </c>
      <c r="P4" s="5" t="s">
        <v>77</v>
      </c>
      <c r="Q4" s="5" t="s">
        <v>85</v>
      </c>
      <c r="R4" s="5" t="s">
        <v>1</v>
      </c>
      <c r="S4" s="5" t="s">
        <v>1</v>
      </c>
      <c r="T4" s="5" t="s">
        <v>1</v>
      </c>
      <c r="U4" s="5" t="s">
        <v>66</v>
      </c>
      <c r="V4" s="5" t="s">
        <v>66</v>
      </c>
      <c r="W4" s="5" t="s">
        <v>86</v>
      </c>
      <c r="X4" s="5" t="s">
        <v>1</v>
      </c>
      <c r="Y4" s="5" t="s">
        <v>66</v>
      </c>
    </row>
    <row r="5" ht="25" customHeight="1" spans="1:25">
      <c r="A5" s="5" t="s">
        <v>87</v>
      </c>
      <c r="B5" s="5" t="s">
        <v>88</v>
      </c>
      <c r="C5" s="5" t="s">
        <v>53</v>
      </c>
      <c r="D5" s="5" t="s">
        <v>54</v>
      </c>
      <c r="E5" s="5" t="s">
        <v>89</v>
      </c>
      <c r="F5" s="5" t="s">
        <v>17</v>
      </c>
      <c r="G5" s="5" t="s">
        <v>56</v>
      </c>
      <c r="H5" s="5" t="s">
        <v>57</v>
      </c>
      <c r="I5" s="5" t="s">
        <v>58</v>
      </c>
      <c r="J5" s="5" t="s">
        <v>1</v>
      </c>
      <c r="K5" s="5" t="s">
        <v>90</v>
      </c>
      <c r="L5" s="5" t="s">
        <v>91</v>
      </c>
      <c r="M5" s="5" t="s">
        <v>92</v>
      </c>
      <c r="N5" s="5" t="s">
        <v>93</v>
      </c>
      <c r="O5" s="5" t="s">
        <v>63</v>
      </c>
      <c r="P5" s="5" t="s">
        <v>64</v>
      </c>
      <c r="Q5" s="5" t="s">
        <v>94</v>
      </c>
      <c r="R5" s="5" t="s">
        <v>1</v>
      </c>
      <c r="S5" s="5" t="s">
        <v>1</v>
      </c>
      <c r="T5" s="5" t="s">
        <v>1</v>
      </c>
      <c r="U5" s="5" t="s">
        <v>66</v>
      </c>
      <c r="V5" s="5" t="s">
        <v>66</v>
      </c>
      <c r="W5" s="5" t="s">
        <v>95</v>
      </c>
      <c r="X5" s="5" t="s">
        <v>96</v>
      </c>
      <c r="Y5" s="5" t="s">
        <v>66</v>
      </c>
    </row>
    <row r="6" ht="25" customHeight="1" spans="1:25">
      <c r="A6" s="5" t="s">
        <v>97</v>
      </c>
      <c r="B6" s="5" t="s">
        <v>98</v>
      </c>
      <c r="C6" s="5" t="s">
        <v>53</v>
      </c>
      <c r="D6" s="5" t="s">
        <v>99</v>
      </c>
      <c r="E6" s="5" t="s">
        <v>89</v>
      </c>
      <c r="F6" s="5" t="s">
        <v>17</v>
      </c>
      <c r="G6" s="5" t="s">
        <v>56</v>
      </c>
      <c r="H6" s="5" t="s">
        <v>57</v>
      </c>
      <c r="I6" s="5" t="s">
        <v>58</v>
      </c>
      <c r="J6" s="5" t="s">
        <v>1</v>
      </c>
      <c r="K6" s="5" t="s">
        <v>100</v>
      </c>
      <c r="L6" s="5" t="s">
        <v>101</v>
      </c>
      <c r="M6" s="5" t="s">
        <v>102</v>
      </c>
      <c r="N6" s="5" t="s">
        <v>103</v>
      </c>
      <c r="O6" s="5" t="s">
        <v>63</v>
      </c>
      <c r="P6" s="5" t="s">
        <v>64</v>
      </c>
      <c r="Q6" s="5" t="s">
        <v>104</v>
      </c>
      <c r="R6" s="5" t="s">
        <v>1</v>
      </c>
      <c r="S6" s="5" t="s">
        <v>1</v>
      </c>
      <c r="T6" s="5" t="s">
        <v>1</v>
      </c>
      <c r="U6" s="5" t="s">
        <v>66</v>
      </c>
      <c r="V6" s="5" t="s">
        <v>66</v>
      </c>
      <c r="W6" s="5" t="s">
        <v>105</v>
      </c>
      <c r="X6" s="5" t="s">
        <v>106</v>
      </c>
      <c r="Y6" s="5" t="s">
        <v>66</v>
      </c>
    </row>
    <row r="7" ht="25" customHeight="1" spans="1:25">
      <c r="A7" s="5" t="s">
        <v>107</v>
      </c>
      <c r="B7" s="5" t="s">
        <v>108</v>
      </c>
      <c r="C7" s="5" t="s">
        <v>53</v>
      </c>
      <c r="D7" s="5" t="s">
        <v>99</v>
      </c>
      <c r="E7" s="5" t="s">
        <v>109</v>
      </c>
      <c r="F7" s="5" t="s">
        <v>17</v>
      </c>
      <c r="G7" s="5" t="s">
        <v>56</v>
      </c>
      <c r="H7" s="5" t="s">
        <v>57</v>
      </c>
      <c r="I7" s="5" t="s">
        <v>58</v>
      </c>
      <c r="J7" s="5" t="s">
        <v>1</v>
      </c>
      <c r="K7" s="5" t="s">
        <v>110</v>
      </c>
      <c r="L7" s="5" t="s">
        <v>111</v>
      </c>
      <c r="M7" s="5" t="s">
        <v>112</v>
      </c>
      <c r="N7" s="5" t="s">
        <v>113</v>
      </c>
      <c r="O7" s="5" t="s">
        <v>63</v>
      </c>
      <c r="P7" s="5" t="s">
        <v>64</v>
      </c>
      <c r="Q7" s="5" t="s">
        <v>114</v>
      </c>
      <c r="R7" s="5" t="s">
        <v>1</v>
      </c>
      <c r="S7" s="5" t="s">
        <v>1</v>
      </c>
      <c r="T7" s="5" t="s">
        <v>1</v>
      </c>
      <c r="U7" s="5" t="s">
        <v>66</v>
      </c>
      <c r="V7" s="5" t="s">
        <v>66</v>
      </c>
      <c r="W7" s="5" t="s">
        <v>105</v>
      </c>
      <c r="X7" s="5" t="s">
        <v>115</v>
      </c>
      <c r="Y7" s="5" t="s">
        <v>66</v>
      </c>
    </row>
    <row r="8" ht="25" customHeight="1" spans="1:25">
      <c r="A8" s="5" t="s">
        <v>116</v>
      </c>
      <c r="B8" s="5" t="s">
        <v>108</v>
      </c>
      <c r="C8" s="5" t="s">
        <v>53</v>
      </c>
      <c r="D8" s="5" t="s">
        <v>99</v>
      </c>
      <c r="E8" s="5" t="s">
        <v>109</v>
      </c>
      <c r="F8" s="5" t="s">
        <v>17</v>
      </c>
      <c r="G8" s="5" t="s">
        <v>56</v>
      </c>
      <c r="H8" s="5" t="s">
        <v>57</v>
      </c>
      <c r="I8" s="5" t="s">
        <v>58</v>
      </c>
      <c r="J8" s="5" t="s">
        <v>1</v>
      </c>
      <c r="K8" s="5" t="s">
        <v>117</v>
      </c>
      <c r="L8" s="5" t="s">
        <v>118</v>
      </c>
      <c r="M8" s="5" t="s">
        <v>119</v>
      </c>
      <c r="N8" s="5" t="s">
        <v>120</v>
      </c>
      <c r="O8" s="5" t="s">
        <v>63</v>
      </c>
      <c r="P8" s="5" t="s">
        <v>64</v>
      </c>
      <c r="Q8" s="5" t="s">
        <v>121</v>
      </c>
      <c r="R8" s="5" t="s">
        <v>1</v>
      </c>
      <c r="S8" s="5" t="s">
        <v>1</v>
      </c>
      <c r="T8" s="5" t="s">
        <v>1</v>
      </c>
      <c r="U8" s="5" t="s">
        <v>66</v>
      </c>
      <c r="V8" s="5" t="s">
        <v>66</v>
      </c>
      <c r="W8" s="5" t="s">
        <v>122</v>
      </c>
      <c r="X8" s="5" t="s">
        <v>123</v>
      </c>
      <c r="Y8" s="5" t="s">
        <v>66</v>
      </c>
    </row>
    <row r="9" ht="25" customHeight="1" spans="1:25">
      <c r="A9" s="5" t="s">
        <v>124</v>
      </c>
      <c r="B9" s="5" t="s">
        <v>125</v>
      </c>
      <c r="C9" s="5" t="s">
        <v>53</v>
      </c>
      <c r="D9" s="5" t="s">
        <v>126</v>
      </c>
      <c r="E9" s="5" t="s">
        <v>127</v>
      </c>
      <c r="F9" s="5" t="s">
        <v>72</v>
      </c>
      <c r="G9" s="5" t="s">
        <v>128</v>
      </c>
      <c r="H9" s="5" t="s">
        <v>129</v>
      </c>
      <c r="I9" s="5" t="s">
        <v>58</v>
      </c>
      <c r="J9" s="5" t="s">
        <v>1</v>
      </c>
      <c r="K9" s="5" t="s">
        <v>130</v>
      </c>
      <c r="L9" s="5" t="s">
        <v>131</v>
      </c>
      <c r="M9" s="5" t="s">
        <v>132</v>
      </c>
      <c r="N9" s="5" t="s">
        <v>133</v>
      </c>
      <c r="O9" s="5" t="s">
        <v>63</v>
      </c>
      <c r="P9" s="5" t="s">
        <v>77</v>
      </c>
      <c r="Q9" s="5" t="s">
        <v>134</v>
      </c>
      <c r="R9" s="5" t="s">
        <v>1</v>
      </c>
      <c r="S9" s="5" t="s">
        <v>1</v>
      </c>
      <c r="T9" s="5" t="s">
        <v>1</v>
      </c>
      <c r="U9" s="5" t="s">
        <v>66</v>
      </c>
      <c r="V9" s="5" t="s">
        <v>66</v>
      </c>
      <c r="W9" s="5" t="s">
        <v>135</v>
      </c>
      <c r="X9" s="5" t="s">
        <v>136</v>
      </c>
      <c r="Y9" s="5" t="s">
        <v>66</v>
      </c>
    </row>
    <row r="10" ht="25" customHeight="1" spans="1:25">
      <c r="A10" s="5" t="s">
        <v>137</v>
      </c>
      <c r="B10" s="5" t="s">
        <v>138</v>
      </c>
      <c r="C10" s="5" t="s">
        <v>53</v>
      </c>
      <c r="D10" s="5" t="s">
        <v>139</v>
      </c>
      <c r="E10" s="5" t="s">
        <v>140</v>
      </c>
      <c r="F10" s="5" t="s">
        <v>17</v>
      </c>
      <c r="G10" s="5" t="s">
        <v>128</v>
      </c>
      <c r="H10" s="5" t="s">
        <v>129</v>
      </c>
      <c r="I10" s="5" t="s">
        <v>58</v>
      </c>
      <c r="J10" s="5" t="s">
        <v>1</v>
      </c>
      <c r="K10" s="5" t="s">
        <v>141</v>
      </c>
      <c r="L10" s="5" t="s">
        <v>142</v>
      </c>
      <c r="M10" s="5" t="s">
        <v>143</v>
      </c>
      <c r="N10" s="5" t="s">
        <v>144</v>
      </c>
      <c r="O10" s="5" t="s">
        <v>63</v>
      </c>
      <c r="P10" s="5" t="s">
        <v>64</v>
      </c>
      <c r="Q10" s="5" t="s">
        <v>145</v>
      </c>
      <c r="R10" s="5" t="s">
        <v>1</v>
      </c>
      <c r="S10" s="5" t="s">
        <v>1</v>
      </c>
      <c r="T10" s="5" t="s">
        <v>1</v>
      </c>
      <c r="U10" s="5" t="s">
        <v>66</v>
      </c>
      <c r="V10" s="5" t="s">
        <v>66</v>
      </c>
      <c r="W10" s="5" t="s">
        <v>146</v>
      </c>
      <c r="X10" s="5" t="s">
        <v>1</v>
      </c>
      <c r="Y10" s="5" t="s">
        <v>66</v>
      </c>
    </row>
    <row r="11" ht="25" customHeight="1" spans="1:25">
      <c r="A11" s="5" t="s">
        <v>147</v>
      </c>
      <c r="B11" s="5" t="s">
        <v>148</v>
      </c>
      <c r="C11" s="5" t="s">
        <v>53</v>
      </c>
      <c r="D11" s="5" t="s">
        <v>149</v>
      </c>
      <c r="E11" s="5" t="s">
        <v>150</v>
      </c>
      <c r="F11" s="5" t="s">
        <v>17</v>
      </c>
      <c r="G11" s="5" t="s">
        <v>151</v>
      </c>
      <c r="H11" s="5" t="s">
        <v>129</v>
      </c>
      <c r="I11" s="5" t="s">
        <v>58</v>
      </c>
      <c r="J11" s="5" t="s">
        <v>1</v>
      </c>
      <c r="K11" s="5" t="s">
        <v>152</v>
      </c>
      <c r="L11" s="5" t="s">
        <v>153</v>
      </c>
      <c r="M11" s="5" t="s">
        <v>154</v>
      </c>
      <c r="N11" s="5" t="s">
        <v>155</v>
      </c>
      <c r="O11" s="5" t="s">
        <v>63</v>
      </c>
      <c r="P11" s="5" t="s">
        <v>64</v>
      </c>
      <c r="Q11" s="5" t="s">
        <v>156</v>
      </c>
      <c r="R11" s="5" t="s">
        <v>1</v>
      </c>
      <c r="S11" s="5" t="s">
        <v>1</v>
      </c>
      <c r="T11" s="5" t="s">
        <v>1</v>
      </c>
      <c r="U11" s="5" t="s">
        <v>66</v>
      </c>
      <c r="V11" s="5" t="s">
        <v>66</v>
      </c>
      <c r="W11" s="5" t="s">
        <v>157</v>
      </c>
      <c r="X11" s="5" t="s">
        <v>158</v>
      </c>
      <c r="Y11" s="5" t="s">
        <v>66</v>
      </c>
    </row>
    <row r="12" ht="25" customHeight="1" spans="1:25">
      <c r="A12" s="5" t="s">
        <v>159</v>
      </c>
      <c r="B12" s="5" t="s">
        <v>148</v>
      </c>
      <c r="C12" s="5" t="s">
        <v>53</v>
      </c>
      <c r="D12" s="5" t="s">
        <v>149</v>
      </c>
      <c r="E12" s="5" t="s">
        <v>150</v>
      </c>
      <c r="F12" s="5" t="s">
        <v>160</v>
      </c>
      <c r="G12" s="5" t="s">
        <v>151</v>
      </c>
      <c r="H12" s="5" t="s">
        <v>129</v>
      </c>
      <c r="I12" s="5" t="s">
        <v>58</v>
      </c>
      <c r="J12" s="5" t="s">
        <v>1</v>
      </c>
      <c r="K12" s="5" t="s">
        <v>161</v>
      </c>
      <c r="L12" s="5" t="s">
        <v>162</v>
      </c>
      <c r="M12" s="5" t="s">
        <v>163</v>
      </c>
      <c r="N12" s="5" t="s">
        <v>155</v>
      </c>
      <c r="O12" s="5" t="s">
        <v>63</v>
      </c>
      <c r="P12" s="5" t="s">
        <v>164</v>
      </c>
      <c r="Q12" s="5" t="s">
        <v>165</v>
      </c>
      <c r="R12" s="5" t="s">
        <v>1</v>
      </c>
      <c r="S12" s="5" t="s">
        <v>1</v>
      </c>
      <c r="T12" s="5" t="s">
        <v>1</v>
      </c>
      <c r="U12" s="5" t="s">
        <v>66</v>
      </c>
      <c r="V12" s="5" t="s">
        <v>66</v>
      </c>
      <c r="W12" s="5" t="s">
        <v>166</v>
      </c>
      <c r="X12" s="5" t="s">
        <v>1</v>
      </c>
      <c r="Y12" s="5" t="s">
        <v>167</v>
      </c>
    </row>
    <row r="13" ht="25" customHeight="1" spans="1:25">
      <c r="A13" s="5" t="s">
        <v>168</v>
      </c>
      <c r="B13" s="5" t="s">
        <v>148</v>
      </c>
      <c r="C13" s="5" t="s">
        <v>53</v>
      </c>
      <c r="D13" s="5" t="s">
        <v>149</v>
      </c>
      <c r="E13" s="5" t="s">
        <v>150</v>
      </c>
      <c r="F13" s="5" t="s">
        <v>160</v>
      </c>
      <c r="G13" s="5" t="s">
        <v>151</v>
      </c>
      <c r="H13" s="5" t="s">
        <v>129</v>
      </c>
      <c r="I13" s="5" t="s">
        <v>58</v>
      </c>
      <c r="J13" s="5" t="s">
        <v>1</v>
      </c>
      <c r="K13" s="5" t="s">
        <v>169</v>
      </c>
      <c r="L13" s="5" t="s">
        <v>170</v>
      </c>
      <c r="M13" s="5" t="s">
        <v>171</v>
      </c>
      <c r="N13" s="5" t="s">
        <v>155</v>
      </c>
      <c r="O13" s="5" t="s">
        <v>63</v>
      </c>
      <c r="P13" s="5" t="s">
        <v>164</v>
      </c>
      <c r="Q13" s="5" t="s">
        <v>172</v>
      </c>
      <c r="R13" s="5" t="s">
        <v>1</v>
      </c>
      <c r="S13" s="5" t="s">
        <v>1</v>
      </c>
      <c r="T13" s="5" t="s">
        <v>1</v>
      </c>
      <c r="U13" s="5" t="s">
        <v>66</v>
      </c>
      <c r="V13" s="5" t="s">
        <v>66</v>
      </c>
      <c r="W13" s="5" t="s">
        <v>173</v>
      </c>
      <c r="X13" s="5" t="s">
        <v>1</v>
      </c>
      <c r="Y13" s="5" t="s">
        <v>167</v>
      </c>
    </row>
    <row r="14" ht="25" customHeight="1" spans="1:25">
      <c r="A14" s="5" t="s">
        <v>174</v>
      </c>
      <c r="B14" s="5" t="s">
        <v>175</v>
      </c>
      <c r="C14" s="5" t="s">
        <v>53</v>
      </c>
      <c r="D14" s="5" t="s">
        <v>176</v>
      </c>
      <c r="E14" s="5" t="s">
        <v>177</v>
      </c>
      <c r="F14" s="5" t="s">
        <v>72</v>
      </c>
      <c r="G14" s="5" t="s">
        <v>178</v>
      </c>
      <c r="H14" s="5" t="s">
        <v>129</v>
      </c>
      <c r="I14" s="5" t="s">
        <v>58</v>
      </c>
      <c r="J14" s="5" t="s">
        <v>1</v>
      </c>
      <c r="K14" s="5" t="s">
        <v>179</v>
      </c>
      <c r="L14" s="5" t="s">
        <v>180</v>
      </c>
      <c r="M14" s="5" t="s">
        <v>181</v>
      </c>
      <c r="N14" s="5" t="s">
        <v>182</v>
      </c>
      <c r="O14" s="5" t="s">
        <v>63</v>
      </c>
      <c r="P14" s="5" t="s">
        <v>77</v>
      </c>
      <c r="Q14" s="5" t="s">
        <v>183</v>
      </c>
      <c r="R14" s="5" t="s">
        <v>1</v>
      </c>
      <c r="S14" s="5" t="s">
        <v>1</v>
      </c>
      <c r="T14" s="5" t="s">
        <v>1</v>
      </c>
      <c r="U14" s="5" t="s">
        <v>66</v>
      </c>
      <c r="V14" s="5" t="s">
        <v>66</v>
      </c>
      <c r="W14" s="5" t="s">
        <v>184</v>
      </c>
      <c r="X14" s="5" t="s">
        <v>1</v>
      </c>
      <c r="Y14" s="5" t="s">
        <v>66</v>
      </c>
    </row>
    <row r="15" ht="25" customHeight="1" spans="1:25">
      <c r="A15" s="5" t="s">
        <v>185</v>
      </c>
      <c r="B15" s="5" t="s">
        <v>186</v>
      </c>
      <c r="C15" s="5" t="s">
        <v>53</v>
      </c>
      <c r="D15" s="5" t="s">
        <v>187</v>
      </c>
      <c r="E15" s="5" t="s">
        <v>188</v>
      </c>
      <c r="F15" s="5" t="s">
        <v>17</v>
      </c>
      <c r="G15" s="5" t="s">
        <v>178</v>
      </c>
      <c r="H15" s="5" t="s">
        <v>129</v>
      </c>
      <c r="I15" s="5" t="s">
        <v>58</v>
      </c>
      <c r="J15" s="5" t="s">
        <v>1</v>
      </c>
      <c r="K15" s="5" t="s">
        <v>189</v>
      </c>
      <c r="L15" s="5" t="s">
        <v>190</v>
      </c>
      <c r="M15" s="5" t="s">
        <v>191</v>
      </c>
      <c r="N15" s="5" t="s">
        <v>192</v>
      </c>
      <c r="O15" s="5" t="s">
        <v>63</v>
      </c>
      <c r="P15" s="5" t="s">
        <v>64</v>
      </c>
      <c r="Q15" s="5" t="s">
        <v>193</v>
      </c>
      <c r="R15" s="5" t="s">
        <v>1</v>
      </c>
      <c r="S15" s="5" t="s">
        <v>1</v>
      </c>
      <c r="T15" s="5" t="s">
        <v>1</v>
      </c>
      <c r="U15" s="5" t="s">
        <v>66</v>
      </c>
      <c r="V15" s="5" t="s">
        <v>66</v>
      </c>
      <c r="W15" s="5" t="s">
        <v>194</v>
      </c>
      <c r="X15" s="5" t="s">
        <v>195</v>
      </c>
      <c r="Y15" s="5" t="s">
        <v>66</v>
      </c>
    </row>
    <row r="16" ht="25" customHeight="1" spans="1:25">
      <c r="A16" s="5" t="s">
        <v>196</v>
      </c>
      <c r="B16" s="5" t="s">
        <v>197</v>
      </c>
      <c r="C16" s="5" t="s">
        <v>53</v>
      </c>
      <c r="D16" s="5" t="s">
        <v>176</v>
      </c>
      <c r="E16" s="5" t="s">
        <v>177</v>
      </c>
      <c r="F16" s="5" t="s">
        <v>72</v>
      </c>
      <c r="G16" s="5" t="s">
        <v>178</v>
      </c>
      <c r="H16" s="5" t="s">
        <v>129</v>
      </c>
      <c r="I16" s="5" t="s">
        <v>58</v>
      </c>
      <c r="J16" s="5" t="s">
        <v>1</v>
      </c>
      <c r="K16" s="5" t="s">
        <v>198</v>
      </c>
      <c r="L16" s="5" t="s">
        <v>199</v>
      </c>
      <c r="M16" s="5" t="s">
        <v>200</v>
      </c>
      <c r="N16" s="5" t="s">
        <v>201</v>
      </c>
      <c r="O16" s="5" t="s">
        <v>63</v>
      </c>
      <c r="P16" s="5" t="s">
        <v>77</v>
      </c>
      <c r="Q16" s="5" t="s">
        <v>202</v>
      </c>
      <c r="R16" s="5" t="s">
        <v>1</v>
      </c>
      <c r="S16" s="5" t="s">
        <v>1</v>
      </c>
      <c r="T16" s="5" t="s">
        <v>1</v>
      </c>
      <c r="U16" s="5" t="s">
        <v>66</v>
      </c>
      <c r="V16" s="5" t="s">
        <v>66</v>
      </c>
      <c r="W16" s="5" t="s">
        <v>203</v>
      </c>
      <c r="X16" s="5" t="s">
        <v>1</v>
      </c>
      <c r="Y16" s="5" t="s">
        <v>66</v>
      </c>
    </row>
    <row r="17" ht="25" customHeight="1" spans="1:25">
      <c r="A17" s="5" t="s">
        <v>204</v>
      </c>
      <c r="B17" s="5" t="s">
        <v>88</v>
      </c>
      <c r="C17" s="5" t="s">
        <v>53</v>
      </c>
      <c r="D17" s="5" t="s">
        <v>205</v>
      </c>
      <c r="E17" s="5" t="s">
        <v>206</v>
      </c>
      <c r="F17" s="5" t="s">
        <v>17</v>
      </c>
      <c r="G17" s="5" t="s">
        <v>207</v>
      </c>
      <c r="H17" s="5" t="s">
        <v>129</v>
      </c>
      <c r="I17" s="5" t="s">
        <v>58</v>
      </c>
      <c r="J17" s="5" t="s">
        <v>1</v>
      </c>
      <c r="K17" s="5" t="s">
        <v>208</v>
      </c>
      <c r="L17" s="5" t="s">
        <v>209</v>
      </c>
      <c r="M17" s="5" t="s">
        <v>210</v>
      </c>
      <c r="N17" s="5" t="s">
        <v>211</v>
      </c>
      <c r="O17" s="5" t="s">
        <v>63</v>
      </c>
      <c r="P17" s="5" t="s">
        <v>64</v>
      </c>
      <c r="Q17" s="5" t="s">
        <v>212</v>
      </c>
      <c r="R17" s="5" t="s">
        <v>1</v>
      </c>
      <c r="S17" s="5" t="s">
        <v>1</v>
      </c>
      <c r="T17" s="5" t="s">
        <v>1</v>
      </c>
      <c r="U17" s="5" t="s">
        <v>66</v>
      </c>
      <c r="V17" s="5" t="s">
        <v>66</v>
      </c>
      <c r="W17" s="5" t="s">
        <v>213</v>
      </c>
      <c r="X17" s="5" t="s">
        <v>214</v>
      </c>
      <c r="Y17" s="5" t="s">
        <v>66</v>
      </c>
    </row>
    <row r="18" ht="25" customHeight="1" spans="1:25">
      <c r="A18" s="5" t="s">
        <v>215</v>
      </c>
      <c r="B18" s="5" t="s">
        <v>216</v>
      </c>
      <c r="C18" s="5" t="s">
        <v>53</v>
      </c>
      <c r="D18" s="5" t="s">
        <v>217</v>
      </c>
      <c r="E18" s="5" t="s">
        <v>218</v>
      </c>
      <c r="F18" s="5" t="s">
        <v>72</v>
      </c>
      <c r="G18" s="5" t="s">
        <v>207</v>
      </c>
      <c r="H18" s="5" t="s">
        <v>129</v>
      </c>
      <c r="I18" s="5" t="s">
        <v>58</v>
      </c>
      <c r="J18" s="5" t="s">
        <v>1</v>
      </c>
      <c r="K18" s="5" t="s">
        <v>219</v>
      </c>
      <c r="L18" s="5" t="s">
        <v>220</v>
      </c>
      <c r="M18" s="5" t="s">
        <v>221</v>
      </c>
      <c r="N18" s="5" t="s">
        <v>222</v>
      </c>
      <c r="O18" s="5" t="s">
        <v>63</v>
      </c>
      <c r="P18" s="5" t="s">
        <v>77</v>
      </c>
      <c r="Q18" s="5" t="s">
        <v>223</v>
      </c>
      <c r="R18" s="5" t="s">
        <v>1</v>
      </c>
      <c r="S18" s="5" t="s">
        <v>1</v>
      </c>
      <c r="T18" s="5" t="s">
        <v>1</v>
      </c>
      <c r="U18" s="5" t="s">
        <v>66</v>
      </c>
      <c r="V18" s="5" t="s">
        <v>66</v>
      </c>
      <c r="W18" s="5" t="s">
        <v>224</v>
      </c>
      <c r="X18" s="5" t="s">
        <v>225</v>
      </c>
      <c r="Y18" s="5" t="s">
        <v>66</v>
      </c>
    </row>
    <row r="19" ht="25" customHeight="1" spans="1:25">
      <c r="A19" s="5" t="s">
        <v>226</v>
      </c>
      <c r="B19" s="5" t="s">
        <v>108</v>
      </c>
      <c r="C19" s="5" t="s">
        <v>53</v>
      </c>
      <c r="D19" s="5" t="s">
        <v>227</v>
      </c>
      <c r="E19" s="5" t="s">
        <v>228</v>
      </c>
      <c r="F19" s="5" t="s">
        <v>17</v>
      </c>
      <c r="G19" s="5" t="s">
        <v>229</v>
      </c>
      <c r="H19" s="5" t="s">
        <v>129</v>
      </c>
      <c r="I19" s="5" t="s">
        <v>58</v>
      </c>
      <c r="J19" s="5" t="s">
        <v>1</v>
      </c>
      <c r="K19" s="5" t="s">
        <v>230</v>
      </c>
      <c r="L19" s="5" t="s">
        <v>231</v>
      </c>
      <c r="M19" s="5" t="s">
        <v>232</v>
      </c>
      <c r="N19" s="5" t="s">
        <v>233</v>
      </c>
      <c r="O19" s="5" t="s">
        <v>63</v>
      </c>
      <c r="P19" s="5" t="s">
        <v>64</v>
      </c>
      <c r="Q19" s="5" t="s">
        <v>234</v>
      </c>
      <c r="R19" s="5" t="s">
        <v>1</v>
      </c>
      <c r="S19" s="5" t="s">
        <v>1</v>
      </c>
      <c r="T19" s="5" t="s">
        <v>1</v>
      </c>
      <c r="U19" s="5" t="s">
        <v>66</v>
      </c>
      <c r="V19" s="5" t="s">
        <v>66</v>
      </c>
      <c r="W19" s="5" t="s">
        <v>235</v>
      </c>
      <c r="X19" s="5" t="s">
        <v>236</v>
      </c>
      <c r="Y19" s="5" t="s">
        <v>66</v>
      </c>
    </row>
    <row r="20" ht="25" customHeight="1" spans="1:25">
      <c r="A20" s="5" t="s">
        <v>237</v>
      </c>
      <c r="B20" s="5" t="s">
        <v>216</v>
      </c>
      <c r="C20" s="5" t="s">
        <v>53</v>
      </c>
      <c r="D20" s="5" t="s">
        <v>99</v>
      </c>
      <c r="E20" s="5" t="s">
        <v>238</v>
      </c>
      <c r="F20" s="5" t="s">
        <v>72</v>
      </c>
      <c r="G20" s="5" t="s">
        <v>239</v>
      </c>
      <c r="H20" s="5" t="s">
        <v>240</v>
      </c>
      <c r="I20" s="5" t="s">
        <v>58</v>
      </c>
      <c r="J20" s="5" t="s">
        <v>1</v>
      </c>
      <c r="K20" s="5" t="s">
        <v>241</v>
      </c>
      <c r="L20" s="5" t="s">
        <v>242</v>
      </c>
      <c r="M20" s="5" t="s">
        <v>243</v>
      </c>
      <c r="N20" s="5" t="s">
        <v>244</v>
      </c>
      <c r="O20" s="5" t="s">
        <v>63</v>
      </c>
      <c r="P20" s="5" t="s">
        <v>77</v>
      </c>
      <c r="Q20" s="5" t="s">
        <v>245</v>
      </c>
      <c r="R20" s="5" t="s">
        <v>1</v>
      </c>
      <c r="S20" s="5" t="s">
        <v>1</v>
      </c>
      <c r="T20" s="5" t="s">
        <v>1</v>
      </c>
      <c r="U20" s="5" t="s">
        <v>66</v>
      </c>
      <c r="V20" s="5" t="s">
        <v>66</v>
      </c>
      <c r="W20" s="5" t="s">
        <v>246</v>
      </c>
      <c r="X20" s="5" t="s">
        <v>1</v>
      </c>
      <c r="Y20" s="5" t="s">
        <v>66</v>
      </c>
    </row>
    <row r="21" ht="25" customHeight="1" spans="1:25">
      <c r="A21" s="5" t="s">
        <v>247</v>
      </c>
      <c r="B21" s="5" t="s">
        <v>248</v>
      </c>
      <c r="C21" s="5" t="s">
        <v>53</v>
      </c>
      <c r="D21" s="5" t="s">
        <v>99</v>
      </c>
      <c r="E21" s="5" t="s">
        <v>89</v>
      </c>
      <c r="F21" s="5" t="s">
        <v>17</v>
      </c>
      <c r="G21" s="5" t="s">
        <v>249</v>
      </c>
      <c r="H21" s="5" t="s">
        <v>250</v>
      </c>
      <c r="I21" s="5" t="s">
        <v>58</v>
      </c>
      <c r="J21" s="5" t="s">
        <v>1</v>
      </c>
      <c r="K21" s="5" t="s">
        <v>251</v>
      </c>
      <c r="L21" s="5" t="s">
        <v>252</v>
      </c>
      <c r="M21" s="5" t="s">
        <v>253</v>
      </c>
      <c r="N21" s="5" t="s">
        <v>254</v>
      </c>
      <c r="O21" s="5" t="s">
        <v>63</v>
      </c>
      <c r="P21" s="5" t="s">
        <v>64</v>
      </c>
      <c r="Q21" s="5" t="s">
        <v>255</v>
      </c>
      <c r="R21" s="5" t="s">
        <v>1</v>
      </c>
      <c r="S21" s="5" t="s">
        <v>1</v>
      </c>
      <c r="T21" s="5" t="s">
        <v>1</v>
      </c>
      <c r="U21" s="5" t="s">
        <v>66</v>
      </c>
      <c r="V21" s="5" t="s">
        <v>66</v>
      </c>
      <c r="W21" s="5" t="s">
        <v>256</v>
      </c>
      <c r="X21" s="5" t="s">
        <v>1</v>
      </c>
      <c r="Y21" s="5" t="s">
        <v>66</v>
      </c>
    </row>
    <row r="22" ht="25" customHeight="1" spans="1:25">
      <c r="A22" s="5" t="s">
        <v>257</v>
      </c>
      <c r="B22" s="5" t="s">
        <v>258</v>
      </c>
      <c r="C22" s="5" t="s">
        <v>53</v>
      </c>
      <c r="D22" s="5" t="s">
        <v>99</v>
      </c>
      <c r="E22" s="5" t="s">
        <v>55</v>
      </c>
      <c r="F22" s="5" t="s">
        <v>17</v>
      </c>
      <c r="G22" s="5" t="s">
        <v>56</v>
      </c>
      <c r="H22" s="5" t="s">
        <v>57</v>
      </c>
      <c r="I22" s="5" t="s">
        <v>58</v>
      </c>
      <c r="J22" s="5" t="s">
        <v>1</v>
      </c>
      <c r="K22" s="5" t="s">
        <v>259</v>
      </c>
      <c r="L22" s="5" t="s">
        <v>260</v>
      </c>
      <c r="M22" s="5" t="s">
        <v>261</v>
      </c>
      <c r="N22" s="5" t="s">
        <v>262</v>
      </c>
      <c r="O22" s="5" t="s">
        <v>63</v>
      </c>
      <c r="P22" s="5" t="s">
        <v>64</v>
      </c>
      <c r="Q22" s="5" t="s">
        <v>263</v>
      </c>
      <c r="R22" s="5" t="s">
        <v>1</v>
      </c>
      <c r="S22" s="5" t="s">
        <v>1</v>
      </c>
      <c r="T22" s="5" t="s">
        <v>1</v>
      </c>
      <c r="U22" s="5" t="s">
        <v>66</v>
      </c>
      <c r="V22" s="5" t="s">
        <v>66</v>
      </c>
      <c r="W22" s="5" t="s">
        <v>264</v>
      </c>
      <c r="X22" s="5" t="s">
        <v>1</v>
      </c>
      <c r="Y22" s="5" t="s">
        <v>66</v>
      </c>
    </row>
    <row r="23" ht="25" customHeight="1" spans="1:25">
      <c r="A23" s="5" t="s">
        <v>265</v>
      </c>
      <c r="B23" s="5" t="s">
        <v>266</v>
      </c>
      <c r="C23" s="5" t="s">
        <v>53</v>
      </c>
      <c r="D23" s="5" t="s">
        <v>99</v>
      </c>
      <c r="E23" s="5" t="s">
        <v>89</v>
      </c>
      <c r="F23" s="5" t="s">
        <v>17</v>
      </c>
      <c r="G23" s="5" t="s">
        <v>267</v>
      </c>
      <c r="H23" s="5" t="s">
        <v>268</v>
      </c>
      <c r="I23" s="5" t="s">
        <v>58</v>
      </c>
      <c r="J23" s="5" t="s">
        <v>1</v>
      </c>
      <c r="K23" s="5" t="s">
        <v>269</v>
      </c>
      <c r="L23" s="5" t="s">
        <v>270</v>
      </c>
      <c r="M23" s="5" t="s">
        <v>271</v>
      </c>
      <c r="N23" s="5" t="s">
        <v>272</v>
      </c>
      <c r="O23" s="5" t="s">
        <v>63</v>
      </c>
      <c r="P23" s="5" t="s">
        <v>64</v>
      </c>
      <c r="Q23" s="5" t="s">
        <v>273</v>
      </c>
      <c r="R23" s="5" t="s">
        <v>1</v>
      </c>
      <c r="S23" s="5" t="s">
        <v>1</v>
      </c>
      <c r="T23" s="5" t="s">
        <v>1</v>
      </c>
      <c r="U23" s="5" t="s">
        <v>66</v>
      </c>
      <c r="V23" s="5" t="s">
        <v>66</v>
      </c>
      <c r="W23" s="5" t="s">
        <v>274</v>
      </c>
      <c r="X23" s="5" t="s">
        <v>1</v>
      </c>
      <c r="Y23" s="5" t="s">
        <v>66</v>
      </c>
    </row>
    <row r="24" ht="25" customHeight="1" spans="1:25">
      <c r="A24" s="5" t="s">
        <v>275</v>
      </c>
      <c r="B24" s="5" t="s">
        <v>276</v>
      </c>
      <c r="C24" s="5" t="s">
        <v>53</v>
      </c>
      <c r="D24" s="5" t="s">
        <v>99</v>
      </c>
      <c r="E24" s="5" t="s">
        <v>109</v>
      </c>
      <c r="F24" s="5" t="s">
        <v>17</v>
      </c>
      <c r="G24" s="5" t="s">
        <v>56</v>
      </c>
      <c r="H24" s="5" t="s">
        <v>57</v>
      </c>
      <c r="I24" s="5" t="s">
        <v>58</v>
      </c>
      <c r="J24" s="5" t="s">
        <v>1</v>
      </c>
      <c r="K24" s="5" t="s">
        <v>277</v>
      </c>
      <c r="L24" s="5" t="s">
        <v>278</v>
      </c>
      <c r="M24" s="5" t="s">
        <v>279</v>
      </c>
      <c r="N24" s="5" t="s">
        <v>280</v>
      </c>
      <c r="O24" s="5" t="s">
        <v>63</v>
      </c>
      <c r="P24" s="5" t="s">
        <v>64</v>
      </c>
      <c r="Q24" s="5" t="s">
        <v>281</v>
      </c>
      <c r="R24" s="5" t="s">
        <v>1</v>
      </c>
      <c r="S24" s="5" t="s">
        <v>1</v>
      </c>
      <c r="T24" s="5" t="s">
        <v>1</v>
      </c>
      <c r="U24" s="5" t="s">
        <v>66</v>
      </c>
      <c r="V24" s="5" t="s">
        <v>66</v>
      </c>
      <c r="W24" s="5" t="s">
        <v>282</v>
      </c>
      <c r="X24" s="5" t="s">
        <v>1</v>
      </c>
      <c r="Y24" s="5" t="s">
        <v>66</v>
      </c>
    </row>
    <row r="25" ht="25" customHeight="1" spans="1:25">
      <c r="A25" s="5" t="s">
        <v>283</v>
      </c>
      <c r="B25" s="5" t="s">
        <v>276</v>
      </c>
      <c r="C25" s="5" t="s">
        <v>53</v>
      </c>
      <c r="D25" s="5" t="s">
        <v>99</v>
      </c>
      <c r="E25" s="5" t="s">
        <v>89</v>
      </c>
      <c r="F25" s="5" t="s">
        <v>17</v>
      </c>
      <c r="G25" s="5" t="s">
        <v>284</v>
      </c>
      <c r="H25" s="5" t="s">
        <v>285</v>
      </c>
      <c r="I25" s="5" t="s">
        <v>58</v>
      </c>
      <c r="J25" s="5" t="s">
        <v>1</v>
      </c>
      <c r="K25" s="5" t="s">
        <v>286</v>
      </c>
      <c r="L25" s="5" t="s">
        <v>287</v>
      </c>
      <c r="M25" s="5" t="s">
        <v>288</v>
      </c>
      <c r="N25" s="5" t="s">
        <v>289</v>
      </c>
      <c r="O25" s="5" t="s">
        <v>63</v>
      </c>
      <c r="P25" s="5" t="s">
        <v>64</v>
      </c>
      <c r="Q25" s="5" t="s">
        <v>290</v>
      </c>
      <c r="R25" s="5" t="s">
        <v>1</v>
      </c>
      <c r="S25" s="5" t="s">
        <v>1</v>
      </c>
      <c r="T25" s="5" t="s">
        <v>1</v>
      </c>
      <c r="U25" s="5" t="s">
        <v>66</v>
      </c>
      <c r="V25" s="5" t="s">
        <v>66</v>
      </c>
      <c r="W25" s="5" t="s">
        <v>291</v>
      </c>
      <c r="X25" s="5" t="s">
        <v>1</v>
      </c>
      <c r="Y25" s="5" t="s">
        <v>66</v>
      </c>
    </row>
    <row r="26" ht="25" customHeight="1" spans="1:25">
      <c r="A26" s="5" t="s">
        <v>292</v>
      </c>
      <c r="B26" s="5" t="s">
        <v>216</v>
      </c>
      <c r="C26" s="5" t="s">
        <v>293</v>
      </c>
      <c r="D26" s="5" t="s">
        <v>294</v>
      </c>
      <c r="E26" s="5" t="s">
        <v>136</v>
      </c>
      <c r="F26" s="5" t="s">
        <v>295</v>
      </c>
      <c r="G26" s="5" t="s">
        <v>128</v>
      </c>
      <c r="H26" s="5" t="s">
        <v>129</v>
      </c>
      <c r="I26" s="5" t="s">
        <v>58</v>
      </c>
      <c r="J26" s="5" t="s">
        <v>1</v>
      </c>
      <c r="K26" s="5" t="s">
        <v>296</v>
      </c>
      <c r="L26" s="5" t="s">
        <v>297</v>
      </c>
      <c r="M26" s="5" t="s">
        <v>298</v>
      </c>
      <c r="N26" s="5" t="s">
        <v>299</v>
      </c>
      <c r="O26" s="5" t="s">
        <v>63</v>
      </c>
      <c r="P26" s="5" t="s">
        <v>164</v>
      </c>
      <c r="Q26" s="5" t="s">
        <v>300</v>
      </c>
      <c r="R26" s="5" t="s">
        <v>1</v>
      </c>
      <c r="S26" s="5" t="s">
        <v>1</v>
      </c>
      <c r="T26" s="5" t="s">
        <v>1</v>
      </c>
      <c r="U26" s="5" t="s">
        <v>66</v>
      </c>
      <c r="V26" s="5" t="s">
        <v>167</v>
      </c>
      <c r="W26" s="5" t="s">
        <v>301</v>
      </c>
      <c r="X26" s="5" t="s">
        <v>302</v>
      </c>
      <c r="Y26" s="5" t="s">
        <v>167</v>
      </c>
    </row>
    <row r="27" ht="25" customHeight="1" spans="1:25">
      <c r="A27" s="5" t="s">
        <v>303</v>
      </c>
      <c r="B27" s="5" t="s">
        <v>216</v>
      </c>
      <c r="C27" s="5" t="s">
        <v>293</v>
      </c>
      <c r="D27" s="5" t="s">
        <v>294</v>
      </c>
      <c r="E27" s="5" t="s">
        <v>136</v>
      </c>
      <c r="F27" s="5" t="s">
        <v>304</v>
      </c>
      <c r="G27" s="5" t="s">
        <v>128</v>
      </c>
      <c r="H27" s="5" t="s">
        <v>129</v>
      </c>
      <c r="I27" s="5" t="s">
        <v>58</v>
      </c>
      <c r="J27" s="5" t="s">
        <v>1</v>
      </c>
      <c r="K27" s="5" t="s">
        <v>305</v>
      </c>
      <c r="L27" s="5" t="s">
        <v>306</v>
      </c>
      <c r="M27" s="5" t="s">
        <v>307</v>
      </c>
      <c r="N27" s="5" t="s">
        <v>299</v>
      </c>
      <c r="O27" s="5" t="s">
        <v>63</v>
      </c>
      <c r="P27" s="5" t="s">
        <v>164</v>
      </c>
      <c r="Q27" s="5" t="s">
        <v>308</v>
      </c>
      <c r="R27" s="5" t="s">
        <v>1</v>
      </c>
      <c r="S27" s="5" t="s">
        <v>1</v>
      </c>
      <c r="T27" s="5" t="s">
        <v>1</v>
      </c>
      <c r="U27" s="5" t="s">
        <v>66</v>
      </c>
      <c r="V27" s="5" t="s">
        <v>167</v>
      </c>
      <c r="W27" s="5" t="s">
        <v>309</v>
      </c>
      <c r="X27" s="5" t="s">
        <v>310</v>
      </c>
      <c r="Y27" s="5" t="s">
        <v>167</v>
      </c>
    </row>
    <row r="28" ht="25" customHeight="1" spans="1:25">
      <c r="A28" s="5" t="s">
        <v>311</v>
      </c>
      <c r="B28" s="5" t="s">
        <v>216</v>
      </c>
      <c r="C28" s="5" t="s">
        <v>293</v>
      </c>
      <c r="D28" s="5" t="s">
        <v>294</v>
      </c>
      <c r="E28" s="5" t="s">
        <v>136</v>
      </c>
      <c r="F28" s="5" t="s">
        <v>312</v>
      </c>
      <c r="G28" s="5" t="s">
        <v>128</v>
      </c>
      <c r="H28" s="5" t="s">
        <v>129</v>
      </c>
      <c r="I28" s="5" t="s">
        <v>58</v>
      </c>
      <c r="J28" s="5" t="s">
        <v>1</v>
      </c>
      <c r="K28" s="5" t="s">
        <v>313</v>
      </c>
      <c r="L28" s="5" t="s">
        <v>314</v>
      </c>
      <c r="M28" s="5" t="s">
        <v>315</v>
      </c>
      <c r="N28" s="5" t="s">
        <v>299</v>
      </c>
      <c r="O28" s="5" t="s">
        <v>63</v>
      </c>
      <c r="P28" s="5" t="s">
        <v>164</v>
      </c>
      <c r="Q28" s="5" t="s">
        <v>316</v>
      </c>
      <c r="R28" s="5" t="s">
        <v>1</v>
      </c>
      <c r="S28" s="5" t="s">
        <v>1</v>
      </c>
      <c r="T28" s="5" t="s">
        <v>1</v>
      </c>
      <c r="U28" s="5" t="s">
        <v>66</v>
      </c>
      <c r="V28" s="5" t="s">
        <v>167</v>
      </c>
      <c r="W28" s="5" t="s">
        <v>309</v>
      </c>
      <c r="X28" s="5" t="s">
        <v>310</v>
      </c>
      <c r="Y28" s="5" t="s">
        <v>167</v>
      </c>
    </row>
    <row r="29" ht="25" customHeight="1" spans="1:25">
      <c r="A29" s="5" t="s">
        <v>317</v>
      </c>
      <c r="B29" s="5" t="s">
        <v>138</v>
      </c>
      <c r="C29" s="5" t="s">
        <v>318</v>
      </c>
      <c r="D29" s="5" t="s">
        <v>139</v>
      </c>
      <c r="E29" s="5" t="s">
        <v>140</v>
      </c>
      <c r="F29" s="5" t="s">
        <v>319</v>
      </c>
      <c r="G29" s="5" t="s">
        <v>128</v>
      </c>
      <c r="H29" s="5" t="s">
        <v>129</v>
      </c>
      <c r="I29" s="5" t="s">
        <v>58</v>
      </c>
      <c r="J29" s="5" t="s">
        <v>1</v>
      </c>
      <c r="K29" s="5" t="s">
        <v>320</v>
      </c>
      <c r="L29" s="5" t="s">
        <v>321</v>
      </c>
      <c r="M29" s="5" t="s">
        <v>322</v>
      </c>
      <c r="N29" s="5" t="s">
        <v>144</v>
      </c>
      <c r="O29" s="5" t="s">
        <v>63</v>
      </c>
      <c r="P29" s="5" t="s">
        <v>164</v>
      </c>
      <c r="Q29" s="5" t="s">
        <v>323</v>
      </c>
      <c r="R29" s="5" t="s">
        <v>1</v>
      </c>
      <c r="S29" s="5" t="s">
        <v>1</v>
      </c>
      <c r="T29" s="5" t="s">
        <v>1</v>
      </c>
      <c r="U29" s="5" t="s">
        <v>66</v>
      </c>
      <c r="V29" s="5" t="s">
        <v>66</v>
      </c>
      <c r="W29" s="5" t="s">
        <v>324</v>
      </c>
      <c r="X29" s="5" t="s">
        <v>325</v>
      </c>
      <c r="Y29" s="5" t="s">
        <v>167</v>
      </c>
    </row>
    <row r="30" ht="25" customHeight="1" spans="1:25">
      <c r="A30" s="5" t="s">
        <v>326</v>
      </c>
      <c r="B30" s="5" t="s">
        <v>125</v>
      </c>
      <c r="C30" s="5" t="s">
        <v>327</v>
      </c>
      <c r="D30" s="5" t="s">
        <v>328</v>
      </c>
      <c r="E30" s="5" t="s">
        <v>329</v>
      </c>
      <c r="F30" s="5" t="s">
        <v>17</v>
      </c>
      <c r="G30" s="5" t="s">
        <v>56</v>
      </c>
      <c r="H30" s="5" t="s">
        <v>57</v>
      </c>
      <c r="I30" s="5" t="s">
        <v>330</v>
      </c>
      <c r="J30" s="5" t="s">
        <v>331</v>
      </c>
      <c r="K30" s="5" t="s">
        <v>332</v>
      </c>
      <c r="L30" s="5" t="s">
        <v>333</v>
      </c>
      <c r="M30" s="5" t="s">
        <v>334</v>
      </c>
      <c r="N30" s="5" t="s">
        <v>335</v>
      </c>
      <c r="O30" s="5" t="s">
        <v>63</v>
      </c>
      <c r="P30" s="5" t="s">
        <v>64</v>
      </c>
      <c r="Q30" s="5" t="s">
        <v>336</v>
      </c>
      <c r="R30" s="5" t="s">
        <v>337</v>
      </c>
      <c r="S30" s="5" t="s">
        <v>338</v>
      </c>
      <c r="T30" s="5" t="s">
        <v>339</v>
      </c>
      <c r="U30" s="5" t="s">
        <v>66</v>
      </c>
      <c r="V30" s="5" t="s">
        <v>66</v>
      </c>
      <c r="W30" s="5" t="s">
        <v>340</v>
      </c>
      <c r="X30" s="5" t="s">
        <v>1</v>
      </c>
      <c r="Y30" s="5" t="s">
        <v>66</v>
      </c>
    </row>
    <row r="31" ht="25" customHeight="1" spans="1:25">
      <c r="A31" s="3" t="s">
        <v>341</v>
      </c>
      <c r="B31" s="3" t="s">
        <v>342</v>
      </c>
      <c r="C31" s="3" t="s">
        <v>327</v>
      </c>
      <c r="D31" s="3" t="s">
        <v>343</v>
      </c>
      <c r="E31" s="3" t="s">
        <v>329</v>
      </c>
      <c r="F31" s="3" t="s">
        <v>344</v>
      </c>
      <c r="G31" s="3" t="s">
        <v>56</v>
      </c>
      <c r="H31" s="3" t="s">
        <v>57</v>
      </c>
      <c r="I31" s="3" t="s">
        <v>58</v>
      </c>
      <c r="J31" s="3" t="s">
        <v>1</v>
      </c>
      <c r="K31" s="3" t="s">
        <v>345</v>
      </c>
      <c r="L31" s="3" t="s">
        <v>346</v>
      </c>
      <c r="M31" s="3" t="s">
        <v>347</v>
      </c>
      <c r="N31" s="3" t="s">
        <v>335</v>
      </c>
      <c r="O31" s="3" t="s">
        <v>348</v>
      </c>
      <c r="P31" s="3" t="s">
        <v>349</v>
      </c>
      <c r="Q31" s="3" t="s">
        <v>350</v>
      </c>
      <c r="R31" s="3" t="s">
        <v>1</v>
      </c>
      <c r="S31" s="3" t="s">
        <v>1</v>
      </c>
      <c r="T31" s="3" t="s">
        <v>1</v>
      </c>
      <c r="U31" s="3" t="s">
        <v>66</v>
      </c>
      <c r="V31" s="3" t="s">
        <v>66</v>
      </c>
      <c r="W31" s="3" t="s">
        <v>351</v>
      </c>
      <c r="X31" s="3" t="s">
        <v>1</v>
      </c>
      <c r="Y31" s="3" t="s">
        <v>167</v>
      </c>
    </row>
    <row r="32" ht="25" customHeight="1" spans="1:25">
      <c r="A32" s="3" t="s">
        <v>352</v>
      </c>
      <c r="B32" s="3" t="s">
        <v>70</v>
      </c>
      <c r="C32" s="3" t="s">
        <v>327</v>
      </c>
      <c r="D32" s="3" t="s">
        <v>343</v>
      </c>
      <c r="E32" s="3" t="s">
        <v>329</v>
      </c>
      <c r="F32" s="3" t="s">
        <v>344</v>
      </c>
      <c r="G32" s="3" t="s">
        <v>56</v>
      </c>
      <c r="H32" s="3" t="s">
        <v>57</v>
      </c>
      <c r="I32" s="3" t="s">
        <v>353</v>
      </c>
      <c r="J32" s="3" t="s">
        <v>354</v>
      </c>
      <c r="K32" s="3" t="s">
        <v>355</v>
      </c>
      <c r="L32" s="3" t="s">
        <v>356</v>
      </c>
      <c r="M32" s="3" t="s">
        <v>357</v>
      </c>
      <c r="N32" s="3" t="s">
        <v>335</v>
      </c>
      <c r="O32" s="3" t="s">
        <v>348</v>
      </c>
      <c r="P32" s="3" t="s">
        <v>358</v>
      </c>
      <c r="Q32" s="3" t="s">
        <v>359</v>
      </c>
      <c r="R32" s="3">
        <v>5</v>
      </c>
      <c r="S32" s="3">
        <v>1</v>
      </c>
      <c r="T32" s="3">
        <v>1</v>
      </c>
      <c r="U32" s="3" t="s">
        <v>66</v>
      </c>
      <c r="V32" s="3" t="s">
        <v>167</v>
      </c>
      <c r="W32" s="3" t="s">
        <v>360</v>
      </c>
      <c r="X32" s="3" t="s">
        <v>361</v>
      </c>
      <c r="Y32" s="6" t="s">
        <v>167</v>
      </c>
    </row>
    <row r="33" ht="25" customHeight="1" spans="1:25">
      <c r="A33" s="3" t="s">
        <v>362</v>
      </c>
      <c r="B33" s="3" t="s">
        <v>363</v>
      </c>
      <c r="C33" s="3" t="s">
        <v>327</v>
      </c>
      <c r="D33" s="3" t="s">
        <v>343</v>
      </c>
      <c r="E33" s="3" t="s">
        <v>329</v>
      </c>
      <c r="F33" s="3" t="s">
        <v>364</v>
      </c>
      <c r="G33" s="3" t="s">
        <v>56</v>
      </c>
      <c r="H33" s="3" t="s">
        <v>57</v>
      </c>
      <c r="I33" s="3" t="s">
        <v>365</v>
      </c>
      <c r="J33" s="3" t="s">
        <v>1</v>
      </c>
      <c r="K33" s="3" t="s">
        <v>366</v>
      </c>
      <c r="L33" s="3" t="s">
        <v>367</v>
      </c>
      <c r="M33" s="3" t="s">
        <v>368</v>
      </c>
      <c r="N33" s="3" t="s">
        <v>335</v>
      </c>
      <c r="O33" s="3" t="s">
        <v>348</v>
      </c>
      <c r="P33" s="3" t="s">
        <v>164</v>
      </c>
      <c r="Q33" s="3" t="s">
        <v>369</v>
      </c>
      <c r="R33" s="3" t="s">
        <v>1</v>
      </c>
      <c r="S33" s="3" t="s">
        <v>370</v>
      </c>
      <c r="T33" s="3" t="s">
        <v>1</v>
      </c>
      <c r="U33" s="3" t="s">
        <v>66</v>
      </c>
      <c r="V33" s="3" t="s">
        <v>66</v>
      </c>
      <c r="W33" s="3" t="s">
        <v>371</v>
      </c>
      <c r="X33" s="3" t="s">
        <v>1</v>
      </c>
      <c r="Y33" s="3" t="s">
        <v>167</v>
      </c>
    </row>
    <row r="34" ht="25" customHeight="1" spans="1:25">
      <c r="A34" s="3" t="s">
        <v>372</v>
      </c>
      <c r="B34" s="3" t="s">
        <v>373</v>
      </c>
      <c r="C34" s="3" t="s">
        <v>374</v>
      </c>
      <c r="D34" s="3" t="s">
        <v>375</v>
      </c>
      <c r="E34" s="3" t="s">
        <v>376</v>
      </c>
      <c r="F34" s="3" t="s">
        <v>17</v>
      </c>
      <c r="G34" s="3" t="s">
        <v>377</v>
      </c>
      <c r="H34" s="3" t="s">
        <v>57</v>
      </c>
      <c r="I34" s="3" t="s">
        <v>58</v>
      </c>
      <c r="J34" s="3" t="s">
        <v>1</v>
      </c>
      <c r="K34" s="3" t="s">
        <v>117</v>
      </c>
      <c r="L34" s="3" t="s">
        <v>378</v>
      </c>
      <c r="M34" s="3" t="s">
        <v>379</v>
      </c>
      <c r="N34" s="3" t="s">
        <v>380</v>
      </c>
      <c r="O34" s="3" t="s">
        <v>63</v>
      </c>
      <c r="P34" s="3" t="s">
        <v>64</v>
      </c>
      <c r="Q34" s="3" t="s">
        <v>381</v>
      </c>
      <c r="R34" s="3" t="s">
        <v>1</v>
      </c>
      <c r="S34" s="3" t="s">
        <v>1</v>
      </c>
      <c r="T34" s="3" t="s">
        <v>1</v>
      </c>
      <c r="U34" s="3" t="s">
        <v>66</v>
      </c>
      <c r="V34" s="3" t="s">
        <v>66</v>
      </c>
      <c r="W34" s="3" t="s">
        <v>1</v>
      </c>
      <c r="X34" s="3" t="s">
        <v>1</v>
      </c>
      <c r="Y34" s="3" t="s">
        <v>66</v>
      </c>
    </row>
    <row r="35" ht="25" customHeight="1" spans="1:25">
      <c r="A35" s="3" t="s">
        <v>382</v>
      </c>
      <c r="B35" s="3" t="s">
        <v>383</v>
      </c>
      <c r="C35" s="3" t="s">
        <v>384</v>
      </c>
      <c r="D35" s="3" t="s">
        <v>385</v>
      </c>
      <c r="E35" s="3" t="s">
        <v>386</v>
      </c>
      <c r="F35" s="3" t="s">
        <v>17</v>
      </c>
      <c r="G35" s="3" t="s">
        <v>387</v>
      </c>
      <c r="H35" s="3" t="s">
        <v>388</v>
      </c>
      <c r="I35" s="3" t="s">
        <v>58</v>
      </c>
      <c r="J35" s="3" t="s">
        <v>1</v>
      </c>
      <c r="K35" s="3" t="s">
        <v>389</v>
      </c>
      <c r="L35" s="3" t="s">
        <v>390</v>
      </c>
      <c r="M35" s="3" t="s">
        <v>391</v>
      </c>
      <c r="N35" s="3" t="s">
        <v>392</v>
      </c>
      <c r="O35" s="3" t="s">
        <v>63</v>
      </c>
      <c r="P35" s="3" t="s">
        <v>64</v>
      </c>
      <c r="Q35" s="3" t="s">
        <v>393</v>
      </c>
      <c r="R35" s="3" t="s">
        <v>1</v>
      </c>
      <c r="S35" s="3" t="s">
        <v>1</v>
      </c>
      <c r="T35" s="3" t="s">
        <v>1</v>
      </c>
      <c r="U35" s="3" t="s">
        <v>66</v>
      </c>
      <c r="V35" s="3" t="s">
        <v>66</v>
      </c>
      <c r="W35" s="3" t="s">
        <v>1</v>
      </c>
      <c r="X35" s="3" t="s">
        <v>1</v>
      </c>
      <c r="Y35" s="3" t="s">
        <v>66</v>
      </c>
    </row>
    <row r="36" ht="25" customHeight="1" spans="1:25">
      <c r="A36" s="3" t="s">
        <v>394</v>
      </c>
      <c r="B36" s="3" t="s">
        <v>276</v>
      </c>
      <c r="C36" s="3" t="s">
        <v>384</v>
      </c>
      <c r="D36" s="3" t="s">
        <v>395</v>
      </c>
      <c r="E36" s="3" t="s">
        <v>396</v>
      </c>
      <c r="F36" s="3" t="s">
        <v>17</v>
      </c>
      <c r="G36" s="3" t="s">
        <v>397</v>
      </c>
      <c r="H36" s="3" t="s">
        <v>388</v>
      </c>
      <c r="I36" s="3" t="s">
        <v>58</v>
      </c>
      <c r="J36" s="3" t="s">
        <v>1</v>
      </c>
      <c r="K36" s="3" t="s">
        <v>398</v>
      </c>
      <c r="L36" s="3" t="s">
        <v>399</v>
      </c>
      <c r="M36" s="3" t="s">
        <v>400</v>
      </c>
      <c r="N36" s="3" t="s">
        <v>401</v>
      </c>
      <c r="O36" s="3" t="s">
        <v>63</v>
      </c>
      <c r="P36" s="3" t="s">
        <v>64</v>
      </c>
      <c r="Q36" s="3" t="s">
        <v>381</v>
      </c>
      <c r="R36" s="3" t="s">
        <v>1</v>
      </c>
      <c r="S36" s="3" t="s">
        <v>1</v>
      </c>
      <c r="T36" s="3" t="s">
        <v>1</v>
      </c>
      <c r="U36" s="3" t="s">
        <v>66</v>
      </c>
      <c r="V36" s="3" t="s">
        <v>66</v>
      </c>
      <c r="W36" s="3" t="s">
        <v>1</v>
      </c>
      <c r="X36" s="3" t="s">
        <v>1</v>
      </c>
      <c r="Y36" s="3" t="s">
        <v>66</v>
      </c>
    </row>
    <row r="37" ht="25" customHeight="1" spans="1:25">
      <c r="A37" s="3" t="s">
        <v>402</v>
      </c>
      <c r="B37" s="3" t="s">
        <v>403</v>
      </c>
      <c r="C37" s="3" t="s">
        <v>384</v>
      </c>
      <c r="D37" s="3" t="s">
        <v>385</v>
      </c>
      <c r="E37" s="3" t="s">
        <v>404</v>
      </c>
      <c r="F37" s="3" t="s">
        <v>17</v>
      </c>
      <c r="G37" s="3" t="s">
        <v>405</v>
      </c>
      <c r="H37" s="3" t="s">
        <v>406</v>
      </c>
      <c r="I37" s="3" t="s">
        <v>58</v>
      </c>
      <c r="J37" s="3" t="s">
        <v>1</v>
      </c>
      <c r="K37" s="3" t="s">
        <v>407</v>
      </c>
      <c r="L37" s="3" t="s">
        <v>408</v>
      </c>
      <c r="M37" s="3" t="s">
        <v>409</v>
      </c>
      <c r="N37" s="3" t="s">
        <v>392</v>
      </c>
      <c r="O37" s="3" t="s">
        <v>63</v>
      </c>
      <c r="P37" s="3" t="s">
        <v>64</v>
      </c>
      <c r="Q37" s="3" t="s">
        <v>381</v>
      </c>
      <c r="R37" s="3" t="s">
        <v>1</v>
      </c>
      <c r="S37" s="3" t="s">
        <v>1</v>
      </c>
      <c r="T37" s="3" t="s">
        <v>1</v>
      </c>
      <c r="U37" s="3" t="s">
        <v>66</v>
      </c>
      <c r="V37" s="3" t="s">
        <v>66</v>
      </c>
      <c r="W37" s="3" t="s">
        <v>1</v>
      </c>
      <c r="X37" s="3" t="s">
        <v>1</v>
      </c>
      <c r="Y37" s="3" t="s">
        <v>66</v>
      </c>
    </row>
    <row r="38" ht="25" customHeight="1" spans="1:25">
      <c r="A38" s="3" t="s">
        <v>410</v>
      </c>
      <c r="B38" s="3" t="s">
        <v>88</v>
      </c>
      <c r="C38" s="3" t="s">
        <v>384</v>
      </c>
      <c r="D38" s="3" t="s">
        <v>385</v>
      </c>
      <c r="E38" s="3" t="s">
        <v>411</v>
      </c>
      <c r="F38" s="3" t="s">
        <v>17</v>
      </c>
      <c r="G38" s="3" t="s">
        <v>412</v>
      </c>
      <c r="H38" s="3" t="s">
        <v>129</v>
      </c>
      <c r="I38" s="3" t="s">
        <v>58</v>
      </c>
      <c r="J38" s="3" t="s">
        <v>1</v>
      </c>
      <c r="K38" s="3" t="s">
        <v>413</v>
      </c>
      <c r="L38" s="3" t="s">
        <v>414</v>
      </c>
      <c r="M38" s="3" t="s">
        <v>415</v>
      </c>
      <c r="N38" s="3" t="s">
        <v>392</v>
      </c>
      <c r="O38" s="3" t="s">
        <v>63</v>
      </c>
      <c r="P38" s="3" t="s">
        <v>64</v>
      </c>
      <c r="Q38" s="3" t="s">
        <v>416</v>
      </c>
      <c r="R38" s="3" t="s">
        <v>1</v>
      </c>
      <c r="S38" s="3" t="s">
        <v>1</v>
      </c>
      <c r="T38" s="3" t="s">
        <v>1</v>
      </c>
      <c r="U38" s="3" t="s">
        <v>66</v>
      </c>
      <c r="V38" s="3" t="s">
        <v>66</v>
      </c>
      <c r="W38" s="3" t="s">
        <v>1</v>
      </c>
      <c r="X38" s="3" t="s">
        <v>1</v>
      </c>
      <c r="Y38" s="3" t="s">
        <v>66</v>
      </c>
    </row>
    <row r="39" ht="25" customHeight="1" spans="1:25">
      <c r="A39" s="3" t="s">
        <v>417</v>
      </c>
      <c r="B39" s="3" t="s">
        <v>418</v>
      </c>
      <c r="C39" s="3" t="s">
        <v>374</v>
      </c>
      <c r="D39" s="3" t="s">
        <v>419</v>
      </c>
      <c r="E39" s="3" t="s">
        <v>420</v>
      </c>
      <c r="F39" s="3" t="s">
        <v>72</v>
      </c>
      <c r="G39" s="3" t="s">
        <v>421</v>
      </c>
      <c r="H39" s="3" t="s">
        <v>422</v>
      </c>
      <c r="I39" s="3" t="s">
        <v>58</v>
      </c>
      <c r="J39" s="3" t="s">
        <v>1</v>
      </c>
      <c r="K39" s="3" t="s">
        <v>423</v>
      </c>
      <c r="L39" s="3" t="s">
        <v>424</v>
      </c>
      <c r="M39" s="3" t="s">
        <v>425</v>
      </c>
      <c r="N39" s="3" t="s">
        <v>426</v>
      </c>
      <c r="O39" s="3" t="s">
        <v>63</v>
      </c>
      <c r="P39" s="3" t="s">
        <v>77</v>
      </c>
      <c r="Q39" s="3" t="s">
        <v>427</v>
      </c>
      <c r="R39" s="3" t="s">
        <v>1</v>
      </c>
      <c r="S39" s="3" t="s">
        <v>1</v>
      </c>
      <c r="T39" s="3" t="s">
        <v>1</v>
      </c>
      <c r="U39" s="3" t="s">
        <v>66</v>
      </c>
      <c r="V39" s="3" t="s">
        <v>167</v>
      </c>
      <c r="W39" s="3" t="s">
        <v>428</v>
      </c>
      <c r="X39" s="3" t="s">
        <v>1</v>
      </c>
      <c r="Y39" s="3" t="s">
        <v>66</v>
      </c>
    </row>
    <row r="40" ht="25" customHeight="1" spans="1:25">
      <c r="A40" s="3" t="s">
        <v>429</v>
      </c>
      <c r="B40" s="3" t="s">
        <v>108</v>
      </c>
      <c r="C40" s="3" t="s">
        <v>374</v>
      </c>
      <c r="D40" s="3" t="s">
        <v>430</v>
      </c>
      <c r="E40" s="3" t="s">
        <v>431</v>
      </c>
      <c r="F40" s="3" t="s">
        <v>17</v>
      </c>
      <c r="G40" s="3" t="s">
        <v>377</v>
      </c>
      <c r="H40" s="3" t="s">
        <v>57</v>
      </c>
      <c r="I40" s="3" t="s">
        <v>58</v>
      </c>
      <c r="J40" s="3" t="s">
        <v>1</v>
      </c>
      <c r="K40" s="3" t="s">
        <v>432</v>
      </c>
      <c r="L40" s="3" t="s">
        <v>433</v>
      </c>
      <c r="M40" s="3" t="s">
        <v>434</v>
      </c>
      <c r="N40" s="3" t="s">
        <v>435</v>
      </c>
      <c r="O40" s="3" t="s">
        <v>63</v>
      </c>
      <c r="P40" s="3" t="s">
        <v>64</v>
      </c>
      <c r="Q40" s="3" t="s">
        <v>436</v>
      </c>
      <c r="R40" s="3" t="s">
        <v>1</v>
      </c>
      <c r="S40" s="3" t="s">
        <v>1</v>
      </c>
      <c r="T40" s="3" t="s">
        <v>1</v>
      </c>
      <c r="U40" s="3" t="s">
        <v>66</v>
      </c>
      <c r="V40" s="3" t="s">
        <v>66</v>
      </c>
      <c r="W40" s="3" t="s">
        <v>1</v>
      </c>
      <c r="X40" s="3" t="s">
        <v>1</v>
      </c>
      <c r="Y40" s="3" t="s">
        <v>66</v>
      </c>
    </row>
    <row r="41" ht="25" customHeight="1" spans="1:25">
      <c r="A41" s="3" t="s">
        <v>437</v>
      </c>
      <c r="B41" s="3" t="s">
        <v>373</v>
      </c>
      <c r="C41" s="3" t="s">
        <v>374</v>
      </c>
      <c r="D41" s="3" t="s">
        <v>438</v>
      </c>
      <c r="E41" s="3" t="s">
        <v>439</v>
      </c>
      <c r="F41" s="3" t="s">
        <v>440</v>
      </c>
      <c r="G41" s="3" t="s">
        <v>441</v>
      </c>
      <c r="H41" s="3" t="s">
        <v>406</v>
      </c>
      <c r="I41" s="3" t="s">
        <v>58</v>
      </c>
      <c r="J41" s="3" t="s">
        <v>1</v>
      </c>
      <c r="K41" s="3" t="s">
        <v>442</v>
      </c>
      <c r="L41" s="3" t="s">
        <v>443</v>
      </c>
      <c r="M41" s="3" t="s">
        <v>444</v>
      </c>
      <c r="N41" s="3" t="s">
        <v>380</v>
      </c>
      <c r="O41" s="3" t="s">
        <v>63</v>
      </c>
      <c r="P41" s="3" t="s">
        <v>164</v>
      </c>
      <c r="Q41" s="3" t="s">
        <v>381</v>
      </c>
      <c r="R41" s="3" t="s">
        <v>1</v>
      </c>
      <c r="S41" s="3" t="s">
        <v>1</v>
      </c>
      <c r="T41" s="3" t="s">
        <v>1</v>
      </c>
      <c r="U41" s="3" t="s">
        <v>66</v>
      </c>
      <c r="V41" s="3" t="s">
        <v>66</v>
      </c>
      <c r="W41" s="3" t="s">
        <v>445</v>
      </c>
      <c r="X41" s="3" t="s">
        <v>1</v>
      </c>
      <c r="Y41" s="3" t="s">
        <v>167</v>
      </c>
    </row>
    <row r="42" ht="25" customHeight="1" spans="1:25">
      <c r="A42" s="3" t="s">
        <v>446</v>
      </c>
      <c r="B42" s="3" t="s">
        <v>418</v>
      </c>
      <c r="C42" s="3" t="s">
        <v>384</v>
      </c>
      <c r="D42" s="3" t="s">
        <v>395</v>
      </c>
      <c r="E42" s="3" t="s">
        <v>447</v>
      </c>
      <c r="F42" s="3" t="s">
        <v>440</v>
      </c>
      <c r="G42" s="3" t="s">
        <v>397</v>
      </c>
      <c r="H42" s="3" t="s">
        <v>388</v>
      </c>
      <c r="I42" s="3" t="s">
        <v>58</v>
      </c>
      <c r="J42" s="3" t="s">
        <v>1</v>
      </c>
      <c r="K42" s="3" t="s">
        <v>448</v>
      </c>
      <c r="L42" s="3" t="s">
        <v>449</v>
      </c>
      <c r="M42" s="3" t="s">
        <v>444</v>
      </c>
      <c r="N42" s="3" t="s">
        <v>401</v>
      </c>
      <c r="O42" s="3" t="s">
        <v>63</v>
      </c>
      <c r="P42" s="3" t="s">
        <v>164</v>
      </c>
      <c r="Q42" s="3" t="s">
        <v>381</v>
      </c>
      <c r="R42" s="3" t="s">
        <v>1</v>
      </c>
      <c r="S42" s="3" t="s">
        <v>1</v>
      </c>
      <c r="T42" s="3" t="s">
        <v>1</v>
      </c>
      <c r="U42" s="3" t="s">
        <v>66</v>
      </c>
      <c r="V42" s="3" t="s">
        <v>66</v>
      </c>
      <c r="W42" s="3" t="s">
        <v>445</v>
      </c>
      <c r="X42" s="3" t="s">
        <v>1</v>
      </c>
      <c r="Y42" s="3" t="s">
        <v>167</v>
      </c>
    </row>
    <row r="43" ht="25" customHeight="1" spans="1:25">
      <c r="A43" s="3" t="s">
        <v>450</v>
      </c>
      <c r="B43" s="3" t="s">
        <v>451</v>
      </c>
      <c r="C43" s="3" t="s">
        <v>294</v>
      </c>
      <c r="D43" s="3" t="s">
        <v>452</v>
      </c>
      <c r="E43" s="3" t="s">
        <v>453</v>
      </c>
      <c r="F43" s="3" t="s">
        <v>17</v>
      </c>
      <c r="G43" s="3" t="s">
        <v>454</v>
      </c>
      <c r="H43" s="3" t="s">
        <v>406</v>
      </c>
      <c r="I43" s="3" t="s">
        <v>58</v>
      </c>
      <c r="J43" s="3" t="s">
        <v>1</v>
      </c>
      <c r="K43" s="3" t="s">
        <v>455</v>
      </c>
      <c r="L43" s="3" t="s">
        <v>456</v>
      </c>
      <c r="M43" s="3" t="s">
        <v>457</v>
      </c>
      <c r="N43" s="3" t="s">
        <v>458</v>
      </c>
      <c r="O43" s="3" t="s">
        <v>63</v>
      </c>
      <c r="P43" s="3" t="s">
        <v>64</v>
      </c>
      <c r="Q43" s="3" t="s">
        <v>381</v>
      </c>
      <c r="R43" s="3" t="s">
        <v>1</v>
      </c>
      <c r="S43" s="3" t="s">
        <v>1</v>
      </c>
      <c r="T43" s="3" t="s">
        <v>1</v>
      </c>
      <c r="U43" s="3" t="s">
        <v>66</v>
      </c>
      <c r="V43" s="3" t="s">
        <v>66</v>
      </c>
      <c r="W43" s="3" t="s">
        <v>1</v>
      </c>
      <c r="X43" s="3" t="s">
        <v>1</v>
      </c>
      <c r="Y43" s="3" t="s">
        <v>66</v>
      </c>
    </row>
    <row r="44" ht="25" customHeight="1" spans="1:25">
      <c r="A44" s="3" t="s">
        <v>459</v>
      </c>
      <c r="B44" s="3" t="s">
        <v>125</v>
      </c>
      <c r="C44" s="3" t="s">
        <v>294</v>
      </c>
      <c r="D44" s="3" t="s">
        <v>452</v>
      </c>
      <c r="E44" s="3" t="s">
        <v>460</v>
      </c>
      <c r="F44" s="3" t="s">
        <v>72</v>
      </c>
      <c r="G44" s="3" t="s">
        <v>461</v>
      </c>
      <c r="H44" s="3" t="s">
        <v>462</v>
      </c>
      <c r="I44" s="3" t="s">
        <v>58</v>
      </c>
      <c r="J44" s="3" t="s">
        <v>1</v>
      </c>
      <c r="K44" s="3" t="s">
        <v>189</v>
      </c>
      <c r="L44" s="3" t="s">
        <v>463</v>
      </c>
      <c r="M44" s="3" t="s">
        <v>464</v>
      </c>
      <c r="N44" s="3" t="s">
        <v>465</v>
      </c>
      <c r="O44" s="3" t="s">
        <v>63</v>
      </c>
      <c r="P44" s="3" t="s">
        <v>72</v>
      </c>
      <c r="Q44" s="3" t="s">
        <v>466</v>
      </c>
      <c r="R44" s="3" t="s">
        <v>1</v>
      </c>
      <c r="S44" s="3" t="s">
        <v>1</v>
      </c>
      <c r="T44" s="3" t="s">
        <v>1</v>
      </c>
      <c r="U44" s="3" t="s">
        <v>66</v>
      </c>
      <c r="V44" s="3" t="s">
        <v>66</v>
      </c>
      <c r="W44" s="3" t="s">
        <v>1</v>
      </c>
      <c r="X44" s="3" t="s">
        <v>1</v>
      </c>
      <c r="Y44" s="3" t="s">
        <v>66</v>
      </c>
    </row>
    <row r="45" ht="25" customHeight="1" spans="1:25">
      <c r="A45" s="3" t="s">
        <v>467</v>
      </c>
      <c r="B45" s="3" t="s">
        <v>88</v>
      </c>
      <c r="C45" s="3" t="s">
        <v>294</v>
      </c>
      <c r="D45" s="3" t="s">
        <v>452</v>
      </c>
      <c r="E45" s="3" t="s">
        <v>468</v>
      </c>
      <c r="F45" s="3" t="s">
        <v>17</v>
      </c>
      <c r="G45" s="3" t="s">
        <v>377</v>
      </c>
      <c r="H45" s="3" t="s">
        <v>57</v>
      </c>
      <c r="I45" s="3" t="s">
        <v>58</v>
      </c>
      <c r="J45" s="3" t="s">
        <v>1</v>
      </c>
      <c r="K45" s="3" t="s">
        <v>469</v>
      </c>
      <c r="L45" s="3" t="s">
        <v>470</v>
      </c>
      <c r="M45" s="3" t="s">
        <v>471</v>
      </c>
      <c r="N45" s="3" t="s">
        <v>472</v>
      </c>
      <c r="O45" s="3" t="s">
        <v>63</v>
      </c>
      <c r="P45" s="3" t="s">
        <v>64</v>
      </c>
      <c r="Q45" s="3" t="s">
        <v>436</v>
      </c>
      <c r="R45" s="3" t="s">
        <v>1</v>
      </c>
      <c r="S45" s="3" t="s">
        <v>1</v>
      </c>
      <c r="T45" s="3" t="s">
        <v>1</v>
      </c>
      <c r="U45" s="3" t="s">
        <v>66</v>
      </c>
      <c r="V45" s="3" t="s">
        <v>66</v>
      </c>
      <c r="W45" s="3" t="s">
        <v>1</v>
      </c>
      <c r="X45" s="3" t="s">
        <v>1</v>
      </c>
      <c r="Y45" s="3" t="s">
        <v>66</v>
      </c>
    </row>
    <row r="46" ht="25" customHeight="1" spans="1:25">
      <c r="A46" s="3" t="s">
        <v>473</v>
      </c>
      <c r="B46" s="3" t="s">
        <v>373</v>
      </c>
      <c r="C46" s="3" t="s">
        <v>294</v>
      </c>
      <c r="D46" s="3" t="s">
        <v>474</v>
      </c>
      <c r="E46" s="3" t="s">
        <v>475</v>
      </c>
      <c r="F46" s="3" t="s">
        <v>17</v>
      </c>
      <c r="G46" s="3" t="s">
        <v>476</v>
      </c>
      <c r="H46" s="3" t="s">
        <v>406</v>
      </c>
      <c r="I46" s="3" t="s">
        <v>58</v>
      </c>
      <c r="J46" s="3" t="s">
        <v>1</v>
      </c>
      <c r="K46" s="3" t="s">
        <v>477</v>
      </c>
      <c r="L46" s="3" t="s">
        <v>478</v>
      </c>
      <c r="M46" s="3" t="s">
        <v>479</v>
      </c>
      <c r="N46" s="3" t="s">
        <v>480</v>
      </c>
      <c r="O46" s="3" t="s">
        <v>63</v>
      </c>
      <c r="P46" s="3" t="s">
        <v>64</v>
      </c>
      <c r="Q46" s="3" t="s">
        <v>466</v>
      </c>
      <c r="R46" s="3" t="s">
        <v>1</v>
      </c>
      <c r="S46" s="3" t="s">
        <v>1</v>
      </c>
      <c r="T46" s="3" t="s">
        <v>1</v>
      </c>
      <c r="U46" s="3" t="s">
        <v>66</v>
      </c>
      <c r="V46" s="3" t="s">
        <v>66</v>
      </c>
      <c r="W46" s="3" t="s">
        <v>1</v>
      </c>
      <c r="X46" s="3" t="s">
        <v>1</v>
      </c>
      <c r="Y46" s="3" t="s">
        <v>66</v>
      </c>
    </row>
    <row r="47" ht="25" customHeight="1" spans="1:25">
      <c r="A47" s="3" t="s">
        <v>481</v>
      </c>
      <c r="B47" s="3" t="s">
        <v>451</v>
      </c>
      <c r="C47" s="3" t="s">
        <v>294</v>
      </c>
      <c r="D47" s="3" t="s">
        <v>474</v>
      </c>
      <c r="E47" s="3" t="s">
        <v>475</v>
      </c>
      <c r="F47" s="3" t="s">
        <v>17</v>
      </c>
      <c r="G47" s="3" t="s">
        <v>476</v>
      </c>
      <c r="H47" s="3" t="s">
        <v>406</v>
      </c>
      <c r="I47" s="3" t="s">
        <v>58</v>
      </c>
      <c r="J47" s="3" t="s">
        <v>1</v>
      </c>
      <c r="K47" s="3" t="s">
        <v>482</v>
      </c>
      <c r="L47" s="3" t="s">
        <v>483</v>
      </c>
      <c r="M47" s="3" t="s">
        <v>484</v>
      </c>
      <c r="N47" s="3" t="s">
        <v>485</v>
      </c>
      <c r="O47" s="3" t="s">
        <v>63</v>
      </c>
      <c r="P47" s="3" t="s">
        <v>64</v>
      </c>
      <c r="Q47" s="3" t="s">
        <v>466</v>
      </c>
      <c r="R47" s="3" t="s">
        <v>1</v>
      </c>
      <c r="S47" s="3" t="s">
        <v>1</v>
      </c>
      <c r="T47" s="3" t="s">
        <v>1</v>
      </c>
      <c r="U47" s="3" t="s">
        <v>66</v>
      </c>
      <c r="V47" s="3" t="s">
        <v>66</v>
      </c>
      <c r="W47" s="3" t="s">
        <v>1</v>
      </c>
      <c r="X47" s="3" t="s">
        <v>1</v>
      </c>
      <c r="Y47" s="3" t="s">
        <v>66</v>
      </c>
    </row>
    <row r="48" ht="25" customHeight="1" spans="1:25">
      <c r="A48" s="3" t="s">
        <v>486</v>
      </c>
      <c r="B48" s="3" t="s">
        <v>487</v>
      </c>
      <c r="C48" s="3" t="s">
        <v>294</v>
      </c>
      <c r="D48" s="3" t="s">
        <v>488</v>
      </c>
      <c r="E48" s="3" t="s">
        <v>489</v>
      </c>
      <c r="F48" s="3" t="s">
        <v>17</v>
      </c>
      <c r="G48" s="3" t="s">
        <v>490</v>
      </c>
      <c r="H48" s="3" t="s">
        <v>406</v>
      </c>
      <c r="I48" s="3" t="s">
        <v>58</v>
      </c>
      <c r="J48" s="3" t="s">
        <v>1</v>
      </c>
      <c r="K48" s="3" t="s">
        <v>491</v>
      </c>
      <c r="L48" s="3" t="s">
        <v>492</v>
      </c>
      <c r="M48" s="3" t="s">
        <v>493</v>
      </c>
      <c r="N48" s="3" t="s">
        <v>494</v>
      </c>
      <c r="O48" s="3" t="s">
        <v>63</v>
      </c>
      <c r="P48" s="3" t="s">
        <v>64</v>
      </c>
      <c r="Q48" s="3" t="s">
        <v>381</v>
      </c>
      <c r="R48" s="3" t="s">
        <v>1</v>
      </c>
      <c r="S48" s="3" t="s">
        <v>1</v>
      </c>
      <c r="T48" s="3" t="s">
        <v>1</v>
      </c>
      <c r="U48" s="3" t="s">
        <v>66</v>
      </c>
      <c r="V48" s="3" t="s">
        <v>66</v>
      </c>
      <c r="W48" s="3" t="s">
        <v>1</v>
      </c>
      <c r="X48" s="3" t="s">
        <v>1</v>
      </c>
      <c r="Y48" s="3" t="s">
        <v>66</v>
      </c>
    </row>
    <row r="49" ht="25" customHeight="1" spans="1:25">
      <c r="A49" s="3" t="s">
        <v>495</v>
      </c>
      <c r="B49" s="3" t="s">
        <v>175</v>
      </c>
      <c r="C49" s="3" t="s">
        <v>294</v>
      </c>
      <c r="D49" s="3" t="s">
        <v>496</v>
      </c>
      <c r="E49" s="3" t="s">
        <v>460</v>
      </c>
      <c r="F49" s="3" t="s">
        <v>72</v>
      </c>
      <c r="G49" s="3" t="s">
        <v>497</v>
      </c>
      <c r="H49" s="3" t="s">
        <v>129</v>
      </c>
      <c r="I49" s="3" t="s">
        <v>58</v>
      </c>
      <c r="J49" s="3" t="s">
        <v>1</v>
      </c>
      <c r="K49" s="3" t="s">
        <v>498</v>
      </c>
      <c r="L49" s="3" t="s">
        <v>499</v>
      </c>
      <c r="M49" s="3" t="s">
        <v>500</v>
      </c>
      <c r="N49" s="3" t="s">
        <v>501</v>
      </c>
      <c r="O49" s="3" t="s">
        <v>63</v>
      </c>
      <c r="P49" s="3" t="s">
        <v>72</v>
      </c>
      <c r="Q49" s="3" t="s">
        <v>502</v>
      </c>
      <c r="R49" s="3" t="s">
        <v>1</v>
      </c>
      <c r="S49" s="3" t="s">
        <v>1</v>
      </c>
      <c r="T49" s="3" t="s">
        <v>1</v>
      </c>
      <c r="U49" s="3" t="s">
        <v>66</v>
      </c>
      <c r="V49" s="3" t="s">
        <v>66</v>
      </c>
      <c r="W49" s="3" t="s">
        <v>1</v>
      </c>
      <c r="X49" s="3" t="s">
        <v>1</v>
      </c>
      <c r="Y49" s="3" t="s">
        <v>66</v>
      </c>
    </row>
    <row r="50" ht="25" customHeight="1" spans="1:25">
      <c r="A50" s="3" t="s">
        <v>503</v>
      </c>
      <c r="B50" s="3" t="s">
        <v>276</v>
      </c>
      <c r="C50" s="3" t="s">
        <v>294</v>
      </c>
      <c r="D50" s="3" t="s">
        <v>496</v>
      </c>
      <c r="E50" s="3" t="s">
        <v>504</v>
      </c>
      <c r="F50" s="3" t="s">
        <v>72</v>
      </c>
      <c r="G50" s="3" t="s">
        <v>505</v>
      </c>
      <c r="H50" s="3" t="s">
        <v>406</v>
      </c>
      <c r="I50" s="3" t="s">
        <v>58</v>
      </c>
      <c r="J50" s="3" t="s">
        <v>1</v>
      </c>
      <c r="K50" s="3" t="s">
        <v>506</v>
      </c>
      <c r="L50" s="3" t="s">
        <v>507</v>
      </c>
      <c r="M50" s="3" t="s">
        <v>508</v>
      </c>
      <c r="N50" s="3" t="s">
        <v>509</v>
      </c>
      <c r="O50" s="3" t="s">
        <v>348</v>
      </c>
      <c r="P50" s="3" t="s">
        <v>77</v>
      </c>
      <c r="Q50" s="3" t="s">
        <v>510</v>
      </c>
      <c r="R50" s="3" t="s">
        <v>1</v>
      </c>
      <c r="S50" s="3" t="s">
        <v>1</v>
      </c>
      <c r="T50" s="3" t="s">
        <v>1</v>
      </c>
      <c r="U50" s="3" t="s">
        <v>66</v>
      </c>
      <c r="V50" s="3" t="s">
        <v>66</v>
      </c>
      <c r="W50" s="3" t="s">
        <v>511</v>
      </c>
      <c r="X50" s="3" t="s">
        <v>1</v>
      </c>
      <c r="Y50" s="3" t="s">
        <v>66</v>
      </c>
    </row>
    <row r="51" ht="25" customHeight="1" spans="1:25">
      <c r="A51" s="3" t="s">
        <v>512</v>
      </c>
      <c r="B51" s="3" t="s">
        <v>418</v>
      </c>
      <c r="C51" s="3" t="s">
        <v>294</v>
      </c>
      <c r="D51" s="3" t="s">
        <v>513</v>
      </c>
      <c r="E51" s="3" t="s">
        <v>514</v>
      </c>
      <c r="F51" s="3" t="s">
        <v>17</v>
      </c>
      <c r="G51" s="3" t="s">
        <v>515</v>
      </c>
      <c r="H51" s="3" t="s">
        <v>406</v>
      </c>
      <c r="I51" s="3" t="s">
        <v>58</v>
      </c>
      <c r="J51" s="3" t="s">
        <v>1</v>
      </c>
      <c r="K51" s="3" t="s">
        <v>516</v>
      </c>
      <c r="L51" s="3" t="s">
        <v>517</v>
      </c>
      <c r="M51" s="3" t="s">
        <v>518</v>
      </c>
      <c r="N51" s="3" t="s">
        <v>519</v>
      </c>
      <c r="O51" s="3" t="s">
        <v>63</v>
      </c>
      <c r="P51" s="3" t="s">
        <v>64</v>
      </c>
      <c r="Q51" s="3" t="s">
        <v>466</v>
      </c>
      <c r="R51" s="3" t="s">
        <v>1</v>
      </c>
      <c r="S51" s="3" t="s">
        <v>1</v>
      </c>
      <c r="T51" s="3" t="s">
        <v>1</v>
      </c>
      <c r="U51" s="3" t="s">
        <v>66</v>
      </c>
      <c r="V51" s="3" t="s">
        <v>66</v>
      </c>
      <c r="W51" s="3" t="s">
        <v>1</v>
      </c>
      <c r="X51" s="3" t="s">
        <v>1</v>
      </c>
      <c r="Y51" s="3" t="s">
        <v>66</v>
      </c>
    </row>
    <row r="52" ht="25" customHeight="1" spans="1:25">
      <c r="A52" s="3" t="s">
        <v>520</v>
      </c>
      <c r="B52" s="3" t="s">
        <v>108</v>
      </c>
      <c r="C52" s="3" t="s">
        <v>294</v>
      </c>
      <c r="D52" s="3" t="s">
        <v>521</v>
      </c>
      <c r="E52" s="3" t="s">
        <v>522</v>
      </c>
      <c r="F52" s="3" t="s">
        <v>17</v>
      </c>
      <c r="G52" s="3" t="s">
        <v>523</v>
      </c>
      <c r="H52" s="3" t="s">
        <v>406</v>
      </c>
      <c r="I52" s="3" t="s">
        <v>58</v>
      </c>
      <c r="J52" s="3" t="s">
        <v>1</v>
      </c>
      <c r="K52" s="3" t="s">
        <v>524</v>
      </c>
      <c r="L52" s="3" t="s">
        <v>525</v>
      </c>
      <c r="M52" s="3" t="s">
        <v>526</v>
      </c>
      <c r="N52" s="3" t="s">
        <v>527</v>
      </c>
      <c r="O52" s="3" t="s">
        <v>63</v>
      </c>
      <c r="P52" s="3" t="s">
        <v>64</v>
      </c>
      <c r="Q52" s="3" t="s">
        <v>466</v>
      </c>
      <c r="R52" s="3" t="s">
        <v>1</v>
      </c>
      <c r="S52" s="3" t="s">
        <v>1</v>
      </c>
      <c r="T52" s="3" t="s">
        <v>1</v>
      </c>
      <c r="U52" s="3" t="s">
        <v>66</v>
      </c>
      <c r="V52" s="3" t="s">
        <v>66</v>
      </c>
      <c r="W52" s="3" t="s">
        <v>1</v>
      </c>
      <c r="X52" s="3" t="s">
        <v>1</v>
      </c>
      <c r="Y52" s="3" t="s">
        <v>66</v>
      </c>
    </row>
    <row r="53" ht="25" customHeight="1" spans="1:25">
      <c r="A53" s="3" t="s">
        <v>528</v>
      </c>
      <c r="B53" s="3" t="s">
        <v>248</v>
      </c>
      <c r="C53" s="3" t="s">
        <v>294</v>
      </c>
      <c r="D53" s="3" t="s">
        <v>521</v>
      </c>
      <c r="E53" s="3" t="s">
        <v>529</v>
      </c>
      <c r="F53" s="3" t="s">
        <v>17</v>
      </c>
      <c r="G53" s="3" t="s">
        <v>523</v>
      </c>
      <c r="H53" s="3" t="s">
        <v>406</v>
      </c>
      <c r="I53" s="3" t="s">
        <v>58</v>
      </c>
      <c r="J53" s="3" t="s">
        <v>1</v>
      </c>
      <c r="K53" s="3" t="s">
        <v>530</v>
      </c>
      <c r="L53" s="3" t="s">
        <v>531</v>
      </c>
      <c r="M53" s="3" t="s">
        <v>532</v>
      </c>
      <c r="N53" s="3" t="s">
        <v>533</v>
      </c>
      <c r="O53" s="3" t="s">
        <v>63</v>
      </c>
      <c r="P53" s="3" t="s">
        <v>64</v>
      </c>
      <c r="Q53" s="3" t="s">
        <v>466</v>
      </c>
      <c r="R53" s="3" t="s">
        <v>1</v>
      </c>
      <c r="S53" s="3" t="s">
        <v>1</v>
      </c>
      <c r="T53" s="3" t="s">
        <v>1</v>
      </c>
      <c r="U53" s="3" t="s">
        <v>66</v>
      </c>
      <c r="V53" s="3" t="s">
        <v>66</v>
      </c>
      <c r="W53" s="3" t="s">
        <v>1</v>
      </c>
      <c r="X53" s="3" t="s">
        <v>1</v>
      </c>
      <c r="Y53" s="3" t="s">
        <v>66</v>
      </c>
    </row>
    <row r="54" ht="25" customHeight="1" spans="1:25">
      <c r="A54" s="3" t="s">
        <v>534</v>
      </c>
      <c r="B54" s="3" t="s">
        <v>418</v>
      </c>
      <c r="C54" s="3" t="s">
        <v>384</v>
      </c>
      <c r="D54" s="3" t="s">
        <v>535</v>
      </c>
      <c r="E54" s="3" t="s">
        <v>536</v>
      </c>
      <c r="F54" s="3" t="s">
        <v>537</v>
      </c>
      <c r="G54" s="3" t="s">
        <v>240</v>
      </c>
      <c r="H54" s="3" t="s">
        <v>538</v>
      </c>
      <c r="I54" s="3" t="s">
        <v>58</v>
      </c>
      <c r="J54" s="3" t="s">
        <v>1</v>
      </c>
      <c r="K54" s="3" t="s">
        <v>539</v>
      </c>
      <c r="L54" s="3" t="s">
        <v>540</v>
      </c>
      <c r="M54" s="3" t="s">
        <v>540</v>
      </c>
      <c r="N54" s="3" t="s">
        <v>541</v>
      </c>
      <c r="O54" s="3" t="s">
        <v>63</v>
      </c>
      <c r="P54" s="3" t="s">
        <v>542</v>
      </c>
      <c r="Q54" s="3" t="s">
        <v>543</v>
      </c>
      <c r="R54" s="3" t="s">
        <v>1</v>
      </c>
      <c r="S54" s="3" t="s">
        <v>1</v>
      </c>
      <c r="T54" s="3" t="s">
        <v>1</v>
      </c>
      <c r="U54" s="3" t="s">
        <v>66</v>
      </c>
      <c r="V54" s="3" t="s">
        <v>66</v>
      </c>
      <c r="W54" s="3" t="s">
        <v>544</v>
      </c>
      <c r="X54" s="3" t="s">
        <v>1</v>
      </c>
      <c r="Y54" s="3" t="s">
        <v>167</v>
      </c>
    </row>
    <row r="55" ht="25" customHeight="1" spans="1:25">
      <c r="A55" s="3" t="s">
        <v>545</v>
      </c>
      <c r="B55" s="3" t="s">
        <v>418</v>
      </c>
      <c r="C55" s="3" t="s">
        <v>384</v>
      </c>
      <c r="D55" s="3" t="s">
        <v>535</v>
      </c>
      <c r="E55" s="3" t="s">
        <v>546</v>
      </c>
      <c r="F55" s="3" t="s">
        <v>537</v>
      </c>
      <c r="G55" s="3" t="s">
        <v>240</v>
      </c>
      <c r="H55" s="3" t="s">
        <v>538</v>
      </c>
      <c r="I55" s="3" t="s">
        <v>58</v>
      </c>
      <c r="J55" s="3" t="s">
        <v>1</v>
      </c>
      <c r="K55" s="3" t="s">
        <v>547</v>
      </c>
      <c r="L55" s="3" t="s">
        <v>548</v>
      </c>
      <c r="M55" s="3" t="s">
        <v>549</v>
      </c>
      <c r="N55" s="3" t="s">
        <v>541</v>
      </c>
      <c r="O55" s="3" t="s">
        <v>63</v>
      </c>
      <c r="P55" s="3" t="s">
        <v>550</v>
      </c>
      <c r="Q55" s="3" t="s">
        <v>543</v>
      </c>
      <c r="R55" s="3" t="s">
        <v>1</v>
      </c>
      <c r="S55" s="3" t="s">
        <v>1</v>
      </c>
      <c r="T55" s="3" t="s">
        <v>1</v>
      </c>
      <c r="U55" s="3" t="s">
        <v>66</v>
      </c>
      <c r="V55" s="3" t="s">
        <v>66</v>
      </c>
      <c r="W55" s="3" t="s">
        <v>551</v>
      </c>
      <c r="X55" s="3" t="s">
        <v>1</v>
      </c>
      <c r="Y55" s="3" t="s">
        <v>167</v>
      </c>
    </row>
    <row r="56" ht="25" customHeight="1" spans="1:25">
      <c r="A56" s="3" t="s">
        <v>552</v>
      </c>
      <c r="B56" s="3" t="s">
        <v>175</v>
      </c>
      <c r="C56" s="3" t="s">
        <v>384</v>
      </c>
      <c r="D56" s="3" t="s">
        <v>553</v>
      </c>
      <c r="E56" s="3" t="s">
        <v>554</v>
      </c>
      <c r="F56" s="3" t="s">
        <v>537</v>
      </c>
      <c r="G56" s="3" t="s">
        <v>240</v>
      </c>
      <c r="H56" s="3" t="s">
        <v>538</v>
      </c>
      <c r="I56" s="3" t="s">
        <v>58</v>
      </c>
      <c r="J56" s="3" t="s">
        <v>1</v>
      </c>
      <c r="K56" s="3" t="s">
        <v>555</v>
      </c>
      <c r="L56" s="3" t="s">
        <v>556</v>
      </c>
      <c r="M56" s="3" t="s">
        <v>556</v>
      </c>
      <c r="N56" s="3" t="s">
        <v>557</v>
      </c>
      <c r="O56" s="3" t="s">
        <v>63</v>
      </c>
      <c r="P56" s="3" t="s">
        <v>349</v>
      </c>
      <c r="Q56" s="3" t="s">
        <v>558</v>
      </c>
      <c r="R56" s="3" t="s">
        <v>1</v>
      </c>
      <c r="S56" s="3" t="s">
        <v>1</v>
      </c>
      <c r="T56" s="3" t="s">
        <v>1</v>
      </c>
      <c r="U56" s="3" t="s">
        <v>66</v>
      </c>
      <c r="V56" s="3" t="s">
        <v>66</v>
      </c>
      <c r="W56" s="3" t="s">
        <v>559</v>
      </c>
      <c r="X56" s="3" t="s">
        <v>1</v>
      </c>
      <c r="Y56" s="3" t="s">
        <v>167</v>
      </c>
    </row>
    <row r="57" ht="25" customHeight="1" spans="1:25">
      <c r="A57" s="3" t="s">
        <v>560</v>
      </c>
      <c r="B57" s="3" t="s">
        <v>561</v>
      </c>
      <c r="C57" s="3" t="s">
        <v>384</v>
      </c>
      <c r="D57" s="3" t="s">
        <v>562</v>
      </c>
      <c r="E57" s="3" t="s">
        <v>563</v>
      </c>
      <c r="F57" s="3" t="s">
        <v>537</v>
      </c>
      <c r="G57" s="3" t="s">
        <v>240</v>
      </c>
      <c r="H57" s="3" t="s">
        <v>538</v>
      </c>
      <c r="I57" s="3" t="s">
        <v>58</v>
      </c>
      <c r="J57" s="3" t="s">
        <v>1</v>
      </c>
      <c r="K57" s="3" t="s">
        <v>564</v>
      </c>
      <c r="L57" s="3" t="s">
        <v>565</v>
      </c>
      <c r="M57" s="3" t="s">
        <v>565</v>
      </c>
      <c r="N57" s="3" t="s">
        <v>566</v>
      </c>
      <c r="O57" s="3" t="s">
        <v>63</v>
      </c>
      <c r="P57" s="3" t="s">
        <v>164</v>
      </c>
      <c r="Q57" s="3" t="s">
        <v>567</v>
      </c>
      <c r="R57" s="3" t="s">
        <v>1</v>
      </c>
      <c r="S57" s="3" t="s">
        <v>1</v>
      </c>
      <c r="T57" s="3" t="s">
        <v>1</v>
      </c>
      <c r="U57" s="3" t="s">
        <v>66</v>
      </c>
      <c r="V57" s="3" t="s">
        <v>66</v>
      </c>
      <c r="W57" s="3" t="s">
        <v>1</v>
      </c>
      <c r="X57" s="3" t="s">
        <v>1</v>
      </c>
      <c r="Y57" s="3" t="s">
        <v>167</v>
      </c>
    </row>
    <row r="58" ht="25" customHeight="1" spans="1:25">
      <c r="A58" s="3" t="s">
        <v>568</v>
      </c>
      <c r="B58" s="3" t="s">
        <v>52</v>
      </c>
      <c r="C58" s="3" t="s">
        <v>384</v>
      </c>
      <c r="D58" s="3" t="s">
        <v>562</v>
      </c>
      <c r="E58" s="3" t="s">
        <v>563</v>
      </c>
      <c r="F58" s="3" t="s">
        <v>537</v>
      </c>
      <c r="G58" s="3" t="s">
        <v>240</v>
      </c>
      <c r="H58" s="3" t="s">
        <v>538</v>
      </c>
      <c r="I58" s="3" t="s">
        <v>58</v>
      </c>
      <c r="J58" s="3" t="s">
        <v>1</v>
      </c>
      <c r="K58" s="3" t="s">
        <v>569</v>
      </c>
      <c r="L58" s="3" t="s">
        <v>570</v>
      </c>
      <c r="M58" s="3" t="s">
        <v>570</v>
      </c>
      <c r="N58" s="3" t="s">
        <v>571</v>
      </c>
      <c r="O58" s="3" t="s">
        <v>63</v>
      </c>
      <c r="P58" s="3" t="s">
        <v>164</v>
      </c>
      <c r="Q58" s="3" t="s">
        <v>572</v>
      </c>
      <c r="R58" s="3" t="s">
        <v>1</v>
      </c>
      <c r="S58" s="3" t="s">
        <v>1</v>
      </c>
      <c r="T58" s="3" t="s">
        <v>1</v>
      </c>
      <c r="U58" s="3" t="s">
        <v>66</v>
      </c>
      <c r="V58" s="3" t="s">
        <v>66</v>
      </c>
      <c r="W58" s="3" t="s">
        <v>1</v>
      </c>
      <c r="X58" s="3" t="s">
        <v>1</v>
      </c>
      <c r="Y58" s="3" t="s">
        <v>167</v>
      </c>
    </row>
    <row r="59" ht="25" customHeight="1" spans="1:25">
      <c r="A59" s="3" t="s">
        <v>573</v>
      </c>
      <c r="B59" s="3" t="s">
        <v>52</v>
      </c>
      <c r="C59" s="3" t="s">
        <v>384</v>
      </c>
      <c r="D59" s="3" t="s">
        <v>562</v>
      </c>
      <c r="E59" s="3" t="s">
        <v>563</v>
      </c>
      <c r="F59" s="3" t="s">
        <v>537</v>
      </c>
      <c r="G59" s="3" t="s">
        <v>240</v>
      </c>
      <c r="H59" s="3" t="s">
        <v>538</v>
      </c>
      <c r="I59" s="3" t="s">
        <v>58</v>
      </c>
      <c r="J59" s="3" t="s">
        <v>1</v>
      </c>
      <c r="K59" s="3" t="s">
        <v>574</v>
      </c>
      <c r="L59" s="3" t="s">
        <v>575</v>
      </c>
      <c r="M59" s="3" t="s">
        <v>575</v>
      </c>
      <c r="N59" s="3" t="s">
        <v>571</v>
      </c>
      <c r="O59" s="3" t="s">
        <v>63</v>
      </c>
      <c r="P59" s="3" t="s">
        <v>164</v>
      </c>
      <c r="Q59" s="3" t="s">
        <v>567</v>
      </c>
      <c r="R59" s="3" t="s">
        <v>1</v>
      </c>
      <c r="S59" s="3" t="s">
        <v>1</v>
      </c>
      <c r="T59" s="3" t="s">
        <v>1</v>
      </c>
      <c r="U59" s="3" t="s">
        <v>66</v>
      </c>
      <c r="V59" s="3" t="s">
        <v>66</v>
      </c>
      <c r="W59" s="3" t="s">
        <v>1</v>
      </c>
      <c r="X59" s="3" t="s">
        <v>1</v>
      </c>
      <c r="Y59" s="3" t="s">
        <v>167</v>
      </c>
    </row>
    <row r="60" ht="25" customHeight="1" spans="1:25">
      <c r="A60" s="3" t="s">
        <v>576</v>
      </c>
      <c r="B60" s="3" t="s">
        <v>175</v>
      </c>
      <c r="C60" s="3" t="s">
        <v>384</v>
      </c>
      <c r="D60" s="3" t="s">
        <v>562</v>
      </c>
      <c r="E60" s="3" t="s">
        <v>577</v>
      </c>
      <c r="F60" s="3" t="s">
        <v>537</v>
      </c>
      <c r="G60" s="3" t="s">
        <v>240</v>
      </c>
      <c r="H60" s="3" t="s">
        <v>538</v>
      </c>
      <c r="I60" s="3" t="s">
        <v>58</v>
      </c>
      <c r="J60" s="3" t="s">
        <v>1</v>
      </c>
      <c r="K60" s="3" t="s">
        <v>578</v>
      </c>
      <c r="L60" s="3" t="s">
        <v>579</v>
      </c>
      <c r="M60" s="3" t="s">
        <v>579</v>
      </c>
      <c r="N60" s="3" t="s">
        <v>580</v>
      </c>
      <c r="O60" s="3" t="s">
        <v>63</v>
      </c>
      <c r="P60" s="3" t="s">
        <v>164</v>
      </c>
      <c r="Q60" s="3" t="s">
        <v>581</v>
      </c>
      <c r="R60" s="3" t="s">
        <v>1</v>
      </c>
      <c r="S60" s="3" t="s">
        <v>1</v>
      </c>
      <c r="T60" s="3" t="s">
        <v>1</v>
      </c>
      <c r="U60" s="3" t="s">
        <v>66</v>
      </c>
      <c r="V60" s="3" t="s">
        <v>66</v>
      </c>
      <c r="W60" s="3" t="s">
        <v>1</v>
      </c>
      <c r="X60" s="3" t="s">
        <v>1</v>
      </c>
      <c r="Y60" s="3" t="s">
        <v>167</v>
      </c>
    </row>
    <row r="61" ht="25" customHeight="1" spans="1:25">
      <c r="A61" s="3" t="s">
        <v>582</v>
      </c>
      <c r="B61" s="3" t="s">
        <v>216</v>
      </c>
      <c r="C61" s="3" t="s">
        <v>384</v>
      </c>
      <c r="D61" s="3" t="s">
        <v>562</v>
      </c>
      <c r="E61" s="3" t="s">
        <v>583</v>
      </c>
      <c r="F61" s="3" t="s">
        <v>537</v>
      </c>
      <c r="G61" s="3" t="s">
        <v>240</v>
      </c>
      <c r="H61" s="3" t="s">
        <v>538</v>
      </c>
      <c r="I61" s="3" t="s">
        <v>58</v>
      </c>
      <c r="J61" s="3" t="s">
        <v>1</v>
      </c>
      <c r="K61" s="3" t="s">
        <v>584</v>
      </c>
      <c r="L61" s="3" t="s">
        <v>585</v>
      </c>
      <c r="M61" s="3" t="s">
        <v>585</v>
      </c>
      <c r="N61" s="3" t="s">
        <v>586</v>
      </c>
      <c r="O61" s="3" t="s">
        <v>63</v>
      </c>
      <c r="P61" s="3" t="s">
        <v>164</v>
      </c>
      <c r="Q61" s="3" t="s">
        <v>587</v>
      </c>
      <c r="R61" s="3" t="s">
        <v>1</v>
      </c>
      <c r="S61" s="3" t="s">
        <v>1</v>
      </c>
      <c r="T61" s="3" t="s">
        <v>1</v>
      </c>
      <c r="U61" s="3" t="s">
        <v>66</v>
      </c>
      <c r="V61" s="3" t="s">
        <v>66</v>
      </c>
      <c r="W61" s="3" t="s">
        <v>1</v>
      </c>
      <c r="X61" s="3" t="s">
        <v>1</v>
      </c>
      <c r="Y61" s="3" t="s">
        <v>167</v>
      </c>
    </row>
    <row r="62" ht="25" customHeight="1" spans="1:25">
      <c r="A62" s="3" t="s">
        <v>588</v>
      </c>
      <c r="B62" s="3" t="s">
        <v>175</v>
      </c>
      <c r="C62" s="3" t="s">
        <v>384</v>
      </c>
      <c r="D62" s="3" t="s">
        <v>562</v>
      </c>
      <c r="E62" s="3" t="s">
        <v>589</v>
      </c>
      <c r="F62" s="3" t="s">
        <v>537</v>
      </c>
      <c r="G62" s="3" t="s">
        <v>240</v>
      </c>
      <c r="H62" s="3" t="s">
        <v>538</v>
      </c>
      <c r="I62" s="3" t="s">
        <v>58</v>
      </c>
      <c r="J62" s="3" t="s">
        <v>1</v>
      </c>
      <c r="K62" s="3" t="s">
        <v>590</v>
      </c>
      <c r="L62" s="3" t="s">
        <v>591</v>
      </c>
      <c r="M62" s="3" t="s">
        <v>591</v>
      </c>
      <c r="N62" s="3" t="s">
        <v>580</v>
      </c>
      <c r="O62" s="3" t="s">
        <v>63</v>
      </c>
      <c r="P62" s="3" t="s">
        <v>164</v>
      </c>
      <c r="Q62" s="3" t="s">
        <v>592</v>
      </c>
      <c r="R62" s="3" t="s">
        <v>1</v>
      </c>
      <c r="S62" s="3" t="s">
        <v>1</v>
      </c>
      <c r="T62" s="3" t="s">
        <v>1</v>
      </c>
      <c r="U62" s="3" t="s">
        <v>66</v>
      </c>
      <c r="V62" s="3" t="s">
        <v>66</v>
      </c>
      <c r="W62" s="3" t="s">
        <v>1</v>
      </c>
      <c r="X62" s="3" t="s">
        <v>1</v>
      </c>
      <c r="Y62" s="3" t="s">
        <v>167</v>
      </c>
    </row>
    <row r="63" ht="25" customHeight="1" spans="1:25">
      <c r="A63" s="3" t="s">
        <v>593</v>
      </c>
      <c r="B63" s="3" t="s">
        <v>561</v>
      </c>
      <c r="C63" s="3" t="s">
        <v>384</v>
      </c>
      <c r="D63" s="3" t="s">
        <v>562</v>
      </c>
      <c r="E63" s="3" t="s">
        <v>594</v>
      </c>
      <c r="F63" s="3" t="s">
        <v>537</v>
      </c>
      <c r="G63" s="3" t="s">
        <v>240</v>
      </c>
      <c r="H63" s="3" t="s">
        <v>538</v>
      </c>
      <c r="I63" s="3" t="s">
        <v>58</v>
      </c>
      <c r="J63" s="3" t="s">
        <v>1</v>
      </c>
      <c r="K63" s="3" t="s">
        <v>595</v>
      </c>
      <c r="L63" s="3" t="s">
        <v>596</v>
      </c>
      <c r="M63" s="3" t="s">
        <v>596</v>
      </c>
      <c r="N63" s="3" t="s">
        <v>566</v>
      </c>
      <c r="O63" s="3" t="s">
        <v>63</v>
      </c>
      <c r="P63" s="3" t="s">
        <v>164</v>
      </c>
      <c r="Q63" s="3" t="s">
        <v>597</v>
      </c>
      <c r="R63" s="3" t="s">
        <v>1</v>
      </c>
      <c r="S63" s="3" t="s">
        <v>1</v>
      </c>
      <c r="T63" s="3" t="s">
        <v>1</v>
      </c>
      <c r="U63" s="3" t="s">
        <v>66</v>
      </c>
      <c r="V63" s="3" t="s">
        <v>66</v>
      </c>
      <c r="W63" s="3" t="s">
        <v>1</v>
      </c>
      <c r="X63" s="3" t="s">
        <v>1</v>
      </c>
      <c r="Y63" s="3" t="s">
        <v>167</v>
      </c>
    </row>
    <row r="64" ht="25" customHeight="1" spans="1:25">
      <c r="A64" s="3" t="s">
        <v>598</v>
      </c>
      <c r="B64" s="3" t="s">
        <v>599</v>
      </c>
      <c r="C64" s="3" t="s">
        <v>384</v>
      </c>
      <c r="D64" s="3" t="s">
        <v>562</v>
      </c>
      <c r="E64" s="3" t="s">
        <v>600</v>
      </c>
      <c r="F64" s="3" t="s">
        <v>537</v>
      </c>
      <c r="G64" s="3" t="s">
        <v>240</v>
      </c>
      <c r="H64" s="3" t="s">
        <v>538</v>
      </c>
      <c r="I64" s="3" t="s">
        <v>58</v>
      </c>
      <c r="J64" s="3" t="s">
        <v>1</v>
      </c>
      <c r="K64" s="3" t="s">
        <v>601</v>
      </c>
      <c r="L64" s="3" t="s">
        <v>602</v>
      </c>
      <c r="M64" s="3" t="s">
        <v>602</v>
      </c>
      <c r="N64" s="3" t="s">
        <v>603</v>
      </c>
      <c r="O64" s="3" t="s">
        <v>63</v>
      </c>
      <c r="P64" s="3" t="s">
        <v>349</v>
      </c>
      <c r="Q64" s="3" t="s">
        <v>604</v>
      </c>
      <c r="R64" s="3" t="s">
        <v>1</v>
      </c>
      <c r="S64" s="3" t="s">
        <v>1</v>
      </c>
      <c r="T64" s="3" t="s">
        <v>1</v>
      </c>
      <c r="U64" s="3" t="s">
        <v>66</v>
      </c>
      <c r="V64" s="3" t="s">
        <v>66</v>
      </c>
      <c r="W64" s="3" t="s">
        <v>605</v>
      </c>
      <c r="X64" s="3" t="s">
        <v>1</v>
      </c>
      <c r="Y64" s="3" t="s">
        <v>167</v>
      </c>
    </row>
    <row r="65" ht="56" spans="1:25">
      <c r="A65" s="6" t="s">
        <v>606</v>
      </c>
      <c r="B65" s="6" t="s">
        <v>607</v>
      </c>
      <c r="C65" s="6" t="s">
        <v>384</v>
      </c>
      <c r="D65" s="6" t="s">
        <v>562</v>
      </c>
      <c r="E65" s="6" t="s">
        <v>608</v>
      </c>
      <c r="F65" s="6" t="s">
        <v>537</v>
      </c>
      <c r="G65" s="6" t="s">
        <v>240</v>
      </c>
      <c r="H65" s="6" t="s">
        <v>538</v>
      </c>
      <c r="I65" s="6" t="s">
        <v>58</v>
      </c>
      <c r="J65" s="6" t="s">
        <v>1</v>
      </c>
      <c r="K65" s="6" t="s">
        <v>609</v>
      </c>
      <c r="L65" s="6" t="s">
        <v>610</v>
      </c>
      <c r="M65" s="6" t="s">
        <v>611</v>
      </c>
      <c r="N65" s="6" t="s">
        <v>612</v>
      </c>
      <c r="O65" s="6" t="s">
        <v>63</v>
      </c>
      <c r="P65" s="6" t="s">
        <v>613</v>
      </c>
      <c r="Q65" s="6" t="s">
        <v>558</v>
      </c>
      <c r="R65" s="6">
        <v>1</v>
      </c>
      <c r="S65" s="6">
        <v>1</v>
      </c>
      <c r="T65" s="6">
        <v>1</v>
      </c>
      <c r="U65" s="6" t="s">
        <v>66</v>
      </c>
      <c r="V65" s="6" t="s">
        <v>167</v>
      </c>
      <c r="W65" s="6" t="s">
        <v>614</v>
      </c>
      <c r="X65" s="6" t="s">
        <v>361</v>
      </c>
      <c r="Y65" s="6" t="s">
        <v>167</v>
      </c>
    </row>
    <row r="66" ht="56" spans="1:25">
      <c r="A66" s="6" t="s">
        <v>615</v>
      </c>
      <c r="B66" s="6" t="s">
        <v>616</v>
      </c>
      <c r="C66" s="6" t="s">
        <v>384</v>
      </c>
      <c r="D66" s="6" t="s">
        <v>617</v>
      </c>
      <c r="E66" s="6" t="s">
        <v>618</v>
      </c>
      <c r="F66" s="6" t="s">
        <v>537</v>
      </c>
      <c r="G66" s="6" t="s">
        <v>619</v>
      </c>
      <c r="H66" s="6" t="s">
        <v>620</v>
      </c>
      <c r="I66" s="6" t="s">
        <v>58</v>
      </c>
      <c r="J66" s="6" t="s">
        <v>1</v>
      </c>
      <c r="K66" s="6" t="s">
        <v>621</v>
      </c>
      <c r="L66" s="6" t="s">
        <v>622</v>
      </c>
      <c r="M66" s="6" t="s">
        <v>623</v>
      </c>
      <c r="N66" s="6" t="s">
        <v>624</v>
      </c>
      <c r="O66" s="6" t="s">
        <v>348</v>
      </c>
      <c r="P66" s="6" t="s">
        <v>77</v>
      </c>
      <c r="Q66" s="6" t="s">
        <v>625</v>
      </c>
      <c r="R66" s="6">
        <v>1</v>
      </c>
      <c r="S66" s="6">
        <v>1</v>
      </c>
      <c r="T66" s="6">
        <v>1</v>
      </c>
      <c r="U66" s="6" t="s">
        <v>66</v>
      </c>
      <c r="V66" s="6" t="s">
        <v>167</v>
      </c>
      <c r="W66" s="6" t="s">
        <v>626</v>
      </c>
      <c r="X66" s="6" t="s">
        <v>361</v>
      </c>
      <c r="Y66" s="6" t="s">
        <v>167</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workbookViewId="0">
      <selection activeCell="A1" sqref="A1"/>
    </sheetView>
  </sheetViews>
  <sheetFormatPr defaultColWidth="9" defaultRowHeight="14" outlineLevelCol="3"/>
  <cols>
    <col min="1" max="1" width="35" customWidth="1"/>
    <col min="2" max="2" width="15" customWidth="1"/>
    <col min="3" max="3" width="30" customWidth="1"/>
    <col min="4" max="4" width="45" customWidth="1"/>
  </cols>
  <sheetData>
    <row r="1" ht="30" customHeight="1" spans="1:4">
      <c r="A1" s="4" t="s">
        <v>847</v>
      </c>
      <c r="B1" s="4" t="s">
        <v>848</v>
      </c>
      <c r="C1" s="4" t="s">
        <v>849</v>
      </c>
      <c r="D1" s="4" t="s">
        <v>802</v>
      </c>
    </row>
    <row r="2" ht="22" customHeight="1" spans="1:4">
      <c r="A2" s="5" t="s">
        <v>806</v>
      </c>
      <c r="B2" s="5" t="s">
        <v>850</v>
      </c>
      <c r="C2" s="5" t="s">
        <v>851</v>
      </c>
      <c r="D2" s="5" t="s">
        <v>807</v>
      </c>
    </row>
    <row r="3" ht="22" customHeight="1" spans="1:4">
      <c r="A3" s="5" t="s">
        <v>852</v>
      </c>
      <c r="B3" s="5" t="s">
        <v>850</v>
      </c>
      <c r="C3" s="5" t="s">
        <v>851</v>
      </c>
      <c r="D3" s="5" t="s">
        <v>853</v>
      </c>
    </row>
    <row r="4" ht="22" customHeight="1" spans="1:4">
      <c r="A4" s="5" t="s">
        <v>54</v>
      </c>
      <c r="B4" s="5" t="s">
        <v>850</v>
      </c>
      <c r="C4" s="5" t="s">
        <v>854</v>
      </c>
      <c r="D4" s="5" t="s">
        <v>855</v>
      </c>
    </row>
    <row r="5" ht="22" customHeight="1" spans="1:4">
      <c r="A5" s="5" t="s">
        <v>689</v>
      </c>
      <c r="B5" s="5" t="s">
        <v>850</v>
      </c>
      <c r="C5" s="5" t="s">
        <v>851</v>
      </c>
      <c r="D5" s="5" t="s">
        <v>815</v>
      </c>
    </row>
    <row r="6" ht="22" customHeight="1" spans="1:4">
      <c r="A6" s="5" t="s">
        <v>139</v>
      </c>
      <c r="B6" s="5" t="s">
        <v>850</v>
      </c>
      <c r="C6" s="5" t="s">
        <v>856</v>
      </c>
      <c r="D6" s="5" t="s">
        <v>819</v>
      </c>
    </row>
    <row r="7" ht="22" customHeight="1" spans="1:4">
      <c r="A7" s="5" t="s">
        <v>756</v>
      </c>
      <c r="B7" s="5" t="s">
        <v>850</v>
      </c>
      <c r="C7" s="5" t="s">
        <v>851</v>
      </c>
      <c r="D7" s="5" t="s">
        <v>857</v>
      </c>
    </row>
    <row r="8" ht="22" customHeight="1" spans="1:4">
      <c r="A8" s="5" t="s">
        <v>858</v>
      </c>
      <c r="B8" s="5" t="s">
        <v>850</v>
      </c>
      <c r="C8" s="5" t="s">
        <v>851</v>
      </c>
      <c r="D8" s="5" t="s">
        <v>859</v>
      </c>
    </row>
    <row r="9" ht="22" customHeight="1" spans="1:4">
      <c r="A9" s="5" t="s">
        <v>860</v>
      </c>
      <c r="B9" s="5" t="s">
        <v>850</v>
      </c>
      <c r="C9" s="5" t="s">
        <v>851</v>
      </c>
      <c r="D9" s="5" t="s">
        <v>861</v>
      </c>
    </row>
    <row r="10" ht="22" customHeight="1" spans="1:4">
      <c r="A10" s="5" t="s">
        <v>176</v>
      </c>
      <c r="B10" s="5" t="s">
        <v>850</v>
      </c>
      <c r="C10" s="5" t="s">
        <v>851</v>
      </c>
      <c r="D10" s="5" t="s">
        <v>862</v>
      </c>
    </row>
    <row r="11" ht="22" customHeight="1" spans="1:4">
      <c r="A11" s="5" t="s">
        <v>833</v>
      </c>
      <c r="B11" s="5" t="s">
        <v>850</v>
      </c>
      <c r="C11" s="5" t="s">
        <v>851</v>
      </c>
      <c r="D11" s="5" t="s">
        <v>834</v>
      </c>
    </row>
    <row r="12" ht="22" customHeight="1" spans="1:4">
      <c r="A12" s="5" t="s">
        <v>680</v>
      </c>
      <c r="B12" s="5" t="s">
        <v>850</v>
      </c>
      <c r="C12" s="5" t="s">
        <v>851</v>
      </c>
      <c r="D12" s="5" t="s">
        <v>838</v>
      </c>
    </row>
    <row r="13" ht="22" customHeight="1" spans="1:4">
      <c r="A13" s="5" t="s">
        <v>675</v>
      </c>
      <c r="B13" s="5" t="s">
        <v>850</v>
      </c>
      <c r="C13" s="5" t="s">
        <v>863</v>
      </c>
      <c r="D13" s="5" t="s">
        <v>864</v>
      </c>
    </row>
    <row r="14" ht="22" customHeight="1" spans="1:4">
      <c r="A14" s="5" t="s">
        <v>865</v>
      </c>
      <c r="B14" s="5" t="s">
        <v>850</v>
      </c>
      <c r="C14" s="5" t="s">
        <v>863</v>
      </c>
      <c r="D14" s="5" t="s">
        <v>866</v>
      </c>
    </row>
    <row r="15" ht="22" customHeight="1" spans="1:4">
      <c r="A15" s="5" t="s">
        <v>867</v>
      </c>
      <c r="B15" s="5" t="s">
        <v>868</v>
      </c>
      <c r="C15" s="5" t="s">
        <v>869</v>
      </c>
      <c r="D15" s="5" t="s">
        <v>870</v>
      </c>
    </row>
    <row r="16" ht="22" customHeight="1" spans="1:4">
      <c r="A16" s="5" t="s">
        <v>187</v>
      </c>
      <c r="B16" s="5" t="s">
        <v>850</v>
      </c>
      <c r="C16" s="5" t="s">
        <v>871</v>
      </c>
      <c r="D16" s="5" t="s">
        <v>872</v>
      </c>
    </row>
    <row r="17" ht="22" customHeight="1" spans="1:4">
      <c r="A17" s="5" t="s">
        <v>873</v>
      </c>
      <c r="B17" s="5" t="s">
        <v>850</v>
      </c>
      <c r="C17" s="5" t="s">
        <v>874</v>
      </c>
      <c r="D17" s="5" t="s">
        <v>875</v>
      </c>
    </row>
    <row r="18" ht="22" customHeight="1" spans="1:4">
      <c r="A18" s="5" t="s">
        <v>722</v>
      </c>
      <c r="B18" s="5" t="s">
        <v>876</v>
      </c>
      <c r="C18" s="5" t="s">
        <v>877</v>
      </c>
      <c r="D18" s="5" t="s">
        <v>843</v>
      </c>
    </row>
    <row r="19" ht="22" customHeight="1" spans="1:4">
      <c r="A19" s="5" t="s">
        <v>730</v>
      </c>
      <c r="B19" s="5" t="s">
        <v>876</v>
      </c>
      <c r="C19" s="5" t="s">
        <v>877</v>
      </c>
      <c r="D19" s="5" t="s">
        <v>843</v>
      </c>
    </row>
    <row r="20" ht="22" customHeight="1" spans="1:4">
      <c r="A20" s="5" t="s">
        <v>735</v>
      </c>
      <c r="B20" s="5" t="s">
        <v>876</v>
      </c>
      <c r="C20" s="5" t="s">
        <v>877</v>
      </c>
      <c r="D20" s="5" t="s">
        <v>843</v>
      </c>
    </row>
    <row r="21" ht="22" customHeight="1" spans="1:4">
      <c r="A21" s="5" t="s">
        <v>741</v>
      </c>
      <c r="B21" s="5" t="s">
        <v>876</v>
      </c>
      <c r="C21" s="5" t="s">
        <v>877</v>
      </c>
      <c r="D21" s="5" t="s">
        <v>843</v>
      </c>
    </row>
    <row r="22" ht="22" customHeight="1" spans="1:4">
      <c r="A22" s="5" t="s">
        <v>746</v>
      </c>
      <c r="B22" s="5" t="s">
        <v>876</v>
      </c>
      <c r="C22" s="5" t="s">
        <v>877</v>
      </c>
      <c r="D22" s="5" t="s">
        <v>843</v>
      </c>
    </row>
    <row r="23" ht="22" customHeight="1" spans="1:4">
      <c r="A23" s="5" t="s">
        <v>136</v>
      </c>
      <c r="B23" s="5" t="s">
        <v>876</v>
      </c>
      <c r="C23" s="5" t="s">
        <v>878</v>
      </c>
      <c r="D23" s="5" t="s">
        <v>843</v>
      </c>
    </row>
    <row r="24" ht="22" customHeight="1" spans="1:4">
      <c r="A24" s="5" t="s">
        <v>756</v>
      </c>
      <c r="B24" s="5" t="s">
        <v>876</v>
      </c>
      <c r="C24" s="5" t="s">
        <v>877</v>
      </c>
      <c r="D24" s="5" t="s">
        <v>843</v>
      </c>
    </row>
    <row r="25" ht="22" customHeight="1" spans="1:4">
      <c r="A25" s="5" t="s">
        <v>150</v>
      </c>
      <c r="B25" s="5" t="s">
        <v>876</v>
      </c>
      <c r="C25" s="5" t="s">
        <v>877</v>
      </c>
      <c r="D25" s="5" t="s">
        <v>843</v>
      </c>
    </row>
    <row r="26" ht="22" customHeight="1" spans="1:4">
      <c r="A26" s="5" t="s">
        <v>765</v>
      </c>
      <c r="B26" s="5" t="s">
        <v>876</v>
      </c>
      <c r="C26" s="5" t="s">
        <v>877</v>
      </c>
      <c r="D26" s="5" t="s">
        <v>843</v>
      </c>
    </row>
    <row r="27" ht="22" customHeight="1" spans="1:4">
      <c r="A27" s="5" t="s">
        <v>771</v>
      </c>
      <c r="B27" s="5" t="s">
        <v>876</v>
      </c>
      <c r="C27" s="5" t="s">
        <v>877</v>
      </c>
      <c r="D27" s="5" t="s">
        <v>843</v>
      </c>
    </row>
    <row r="28" ht="22" customHeight="1" spans="1:4">
      <c r="A28" s="5" t="s">
        <v>214</v>
      </c>
      <c r="B28" s="5" t="s">
        <v>876</v>
      </c>
      <c r="C28" s="5" t="s">
        <v>877</v>
      </c>
      <c r="D28" s="5" t="s">
        <v>843</v>
      </c>
    </row>
    <row r="29" ht="22" customHeight="1" spans="1:4">
      <c r="A29" s="5" t="s">
        <v>780</v>
      </c>
      <c r="B29" s="5" t="s">
        <v>876</v>
      </c>
      <c r="C29" s="5" t="s">
        <v>877</v>
      </c>
      <c r="D29" s="5" t="s">
        <v>843</v>
      </c>
    </row>
    <row r="30" ht="22" customHeight="1" spans="1:4">
      <c r="A30" s="5" t="s">
        <v>785</v>
      </c>
      <c r="B30" s="5" t="s">
        <v>876</v>
      </c>
      <c r="C30" s="5" t="s">
        <v>877</v>
      </c>
      <c r="D30" s="5" t="s">
        <v>843</v>
      </c>
    </row>
    <row r="31" ht="22" customHeight="1" spans="1:4">
      <c r="A31" s="5" t="s">
        <v>790</v>
      </c>
      <c r="B31" s="5" t="s">
        <v>876</v>
      </c>
      <c r="C31" s="5" t="s">
        <v>877</v>
      </c>
      <c r="D31" s="5" t="s">
        <v>843</v>
      </c>
    </row>
    <row r="32" ht="22" customHeight="1" spans="1:4">
      <c r="A32" s="5" t="s">
        <v>329</v>
      </c>
      <c r="B32" s="5" t="s">
        <v>328</v>
      </c>
      <c r="C32" s="5" t="s">
        <v>879</v>
      </c>
      <c r="D32" s="5" t="s">
        <v>335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 outlineLevelRow="6" outlineLevelCol="4"/>
  <cols>
    <col min="1" max="1" width="25" customWidth="1"/>
    <col min="2" max="2" width="50" customWidth="1"/>
    <col min="3" max="3" width="30" customWidth="1"/>
    <col min="4" max="4" width="20" customWidth="1"/>
    <col min="5" max="5" width="30" customWidth="1"/>
  </cols>
  <sheetData>
    <row r="1" ht="30" customHeight="1" spans="1:5">
      <c r="A1" s="1" t="s">
        <v>880</v>
      </c>
      <c r="B1" s="1" t="s">
        <v>881</v>
      </c>
      <c r="C1" s="1" t="s">
        <v>882</v>
      </c>
      <c r="D1" s="1" t="s">
        <v>1</v>
      </c>
      <c r="E1" s="1" t="s">
        <v>883</v>
      </c>
    </row>
    <row r="2" ht="22" customHeight="1" spans="1:5">
      <c r="A2" s="2" t="s">
        <v>884</v>
      </c>
      <c r="B2" s="3" t="s">
        <v>8</v>
      </c>
      <c r="C2" s="3" t="s">
        <v>885</v>
      </c>
      <c r="D2" s="3" t="s">
        <v>1</v>
      </c>
      <c r="E2" s="3" t="s">
        <v>886</v>
      </c>
    </row>
    <row r="3" ht="22" customHeight="1" spans="1:5">
      <c r="A3" s="2" t="s">
        <v>887</v>
      </c>
      <c r="B3" s="3" t="s">
        <v>11</v>
      </c>
      <c r="C3" s="3" t="s">
        <v>888</v>
      </c>
      <c r="D3" s="3" t="s">
        <v>1</v>
      </c>
      <c r="E3" s="3" t="s">
        <v>889</v>
      </c>
    </row>
    <row r="4" ht="22" customHeight="1" spans="1:5">
      <c r="A4" s="2" t="s">
        <v>890</v>
      </c>
      <c r="B4" s="3">
        <v>201</v>
      </c>
      <c r="C4" s="3" t="s">
        <v>891</v>
      </c>
      <c r="D4" s="3" t="s">
        <v>1</v>
      </c>
      <c r="E4" s="3" t="s">
        <v>1</v>
      </c>
    </row>
    <row r="5" ht="22" customHeight="1" spans="1:5">
      <c r="A5" s="2" t="s">
        <v>892</v>
      </c>
      <c r="B5" s="3">
        <v>200</v>
      </c>
      <c r="C5" s="3" t="s">
        <v>893</v>
      </c>
      <c r="D5" s="3" t="s">
        <v>1</v>
      </c>
      <c r="E5" s="3" t="s">
        <v>1</v>
      </c>
    </row>
    <row r="6" ht="22" customHeight="1" spans="1:5">
      <c r="A6" s="2" t="s">
        <v>894</v>
      </c>
      <c r="B6" s="3">
        <v>1</v>
      </c>
      <c r="C6" s="3" t="s">
        <v>895</v>
      </c>
      <c r="D6" s="3" t="s">
        <v>1</v>
      </c>
      <c r="E6" s="3" t="s">
        <v>896</v>
      </c>
    </row>
    <row r="7" ht="22" customHeight="1" spans="1:5">
      <c r="A7" s="2" t="s">
        <v>897</v>
      </c>
      <c r="B7" s="3">
        <v>2</v>
      </c>
      <c r="C7" s="3" t="s">
        <v>898</v>
      </c>
      <c r="D7" s="3" t="s">
        <v>1</v>
      </c>
      <c r="E7" s="3" t="s">
        <v>899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提交说明</vt:lpstr>
      <vt:lpstr>第一部分_有效舆情明细</vt:lpstr>
      <vt:lpstr>第二部分_官方实施信息</vt:lpstr>
      <vt:lpstr>第三部分_公众意见汇总</vt:lpstr>
      <vt:lpstr>第四部分_排除记录</vt:lpstr>
      <vt:lpstr>第五部分_视频号与人工补查</vt:lpstr>
      <vt:lpstr>第六部分_检索日志</vt:lpstr>
      <vt:lpstr>第七部分_扁平化数据</vt:lpstr>
      <vt:lpstr>第八部分_监测来源清单</vt:lpstr>
      <vt:lpstr>第九部分_8月7日复核汇总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2026-08-11T06:01:56Z</dcterms:created>
  <dcterms:modified xsi:type="dcterms:W3CDTF">2026-08-11T06:02:01Z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42D75487BF7B4E8B9D9A772FBBFDDFA3_13</vt:lpwstr>
  </property>
  <property fmtid="{D5CDD505-2E9C-101B-9397-08002B2CF9AE}" pid="3" name="KSOProductBuildVer">
    <vt:lpwstr>2052-12.1.0.28043</vt:lpwstr>
  </property>
  <property fmtid="{D5CDD505-2E9C-101B-9397-08002B2CF9AE}" pid="4" name="CalculationRule">
    <vt:i4>0</vt:i4>
  </property>
</Properties>
</file>